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clazad-my.sharepoint.com/personal/chris_bieniek_fcl_crs/Documents/"/>
    </mc:Choice>
  </mc:AlternateContent>
  <xr:revisionPtr revIDLastSave="78" documentId="11_C26117A0BDE335ABC16E8E20E323B884833A9E5F" xr6:coauthVersionLast="47" xr6:coauthVersionMax="47" xr10:uidLastSave="{B5F09921-6D2B-4A3D-8E85-7E1B272E36C3}"/>
  <bookViews>
    <workbookView xWindow="28740" yWindow="-60" windowWidth="28920" windowHeight="15600" activeTab="1" xr2:uid="{00000000-000D-0000-FFFF-FFFF00000000}"/>
  </bookViews>
  <sheets>
    <sheet name="Rec" sheetId="1" r:id="rId1"/>
    <sheet name="Customers" sheetId="2" r:id="rId2"/>
  </sheets>
  <definedNames>
    <definedName name="_xlnm.Print_Area" localSheetId="0">Rec!$A$1:$J$39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1" l="1"/>
  <c r="J35" i="1" s="1"/>
  <c r="I34" i="1" l="1"/>
  <c r="J34" i="1" s="1"/>
  <c r="I33" i="1"/>
  <c r="J33" i="1" s="1"/>
  <c r="I32" i="1"/>
  <c r="J32" i="1" s="1"/>
  <c r="I30" i="1" l="1"/>
  <c r="J30" i="1" s="1"/>
  <c r="I31" i="1"/>
  <c r="J31" i="1" s="1"/>
  <c r="I36" i="1"/>
  <c r="H17" i="1"/>
  <c r="H18" i="1"/>
  <c r="H19" i="1"/>
  <c r="J36" i="1" l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H11" i="1"/>
  <c r="I11" i="1"/>
  <c r="F12" i="1"/>
  <c r="H12" i="1" s="1"/>
  <c r="I12" i="1"/>
  <c r="F13" i="1"/>
  <c r="H13" i="1" s="1"/>
  <c r="I13" i="1"/>
  <c r="F14" i="1"/>
  <c r="H14" i="1" s="1"/>
  <c r="I14" i="1"/>
  <c r="I16" i="1"/>
  <c r="J16" i="1" s="1"/>
  <c r="I17" i="1"/>
  <c r="J17" i="1" s="1"/>
  <c r="I18" i="1"/>
  <c r="J18" i="1" s="1"/>
  <c r="I19" i="1"/>
  <c r="J19" i="1" s="1"/>
  <c r="I20" i="1"/>
  <c r="I21" i="1"/>
  <c r="J21" i="1" s="1"/>
  <c r="I22" i="1"/>
  <c r="J22" i="1" s="1"/>
  <c r="I23" i="1"/>
  <c r="J23" i="1" s="1"/>
  <c r="H38" i="1"/>
  <c r="J20" i="1" l="1"/>
  <c r="J13" i="1"/>
  <c r="J11" i="1"/>
  <c r="J14" i="1"/>
  <c r="J12" i="1"/>
  <c r="I37" i="1"/>
  <c r="J37" i="1" s="1"/>
  <c r="J15" i="1" l="1"/>
</calcChain>
</file>

<file path=xl/sharedStrings.xml><?xml version="1.0" encoding="utf-8"?>
<sst xmlns="http://schemas.openxmlformats.org/spreadsheetml/2006/main" count="195" uniqueCount="194">
  <si>
    <t xml:space="preserve">The Grocery People </t>
  </si>
  <si>
    <t>From:</t>
  </si>
  <si>
    <t>Edmonton, Alberta</t>
  </si>
  <si>
    <t>To:</t>
  </si>
  <si>
    <t>Items</t>
  </si>
  <si>
    <t>Extended Price</t>
  </si>
  <si>
    <t>Invoice:</t>
  </si>
  <si>
    <t>Quantity</t>
  </si>
  <si>
    <t>Price</t>
  </si>
  <si>
    <t>Deposit</t>
  </si>
  <si>
    <t>ORDER #</t>
  </si>
  <si>
    <t>TOTAL</t>
  </si>
  <si>
    <t>Aunt Ednas Boneless Dry Garlic Ribs 4KG</t>
  </si>
  <si>
    <t>Cost</t>
  </si>
  <si>
    <t>Upcharge</t>
  </si>
  <si>
    <t>Meat Subtotal</t>
  </si>
  <si>
    <t>Grocery Subtotal</t>
  </si>
  <si>
    <t>Dep/case</t>
  </si>
  <si>
    <t>Deposit Subtotal</t>
  </si>
  <si>
    <t>Code/BB Date</t>
  </si>
  <si>
    <t xml:space="preserve">The Grocery People Wholesale Market </t>
  </si>
  <si>
    <t xml:space="preserve">11628 142st </t>
  </si>
  <si>
    <t>T5M 1V4</t>
  </si>
  <si>
    <t xml:space="preserve">Starpac GARLIC Ribs 2 kg </t>
  </si>
  <si>
    <t xml:space="preserve">Starpac Salt and Pepper WINGS </t>
  </si>
  <si>
    <t>Date:</t>
  </si>
  <si>
    <t xml:space="preserve">Andrew Co-op </t>
  </si>
  <si>
    <t>AISLE 10 LTD.</t>
  </si>
  <si>
    <t>10462-01</t>
  </si>
  <si>
    <t>Atlin Trading Post</t>
  </si>
  <si>
    <t xml:space="preserve">Barrhead Co-op </t>
  </si>
  <si>
    <t>Beaverlodge Bigway</t>
  </si>
  <si>
    <t>Bella Coola  Co-op</t>
  </si>
  <si>
    <t>Berwyn Bigway</t>
  </si>
  <si>
    <t>2543-01</t>
  </si>
  <si>
    <t xml:space="preserve">Boisvert's Super A Supermarket </t>
  </si>
  <si>
    <t xml:space="preserve">Boyle Co-op </t>
  </si>
  <si>
    <t>Bruderheim Bigway</t>
  </si>
  <si>
    <t>Buffalo Head Prairie Coop</t>
  </si>
  <si>
    <t>4176-01</t>
  </si>
  <si>
    <t xml:space="preserve">Cadogan General </t>
  </si>
  <si>
    <t>420-01</t>
  </si>
  <si>
    <t>Calahoo Meats</t>
  </si>
  <si>
    <t>0074-01</t>
  </si>
  <si>
    <t>Camrose C + C</t>
  </si>
  <si>
    <t xml:space="preserve">Camrose Co-op </t>
  </si>
  <si>
    <t>CNH Goodies Food Mart 16321.001</t>
  </si>
  <si>
    <t xml:space="preserve">Comox Co-op </t>
  </si>
  <si>
    <t>Consort Foods Enterprises LTD  507</t>
  </si>
  <si>
    <t xml:space="preserve">Copper Ridge Bigway </t>
  </si>
  <si>
    <t>15138-01</t>
  </si>
  <si>
    <t>country boyz</t>
  </si>
  <si>
    <t xml:space="preserve">Crossfield Bigway Foods </t>
  </si>
  <si>
    <t xml:space="preserve">Dawson City General  </t>
  </si>
  <si>
    <t xml:space="preserve">Dawson Creek Co-op </t>
  </si>
  <si>
    <t>Dease Lake Super A</t>
  </si>
  <si>
    <t xml:space="preserve">Delmas Co-op </t>
  </si>
  <si>
    <t>01229-01</t>
  </si>
  <si>
    <t>Derose Bros.</t>
  </si>
  <si>
    <t xml:space="preserve">Dewberry Co-op </t>
  </si>
  <si>
    <t>Discovery Store</t>
  </si>
  <si>
    <t>15782-01</t>
  </si>
  <si>
    <t>Dockside Food Market</t>
  </si>
  <si>
    <t>0120-01</t>
  </si>
  <si>
    <t>Doug's Super A Foods</t>
  </si>
  <si>
    <t xml:space="preserve">Eckville Co-op </t>
  </si>
  <si>
    <t>Eldorado Market</t>
  </si>
  <si>
    <t xml:space="preserve">Elk Point Co-op </t>
  </si>
  <si>
    <t>403-01</t>
  </si>
  <si>
    <t>Eric Auger Camps</t>
  </si>
  <si>
    <t>Fairmont Bigway</t>
  </si>
  <si>
    <t xml:space="preserve">Fairview Super A Foods </t>
  </si>
  <si>
    <t xml:space="preserve">Falher Co-op </t>
  </si>
  <si>
    <t xml:space="preserve">Falun Co-op </t>
  </si>
  <si>
    <t xml:space="preserve">Fort  St. John Co-op </t>
  </si>
  <si>
    <t xml:space="preserve">Glendon Bigway </t>
  </si>
  <si>
    <t>1788-01</t>
  </si>
  <si>
    <t>GP Distributing</t>
  </si>
  <si>
    <t xml:space="preserve">Grande Prairie Co-op </t>
  </si>
  <si>
    <t xml:space="preserve">Grimshaw Super A Foods </t>
  </si>
  <si>
    <t>2602-01</t>
  </si>
  <si>
    <t xml:space="preserve">Hanna Super A Foods </t>
  </si>
  <si>
    <t xml:space="preserve">Hay River Super A </t>
  </si>
  <si>
    <t>2854-01</t>
  </si>
  <si>
    <t>Herb Jamieson Center</t>
  </si>
  <si>
    <t>High Level Super A Foods</t>
  </si>
  <si>
    <t>High Prairie Super A Foods</t>
  </si>
  <si>
    <t>15119-01</t>
  </si>
  <si>
    <t>Hometown Grocer</t>
  </si>
  <si>
    <t>819-01</t>
  </si>
  <si>
    <t>Hythe Bigway</t>
  </si>
  <si>
    <t>16188-01</t>
  </si>
  <si>
    <t>Jasper Fire and Ice</t>
  </si>
  <si>
    <t>0067-01</t>
  </si>
  <si>
    <t>Kamloops C + C</t>
  </si>
  <si>
    <t>00131-01</t>
  </si>
  <si>
    <t>Kitscoty Bigway</t>
  </si>
  <si>
    <t>872-01</t>
  </si>
  <si>
    <t>Llyodminster Cash &amp; Carry</t>
  </si>
  <si>
    <t>10253-01</t>
  </si>
  <si>
    <t>LoCol Groceries</t>
  </si>
  <si>
    <t xml:space="preserve">Matrix </t>
  </si>
  <si>
    <t>2499-01</t>
  </si>
  <si>
    <t xml:space="preserve">Mayerthorpe Super A Foods </t>
  </si>
  <si>
    <t>Mayo Bigway</t>
  </si>
  <si>
    <t xml:space="preserve">McBride Bigway </t>
  </si>
  <si>
    <t xml:space="preserve">Michel's Super A </t>
  </si>
  <si>
    <t>Miller's General Store</t>
  </si>
  <si>
    <t xml:space="preserve">Neerlandia Co-op </t>
  </si>
  <si>
    <t>Nic-Nax &amp; More</t>
  </si>
  <si>
    <t>Nisutlin Trading Post</t>
  </si>
  <si>
    <t>1473-01</t>
  </si>
  <si>
    <t>Northbest</t>
  </si>
  <si>
    <t>Okeymowkisik Grocery</t>
  </si>
  <si>
    <t>Onoway Bigway</t>
  </si>
  <si>
    <t xml:space="preserve">Peace River Co-op </t>
  </si>
  <si>
    <t xml:space="preserve">Peers Family Mart </t>
  </si>
  <si>
    <t>16143-01</t>
  </si>
  <si>
    <t>Pegasus</t>
  </si>
  <si>
    <t>2258-001</t>
  </si>
  <si>
    <t xml:space="preserve">Petanea Co-op  </t>
  </si>
  <si>
    <t xml:space="preserve">Plamondon Co-op </t>
  </si>
  <si>
    <t xml:space="preserve">Ponoka Co-op </t>
  </si>
  <si>
    <t>Porter Creek Super A</t>
  </si>
  <si>
    <t>Radium Mntn Market</t>
  </si>
  <si>
    <t>Rainbow Lake Bigway</t>
  </si>
  <si>
    <t xml:space="preserve">Rimby Co-op </t>
  </si>
  <si>
    <t xml:space="preserve">Riverdale Super A </t>
  </si>
  <si>
    <t>Riverside Grocery</t>
  </si>
  <si>
    <t xml:space="preserve">Rocky Mountain House Co-op </t>
  </si>
  <si>
    <t>10231-01</t>
  </si>
  <si>
    <t>Rockyford Grocery</t>
  </si>
  <si>
    <t xml:space="preserve">Rycroft Co-op </t>
  </si>
  <si>
    <t xml:space="preserve">Sangudo Bigway </t>
  </si>
  <si>
    <t>Sedalia Co -op</t>
  </si>
  <si>
    <t xml:space="preserve">Sedgewick Co-op </t>
  </si>
  <si>
    <t>Silverton Bigway</t>
  </si>
  <si>
    <t xml:space="preserve">Skidgate Co-op </t>
  </si>
  <si>
    <t>15334-01</t>
  </si>
  <si>
    <t xml:space="preserve">Slocan Valley Co-op </t>
  </si>
  <si>
    <t>16087-01</t>
  </si>
  <si>
    <t>Smokey Lake Bigway</t>
  </si>
  <si>
    <t>15875-01</t>
  </si>
  <si>
    <t>Smoky Lake Super A Foods</t>
  </si>
  <si>
    <t xml:space="preserve">Specht's Bigway </t>
  </si>
  <si>
    <t>1348-01</t>
  </si>
  <si>
    <t>Spiritwood Super A Foods</t>
  </si>
  <si>
    <t xml:space="preserve">Spruce View Co-op </t>
  </si>
  <si>
    <t>7757-01</t>
  </si>
  <si>
    <t>St Paul Cash and Carry</t>
  </si>
  <si>
    <t xml:space="preserve">St. Isidore Co-op </t>
  </si>
  <si>
    <t xml:space="preserve">St. Paul Co-op </t>
  </si>
  <si>
    <t xml:space="preserve">Stony Plain Co-op </t>
  </si>
  <si>
    <t xml:space="preserve">Strome Co-op </t>
  </si>
  <si>
    <t>15031-01</t>
  </si>
  <si>
    <t xml:space="preserve">Super A Foods </t>
  </si>
  <si>
    <t>0766-01</t>
  </si>
  <si>
    <t xml:space="preserve">Swan Hills Super A Foods </t>
  </si>
  <si>
    <t xml:space="preserve">Tags Elk Point </t>
  </si>
  <si>
    <t>15766-01</t>
  </si>
  <si>
    <t>Tags Grimshaw</t>
  </si>
  <si>
    <t>1142-01</t>
  </si>
  <si>
    <t>Tags Jasper</t>
  </si>
  <si>
    <t>Tatchun Centre</t>
  </si>
  <si>
    <t>Ternoway Super A</t>
  </si>
  <si>
    <t>1550-01</t>
  </si>
  <si>
    <t xml:space="preserve">TGP Cash &amp; Carry </t>
  </si>
  <si>
    <t>16498-01</t>
  </si>
  <si>
    <t>The Byemoor Store</t>
  </si>
  <si>
    <t>The Grocery People</t>
  </si>
  <si>
    <t xml:space="preserve">Thorhild Co-op </t>
  </si>
  <si>
    <t>16423-01</t>
  </si>
  <si>
    <t>Tiger Calcium</t>
  </si>
  <si>
    <t>Tipple Park Super A</t>
  </si>
  <si>
    <t>Town &amp; Country Market</t>
  </si>
  <si>
    <t xml:space="preserve">Valleyview Co-op </t>
  </si>
  <si>
    <t>15026-01</t>
  </si>
  <si>
    <t xml:space="preserve">Valu-Plus Foods </t>
  </si>
  <si>
    <t xml:space="preserve">Vanderhoof Co-op </t>
  </si>
  <si>
    <t xml:space="preserve">Vegreville Co-op  </t>
  </si>
  <si>
    <t xml:space="preserve">Vermillion Co-op </t>
  </si>
  <si>
    <t xml:space="preserve">Viking Co-op </t>
  </si>
  <si>
    <t xml:space="preserve">Wainwright Co-op </t>
  </si>
  <si>
    <t xml:space="preserve">Warehouse Market - </t>
  </si>
  <si>
    <t>Watson Lake Super A</t>
  </si>
  <si>
    <t>Wembley Corner Store</t>
  </si>
  <si>
    <t>Wildwood Bigway</t>
  </si>
  <si>
    <t>16279-01</t>
  </si>
  <si>
    <t>Wrights Food Service</t>
  </si>
  <si>
    <t>Yellowknife Coop</t>
  </si>
  <si>
    <t>Jasper Super A</t>
  </si>
  <si>
    <t>Tags Watson Lake</t>
  </si>
  <si>
    <t>Courtyard by Marriott  10850</t>
  </si>
  <si>
    <t>Customer #: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</si>
</sst>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F800]dddd\,\ mmmm\ dd\,\ yyyy"/>
  </numFmts>
  <fonts count="12" x14ac:knownFonts="1">
    <font>
      <sz val="10"/>
      <name val="Arial"/>
    </font>
    <font>
      <sz val="22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8"/>
      <color rgb="FF222222"/>
      <name val="Arial"/>
      <family val="2"/>
    </font>
    <font>
      <sz val="10"/>
      <name val="Arial"/>
      <family val="2"/>
    </font>
    <font>
      <u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/>
    </xf>
    <xf numFmtId="0" fontId="5" fillId="0" borderId="0" xfId="0" applyFont="1"/>
    <xf numFmtId="44" fontId="3" fillId="0" borderId="1" xfId="1" applyFont="1" applyBorder="1"/>
    <xf numFmtId="44" fontId="3" fillId="0" borderId="1" xfId="1" applyFont="1" applyBorder="1" applyAlignment="1">
      <alignment horizontal="center"/>
    </xf>
    <xf numFmtId="10" fontId="3" fillId="0" borderId="1" xfId="2" applyNumberFormat="1" applyFont="1" applyBorder="1"/>
    <xf numFmtId="0" fontId="8" fillId="0" borderId="1" xfId="0" applyFont="1" applyBorder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3" xfId="0" applyFont="1" applyBorder="1"/>
    <xf numFmtId="44" fontId="3" fillId="0" borderId="3" xfId="1" applyFont="1" applyBorder="1"/>
    <xf numFmtId="0" fontId="3" fillId="0" borderId="3" xfId="0" applyFont="1" applyBorder="1" applyAlignment="1">
      <alignment horizontal="center"/>
    </xf>
    <xf numFmtId="0" fontId="3" fillId="0" borderId="2" xfId="0" applyFont="1" applyBorder="1"/>
    <xf numFmtId="0" fontId="0" fillId="0" borderId="6" xfId="0" applyBorder="1"/>
    <xf numFmtId="44" fontId="3" fillId="0" borderId="1" xfId="1" applyFont="1" applyBorder="1" applyAlignment="1">
      <alignment horizontal="right"/>
    </xf>
    <xf numFmtId="44" fontId="8" fillId="0" borderId="2" xfId="1" applyFont="1" applyBorder="1" applyAlignment="1">
      <alignment horizontal="right"/>
    </xf>
    <xf numFmtId="44" fontId="3" fillId="0" borderId="3" xfId="1" applyFont="1" applyBorder="1" applyAlignment="1">
      <alignment horizontal="right"/>
    </xf>
    <xf numFmtId="44" fontId="3" fillId="0" borderId="4" xfId="1" applyFont="1" applyBorder="1" applyAlignment="1"/>
    <xf numFmtId="44" fontId="8" fillId="0" borderId="1" xfId="1" applyFont="1" applyBorder="1" applyAlignment="1">
      <alignment horizontal="right"/>
    </xf>
    <xf numFmtId="0" fontId="8" fillId="0" borderId="7" xfId="0" applyFont="1" applyBorder="1" applyAlignment="1">
      <alignment horizontal="left"/>
    </xf>
    <xf numFmtId="0" fontId="9" fillId="0" borderId="0" xfId="0" applyFont="1"/>
    <xf numFmtId="10" fontId="3" fillId="2" borderId="1" xfId="2" applyNumberFormat="1" applyFont="1" applyFill="1" applyBorder="1"/>
    <xf numFmtId="0" fontId="10" fillId="0" borderId="0" xfId="0" applyFont="1" applyAlignment="1">
      <alignment horizontal="right"/>
    </xf>
    <xf numFmtId="0" fontId="7" fillId="0" borderId="5" xfId="0" applyFont="1" applyBorder="1" applyAlignment="1">
      <alignment horizontal="center"/>
    </xf>
    <xf numFmtId="164" fontId="9" fillId="0" borderId="0" xfId="0" applyNumberFormat="1" applyFont="1"/>
    <xf numFmtId="8" fontId="3" fillId="0" borderId="1" xfId="1" applyNumberFormat="1" applyFont="1" applyBorder="1"/>
    <xf numFmtId="0" fontId="9" fillId="0" borderId="0" xfId="0" applyFont="1" applyAlignment="1">
      <alignment horizontal="right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0" borderId="12" xfId="0" applyNumberFormat="1" applyFont="1" applyBorder="1" applyAlignment="1">
      <alignment horizontal="center"/>
    </xf>
    <xf numFmtId="4" fontId="3" fillId="0" borderId="11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4" fontId="3" fillId="0" borderId="4" xfId="0" applyNumberFormat="1" applyFont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4" fontId="3" fillId="0" borderId="7" xfId="0" applyNumberFormat="1" applyFont="1" applyBorder="1" applyAlignment="1">
      <alignment horizontal="center"/>
    </xf>
    <xf numFmtId="4" fontId="3" fillId="0" borderId="9" xfId="0" applyNumberFormat="1" applyFont="1" applyBorder="1" applyAlignment="1">
      <alignment horizontal="center"/>
    </xf>
    <xf numFmtId="0" fontId="11" fillId="0" borderId="13" xfId="0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9"/>
  <sheetViews>
    <sheetView showZeros="0" workbookViewId="0">
      <selection activeCell="M31" sqref="M31"/>
    </sheetView>
  </sheetViews>
  <sheetFormatPr defaultRowHeight="12.75" x14ac:dyDescent="0.2"/>
  <cols>
    <col min="1" max="1" width="16.85546875" customWidth="1"/>
    <col min="2" max="2" width="53.5703125" customWidth="1"/>
    <col min="3" max="3" width="16.85546875" hidden="1" customWidth="1"/>
    <col min="4" max="4" width="11.140625" hidden="1" customWidth="1"/>
    <col min="5" max="6" width="11" hidden="1" customWidth="1"/>
    <col min="7" max="7" width="21" customWidth="1"/>
    <col min="8" max="8" width="15.7109375" customWidth="1"/>
    <col min="9" max="9" width="16.85546875" customWidth="1"/>
    <col min="10" max="10" width="17.140625" customWidth="1"/>
  </cols>
  <sheetData>
    <row r="1" spans="1:12" ht="26.25" customHeight="1" thickBot="1" x14ac:dyDescent="0.4">
      <c r="B1" s="1" t="s">
        <v>0</v>
      </c>
      <c r="C1" s="1"/>
      <c r="H1" s="28" t="s">
        <v>6</v>
      </c>
      <c r="I1" s="25"/>
    </row>
    <row r="2" spans="1:12" ht="15.75" customHeight="1" x14ac:dyDescent="0.35">
      <c r="B2" s="1"/>
      <c r="C2" s="1"/>
      <c r="G2" s="32" t="s">
        <v>25</v>
      </c>
      <c r="H2" s="40"/>
      <c r="I2" s="40"/>
      <c r="J2" s="30"/>
    </row>
    <row r="3" spans="1:12" ht="34.5" hidden="1" customHeight="1" x14ac:dyDescent="0.2">
      <c r="L3" s="7"/>
    </row>
    <row r="4" spans="1:12" x14ac:dyDescent="0.2">
      <c r="B4" s="26" t="s">
        <v>1</v>
      </c>
      <c r="C4" s="26"/>
      <c r="G4" s="26" t="s">
        <v>3</v>
      </c>
      <c r="H4" s="32" t="s">
        <v>193</v>
      </c>
      <c r="I4" s="47"/>
    </row>
    <row r="5" spans="1:12" x14ac:dyDescent="0.2">
      <c r="B5" s="26" t="s">
        <v>20</v>
      </c>
      <c r="C5" s="26"/>
      <c r="G5" s="26"/>
    </row>
    <row r="6" spans="1:12" x14ac:dyDescent="0.2">
      <c r="B6" s="26" t="s">
        <v>21</v>
      </c>
      <c r="C6" s="26"/>
      <c r="G6" s="26"/>
    </row>
    <row r="7" spans="1:12" x14ac:dyDescent="0.2">
      <c r="B7" s="26" t="s">
        <v>2</v>
      </c>
      <c r="C7" s="26"/>
      <c r="G7" s="26"/>
    </row>
    <row r="8" spans="1:12" x14ac:dyDescent="0.2">
      <c r="B8" s="26" t="s">
        <v>22</v>
      </c>
      <c r="C8" s="26"/>
      <c r="G8" s="26"/>
    </row>
    <row r="9" spans="1:12" x14ac:dyDescent="0.2">
      <c r="A9" s="5"/>
      <c r="B9" s="4"/>
      <c r="C9" s="4"/>
    </row>
    <row r="10" spans="1:12" ht="15.75" x14ac:dyDescent="0.25">
      <c r="A10" s="11" t="s">
        <v>10</v>
      </c>
      <c r="B10" s="12" t="s">
        <v>4</v>
      </c>
      <c r="C10" s="12" t="s">
        <v>19</v>
      </c>
      <c r="D10" s="12" t="s">
        <v>17</v>
      </c>
      <c r="E10" s="12" t="s">
        <v>13</v>
      </c>
      <c r="F10" s="12" t="s">
        <v>14</v>
      </c>
      <c r="G10" s="13" t="s">
        <v>7</v>
      </c>
      <c r="H10" s="13" t="s">
        <v>8</v>
      </c>
      <c r="I10" s="13" t="s">
        <v>9</v>
      </c>
      <c r="J10" s="13" t="s">
        <v>5</v>
      </c>
    </row>
    <row r="11" spans="1:12" ht="15" hidden="1" x14ac:dyDescent="0.2">
      <c r="A11" s="6">
        <v>77011</v>
      </c>
      <c r="B11" s="2" t="s">
        <v>12</v>
      </c>
      <c r="C11" s="2"/>
      <c r="D11" s="8"/>
      <c r="E11" s="8">
        <v>40.5</v>
      </c>
      <c r="F11" s="27">
        <v>7.0000000000000007E-2</v>
      </c>
      <c r="G11" s="3"/>
      <c r="H11" s="9">
        <f>E11*F11+E11</f>
        <v>43.335000000000001</v>
      </c>
      <c r="I11" s="20">
        <f>D11*G11</f>
        <v>0</v>
      </c>
      <c r="J11" s="20">
        <f>(G11*H11)+I11</f>
        <v>0</v>
      </c>
    </row>
    <row r="12" spans="1:12" ht="15" hidden="1" x14ac:dyDescent="0.2">
      <c r="A12" s="6">
        <v>77010</v>
      </c>
      <c r="B12" s="2" t="s">
        <v>23</v>
      </c>
      <c r="C12" s="2"/>
      <c r="D12" s="8"/>
      <c r="E12" s="8">
        <v>22.5</v>
      </c>
      <c r="F12" s="10">
        <f>$F$11</f>
        <v>7.0000000000000007E-2</v>
      </c>
      <c r="G12" s="3"/>
      <c r="H12" s="9">
        <f>E12*F12+E12</f>
        <v>24.074999999999999</v>
      </c>
      <c r="I12" s="20">
        <f t="shared" ref="I12:I14" si="0">D12*G12</f>
        <v>0</v>
      </c>
      <c r="J12" s="20">
        <f>(G12*H12)+I12</f>
        <v>0</v>
      </c>
    </row>
    <row r="13" spans="1:12" ht="15" hidden="1" x14ac:dyDescent="0.2">
      <c r="A13" s="6">
        <v>7016</v>
      </c>
      <c r="B13" s="2" t="s">
        <v>24</v>
      </c>
      <c r="C13" s="2"/>
      <c r="D13" s="8"/>
      <c r="E13" s="8">
        <v>54</v>
      </c>
      <c r="F13" s="10">
        <f t="shared" ref="F13:F14" si="1">$F$11</f>
        <v>7.0000000000000007E-2</v>
      </c>
      <c r="G13" s="3"/>
      <c r="H13" s="9">
        <f>E13*F13+E13</f>
        <v>57.78</v>
      </c>
      <c r="I13" s="20">
        <f t="shared" si="0"/>
        <v>0</v>
      </c>
      <c r="J13" s="20">
        <f>(G13*H13)+I13</f>
        <v>0</v>
      </c>
    </row>
    <row r="14" spans="1:12" ht="15" hidden="1" x14ac:dyDescent="0.2">
      <c r="A14" s="6"/>
      <c r="B14" s="2"/>
      <c r="C14" s="2"/>
      <c r="D14" s="8"/>
      <c r="E14" s="8"/>
      <c r="F14" s="10">
        <f t="shared" si="1"/>
        <v>7.0000000000000007E-2</v>
      </c>
      <c r="G14" s="3"/>
      <c r="H14" s="9">
        <f>E14*F14+E14</f>
        <v>0</v>
      </c>
      <c r="I14" s="20">
        <f t="shared" si="0"/>
        <v>0</v>
      </c>
      <c r="J14" s="20">
        <f>(G14*H14)+I14</f>
        <v>0</v>
      </c>
    </row>
    <row r="15" spans="1:12" ht="18.75" hidden="1" thickBot="1" x14ac:dyDescent="0.3">
      <c r="A15" s="38" t="s">
        <v>15</v>
      </c>
      <c r="B15" s="39"/>
      <c r="C15" s="29"/>
      <c r="D15" s="18"/>
      <c r="E15" s="41"/>
      <c r="F15" s="42"/>
      <c r="G15" s="42"/>
      <c r="H15" s="42"/>
      <c r="I15" s="43"/>
      <c r="J15" s="21">
        <f>SUM(J11:J14)</f>
        <v>0</v>
      </c>
    </row>
    <row r="16" spans="1:12" ht="15" x14ac:dyDescent="0.2">
      <c r="A16" s="14"/>
      <c r="B16" s="15"/>
      <c r="C16" s="15"/>
      <c r="D16" s="15"/>
      <c r="E16" s="16">
        <v>10.5</v>
      </c>
      <c r="F16" s="10">
        <v>7.2499999999999995E-2</v>
      </c>
      <c r="G16" s="17"/>
      <c r="H16" s="9"/>
      <c r="I16" s="20">
        <f t="shared" ref="I16:I36" si="2">D16*G16</f>
        <v>0</v>
      </c>
      <c r="J16" s="22">
        <f>(G16*H16)+I16</f>
        <v>0</v>
      </c>
    </row>
    <row r="17" spans="1:10" ht="15" hidden="1" x14ac:dyDescent="0.2">
      <c r="A17" s="6"/>
      <c r="B17" s="2"/>
      <c r="C17" s="2"/>
      <c r="D17" s="2"/>
      <c r="E17" s="31">
        <v>105.2833</v>
      </c>
      <c r="F17" s="10">
        <v>7.2499999999999995E-2</v>
      </c>
      <c r="G17" s="3"/>
      <c r="H17" s="9">
        <f t="shared" ref="H17:H19" si="3">E17+(E17*F17)</f>
        <v>112.91633924999999</v>
      </c>
      <c r="I17" s="20">
        <f t="shared" si="2"/>
        <v>0</v>
      </c>
      <c r="J17" s="22">
        <f t="shared" ref="J17:J36" si="4">(G17*H17)+I17</f>
        <v>0</v>
      </c>
    </row>
    <row r="18" spans="1:10" ht="15" hidden="1" x14ac:dyDescent="0.2">
      <c r="A18" s="6"/>
      <c r="B18" s="2"/>
      <c r="C18" s="2"/>
      <c r="D18" s="2"/>
      <c r="E18" s="8">
        <v>81.633300000000006</v>
      </c>
      <c r="F18" s="10">
        <v>7.2499999999999995E-2</v>
      </c>
      <c r="G18" s="3"/>
      <c r="H18" s="9">
        <f t="shared" si="3"/>
        <v>87.551714250000003</v>
      </c>
      <c r="I18" s="20">
        <f t="shared" si="2"/>
        <v>0</v>
      </c>
      <c r="J18" s="22">
        <f t="shared" si="4"/>
        <v>0</v>
      </c>
    </row>
    <row r="19" spans="1:10" ht="15" hidden="1" customHeight="1" x14ac:dyDescent="0.2">
      <c r="A19" s="6"/>
      <c r="B19" s="2"/>
      <c r="C19" s="2"/>
      <c r="D19" s="2"/>
      <c r="E19" s="8">
        <v>306</v>
      </c>
      <c r="F19" s="10">
        <v>7.2499999999999995E-2</v>
      </c>
      <c r="G19" s="3"/>
      <c r="H19" s="9">
        <f t="shared" si="3"/>
        <v>328.185</v>
      </c>
      <c r="I19" s="20">
        <f t="shared" si="2"/>
        <v>0</v>
      </c>
      <c r="J19" s="22">
        <f t="shared" si="4"/>
        <v>0</v>
      </c>
    </row>
    <row r="20" spans="1:10" ht="15" customHeight="1" x14ac:dyDescent="0.2">
      <c r="A20" s="6"/>
      <c r="B20" s="2"/>
      <c r="D20" s="2"/>
      <c r="E20" s="8">
        <v>10.5</v>
      </c>
      <c r="F20" s="10">
        <v>7.2499999999999995E-2</v>
      </c>
      <c r="G20" s="3"/>
      <c r="H20" s="9"/>
      <c r="I20" s="20">
        <f t="shared" si="2"/>
        <v>0</v>
      </c>
      <c r="J20" s="22">
        <f t="shared" si="4"/>
        <v>0</v>
      </c>
    </row>
    <row r="21" spans="1:10" ht="15" customHeight="1" x14ac:dyDescent="0.2">
      <c r="A21" s="6"/>
      <c r="B21" s="2"/>
      <c r="C21" s="2"/>
      <c r="D21" s="2"/>
      <c r="E21" s="8">
        <v>10.5</v>
      </c>
      <c r="F21" s="10">
        <v>7.2499999999999995E-2</v>
      </c>
      <c r="G21" s="3"/>
      <c r="H21" s="9"/>
      <c r="I21" s="20">
        <f t="shared" si="2"/>
        <v>0</v>
      </c>
      <c r="J21" s="22">
        <f t="shared" si="4"/>
        <v>0</v>
      </c>
    </row>
    <row r="22" spans="1:10" ht="15" customHeight="1" x14ac:dyDescent="0.2">
      <c r="A22" s="6"/>
      <c r="B22" s="2"/>
      <c r="C22" s="2"/>
      <c r="D22" s="2"/>
      <c r="E22" s="8">
        <v>10.5</v>
      </c>
      <c r="F22" s="10">
        <v>7.2499999999999995E-2</v>
      </c>
      <c r="G22" s="3"/>
      <c r="H22" s="9"/>
      <c r="I22" s="20">
        <f t="shared" si="2"/>
        <v>0</v>
      </c>
      <c r="J22" s="22">
        <f t="shared" si="4"/>
        <v>0</v>
      </c>
    </row>
    <row r="23" spans="1:10" ht="15" customHeight="1" x14ac:dyDescent="0.2">
      <c r="A23" s="6"/>
      <c r="B23" s="2"/>
      <c r="C23" s="2"/>
      <c r="D23" s="2"/>
      <c r="E23" s="8">
        <v>10.5</v>
      </c>
      <c r="F23" s="10">
        <v>7.2499999999999995E-2</v>
      </c>
      <c r="G23" s="3"/>
      <c r="H23" s="9"/>
      <c r="I23" s="20">
        <f t="shared" si="2"/>
        <v>0</v>
      </c>
      <c r="J23" s="22">
        <f t="shared" si="4"/>
        <v>0</v>
      </c>
    </row>
    <row r="24" spans="1:10" ht="15" customHeight="1" x14ac:dyDescent="0.2">
      <c r="A24" s="6"/>
      <c r="B24" s="2"/>
      <c r="C24" s="2"/>
      <c r="D24" s="2"/>
      <c r="E24" s="8">
        <v>10.5</v>
      </c>
      <c r="F24" s="10">
        <v>7.2499999999999995E-2</v>
      </c>
      <c r="G24" s="3"/>
      <c r="H24" s="9"/>
      <c r="I24" s="20">
        <f t="shared" si="2"/>
        <v>0</v>
      </c>
      <c r="J24" s="22">
        <f t="shared" si="4"/>
        <v>0</v>
      </c>
    </row>
    <row r="25" spans="1:10" ht="15" customHeight="1" x14ac:dyDescent="0.2">
      <c r="A25" s="6"/>
      <c r="B25" s="2"/>
      <c r="C25" s="2"/>
      <c r="D25" s="2"/>
      <c r="E25" s="8">
        <v>10.5</v>
      </c>
      <c r="F25" s="10">
        <v>7.2499999999999995E-2</v>
      </c>
      <c r="G25" s="3"/>
      <c r="H25" s="9"/>
      <c r="I25" s="20">
        <f t="shared" si="2"/>
        <v>0</v>
      </c>
      <c r="J25" s="22">
        <f t="shared" si="4"/>
        <v>0</v>
      </c>
    </row>
    <row r="26" spans="1:10" ht="15" customHeight="1" x14ac:dyDescent="0.2">
      <c r="A26" s="6"/>
      <c r="B26" s="2"/>
      <c r="C26" s="2"/>
      <c r="D26" s="2"/>
      <c r="E26" s="8">
        <v>10.5</v>
      </c>
      <c r="F26" s="10">
        <v>7.2499999999999995E-2</v>
      </c>
      <c r="G26" s="3"/>
      <c r="H26" s="9"/>
      <c r="I26" s="20">
        <f t="shared" si="2"/>
        <v>0</v>
      </c>
      <c r="J26" s="22">
        <f t="shared" si="4"/>
        <v>0</v>
      </c>
    </row>
    <row r="27" spans="1:10" ht="15" customHeight="1" x14ac:dyDescent="0.2">
      <c r="A27" s="6"/>
      <c r="B27" s="2"/>
      <c r="C27" s="2"/>
      <c r="D27" s="2"/>
      <c r="E27" s="8">
        <v>10.5</v>
      </c>
      <c r="F27" s="10">
        <v>7.2499999999999995E-2</v>
      </c>
      <c r="G27" s="3"/>
      <c r="H27" s="9"/>
      <c r="I27" s="20">
        <f t="shared" si="2"/>
        <v>0</v>
      </c>
      <c r="J27" s="22">
        <f t="shared" si="4"/>
        <v>0</v>
      </c>
    </row>
    <row r="28" spans="1:10" ht="15" customHeight="1" x14ac:dyDescent="0.2">
      <c r="A28" s="6"/>
      <c r="B28" s="2"/>
      <c r="C28" s="2"/>
      <c r="D28" s="2"/>
      <c r="E28" s="8">
        <v>10.5</v>
      </c>
      <c r="F28" s="10">
        <v>7.2499999999999995E-2</v>
      </c>
      <c r="G28" s="3"/>
      <c r="H28" s="9"/>
      <c r="I28" s="20">
        <f t="shared" si="2"/>
        <v>0</v>
      </c>
      <c r="J28" s="22">
        <f t="shared" si="4"/>
        <v>0</v>
      </c>
    </row>
    <row r="29" spans="1:10" ht="15" customHeight="1" x14ac:dyDescent="0.2">
      <c r="A29" s="6"/>
      <c r="B29" s="2"/>
      <c r="C29" s="2"/>
      <c r="D29" s="2"/>
      <c r="E29" s="8">
        <v>10.5</v>
      </c>
      <c r="F29" s="10">
        <v>7.2499999999999995E-2</v>
      </c>
      <c r="G29" s="3"/>
      <c r="H29" s="9"/>
      <c r="I29" s="20">
        <f t="shared" si="2"/>
        <v>0</v>
      </c>
      <c r="J29" s="22">
        <f t="shared" si="4"/>
        <v>0</v>
      </c>
    </row>
    <row r="30" spans="1:10" ht="15" customHeight="1" x14ac:dyDescent="0.2">
      <c r="A30" s="6"/>
      <c r="B30" s="2"/>
      <c r="C30" s="2"/>
      <c r="D30" s="2"/>
      <c r="E30" s="8">
        <v>10.5</v>
      </c>
      <c r="F30" s="10">
        <v>7.2499999999999995E-2</v>
      </c>
      <c r="G30" s="3"/>
      <c r="H30" s="9"/>
      <c r="I30" s="20">
        <f t="shared" ref="I30" si="5">D30*G30</f>
        <v>0</v>
      </c>
      <c r="J30" s="22">
        <f t="shared" ref="J30" si="6">(G30*H30)+I30</f>
        <v>0</v>
      </c>
    </row>
    <row r="31" spans="1:10" ht="15" x14ac:dyDescent="0.2">
      <c r="A31" s="6"/>
      <c r="B31" s="2"/>
      <c r="C31" s="2"/>
      <c r="D31" s="2"/>
      <c r="E31" s="8">
        <v>10.5</v>
      </c>
      <c r="F31" s="10">
        <v>7.2499999999999995E-2</v>
      </c>
      <c r="G31" s="3"/>
      <c r="H31" s="9"/>
      <c r="I31" s="20">
        <f t="shared" ref="I31:I35" si="7">D31*G31</f>
        <v>0</v>
      </c>
      <c r="J31" s="22">
        <f t="shared" ref="J31:J35" si="8">(G31*H31)+I31</f>
        <v>0</v>
      </c>
    </row>
    <row r="32" spans="1:10" ht="15" x14ac:dyDescent="0.2">
      <c r="A32" s="6"/>
      <c r="B32" s="2"/>
      <c r="C32" s="2"/>
      <c r="D32" s="2"/>
      <c r="E32" s="8"/>
      <c r="F32" s="10"/>
      <c r="G32" s="3"/>
      <c r="H32" s="9"/>
      <c r="I32" s="20">
        <f t="shared" si="7"/>
        <v>0</v>
      </c>
      <c r="J32" s="22">
        <f t="shared" si="8"/>
        <v>0</v>
      </c>
    </row>
    <row r="33" spans="1:10" ht="15" x14ac:dyDescent="0.2">
      <c r="A33" s="6"/>
      <c r="B33" s="2"/>
      <c r="C33" s="2"/>
      <c r="D33" s="2"/>
      <c r="E33" s="8"/>
      <c r="F33" s="10"/>
      <c r="G33" s="3"/>
      <c r="H33" s="9"/>
      <c r="I33" s="20">
        <f t="shared" si="7"/>
        <v>0</v>
      </c>
      <c r="J33" s="22">
        <f t="shared" si="8"/>
        <v>0</v>
      </c>
    </row>
    <row r="34" spans="1:10" ht="15" x14ac:dyDescent="0.2">
      <c r="A34" s="6"/>
      <c r="B34" s="2"/>
      <c r="C34" s="2"/>
      <c r="D34" s="2"/>
      <c r="E34" s="8"/>
      <c r="F34" s="10"/>
      <c r="G34" s="3"/>
      <c r="H34" s="9"/>
      <c r="I34" s="20">
        <f t="shared" si="7"/>
        <v>0</v>
      </c>
      <c r="J34" s="22">
        <f t="shared" si="8"/>
        <v>0</v>
      </c>
    </row>
    <row r="35" spans="1:10" ht="15" x14ac:dyDescent="0.2">
      <c r="A35" s="6"/>
      <c r="B35" s="2"/>
      <c r="C35" s="2"/>
      <c r="D35" s="2"/>
      <c r="E35" s="8"/>
      <c r="F35" s="10"/>
      <c r="G35" s="3"/>
      <c r="H35" s="9"/>
      <c r="I35" s="20">
        <f t="shared" si="7"/>
        <v>0</v>
      </c>
      <c r="J35" s="22">
        <f t="shared" si="8"/>
        <v>0</v>
      </c>
    </row>
    <row r="36" spans="1:10" ht="15" x14ac:dyDescent="0.2">
      <c r="A36" s="6"/>
      <c r="B36" s="2"/>
      <c r="C36" s="2"/>
      <c r="D36" s="2"/>
      <c r="E36" s="8"/>
      <c r="F36" s="10">
        <v>7.2499999999999995E-2</v>
      </c>
      <c r="G36" s="3"/>
      <c r="H36" s="9"/>
      <c r="I36" s="20">
        <f t="shared" si="2"/>
        <v>0</v>
      </c>
      <c r="J36" s="22">
        <f t="shared" si="4"/>
        <v>0</v>
      </c>
    </row>
    <row r="37" spans="1:10" ht="18.75" thickBot="1" x14ac:dyDescent="0.3">
      <c r="A37" s="38" t="s">
        <v>18</v>
      </c>
      <c r="B37" s="39"/>
      <c r="C37" s="29"/>
      <c r="D37" s="18"/>
      <c r="E37" s="23"/>
      <c r="F37" s="19"/>
      <c r="G37" s="19"/>
      <c r="H37" s="19"/>
      <c r="I37" s="24">
        <f>SUM(I11:I36)</f>
        <v>0</v>
      </c>
      <c r="J37" s="21">
        <f>I37</f>
        <v>0</v>
      </c>
    </row>
    <row r="38" spans="1:10" ht="18.75" thickBot="1" x14ac:dyDescent="0.3">
      <c r="A38" s="33" t="s">
        <v>16</v>
      </c>
      <c r="B38" s="34"/>
      <c r="C38" s="29"/>
      <c r="D38" s="18"/>
      <c r="E38" s="44"/>
      <c r="F38" s="45">
        <v>6.5000000000000002E-2</v>
      </c>
      <c r="G38" s="45"/>
      <c r="H38" s="45">
        <f>E38*F38+E38</f>
        <v>0</v>
      </c>
      <c r="I38" s="46"/>
      <c r="J38" s="21"/>
    </row>
    <row r="39" spans="1:10" ht="18.75" thickBot="1" x14ac:dyDescent="0.3">
      <c r="A39" s="33" t="s">
        <v>11</v>
      </c>
      <c r="B39" s="34" t="s">
        <v>11</v>
      </c>
      <c r="C39" s="29"/>
      <c r="D39" s="18"/>
      <c r="E39" s="35"/>
      <c r="F39" s="36"/>
      <c r="G39" s="36"/>
      <c r="H39" s="36"/>
      <c r="I39" s="37"/>
      <c r="J39" s="21"/>
    </row>
  </sheetData>
  <mergeCells count="8">
    <mergeCell ref="A39:B39"/>
    <mergeCell ref="E39:I39"/>
    <mergeCell ref="A37:B37"/>
    <mergeCell ref="H2:I2"/>
    <mergeCell ref="A15:B15"/>
    <mergeCell ref="E15:I15"/>
    <mergeCell ref="A38:B38"/>
    <mergeCell ref="E38:I38"/>
  </mergeCells>
  <phoneticPr fontId="2" type="noConversion"/>
  <pageMargins left="0.25" right="0.25" top="0.75" bottom="0.75" header="0.3" footer="0.3"/>
  <pageSetup scale="95" orientation="landscape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DD30B-C714-4DCE-9DF7-EAD915A494DB}">
  <dimension ref="A1:B128"/>
  <sheetViews>
    <sheetView tabSelected="1" workbookViewId="0">
      <selection activeCell="F25" sqref="F25"/>
    </sheetView>
  </sheetViews>
  <sheetFormatPr defaultRowHeight="12.75" x14ac:dyDescent="0.2"/>
  <cols>
    <col min="1" max="1" width="31.85546875" bestFit="1" customWidth="1"/>
    <col min="2" max="2" width="11" bestFit="1" customWidth="1"/>
  </cols>
  <sheetData>
    <row r="1" spans="1:2" x14ac:dyDescent="0.2">
      <c r="A1" t="s">
        <v>26</v>
      </c>
      <c r="B1">
        <v>2643</v>
      </c>
    </row>
    <row r="2" spans="1:2" x14ac:dyDescent="0.2">
      <c r="A2" t="s">
        <v>27</v>
      </c>
      <c r="B2" t="s">
        <v>28</v>
      </c>
    </row>
    <row r="3" spans="1:2" x14ac:dyDescent="0.2">
      <c r="A3" t="s">
        <v>29</v>
      </c>
      <c r="B3">
        <v>2309</v>
      </c>
    </row>
    <row r="4" spans="1:2" x14ac:dyDescent="0.2">
      <c r="A4" t="s">
        <v>30</v>
      </c>
      <c r="B4">
        <v>1575500100</v>
      </c>
    </row>
    <row r="5" spans="1:2" x14ac:dyDescent="0.2">
      <c r="A5" t="s">
        <v>31</v>
      </c>
      <c r="B5">
        <v>2625</v>
      </c>
    </row>
    <row r="6" spans="1:2" x14ac:dyDescent="0.2">
      <c r="A6" t="s">
        <v>32</v>
      </c>
      <c r="B6">
        <v>15500100</v>
      </c>
    </row>
    <row r="7" spans="1:2" x14ac:dyDescent="0.2">
      <c r="A7" t="s">
        <v>33</v>
      </c>
      <c r="B7" t="s">
        <v>34</v>
      </c>
    </row>
    <row r="8" spans="1:2" x14ac:dyDescent="0.2">
      <c r="A8" t="s">
        <v>35</v>
      </c>
      <c r="B8">
        <v>1356</v>
      </c>
    </row>
    <row r="9" spans="1:2" x14ac:dyDescent="0.2">
      <c r="A9" t="s">
        <v>36</v>
      </c>
      <c r="B9">
        <v>1639300100</v>
      </c>
    </row>
    <row r="10" spans="1:2" x14ac:dyDescent="0.2">
      <c r="A10" t="s">
        <v>37</v>
      </c>
      <c r="B10">
        <v>1628600100</v>
      </c>
    </row>
    <row r="11" spans="1:2" x14ac:dyDescent="0.2">
      <c r="A11" t="s">
        <v>38</v>
      </c>
      <c r="B11" t="s">
        <v>39</v>
      </c>
    </row>
    <row r="12" spans="1:2" x14ac:dyDescent="0.2">
      <c r="A12" t="s">
        <v>40</v>
      </c>
      <c r="B12" t="s">
        <v>41</v>
      </c>
    </row>
    <row r="13" spans="1:2" x14ac:dyDescent="0.2">
      <c r="A13" t="s">
        <v>42</v>
      </c>
      <c r="B13" t="s">
        <v>43</v>
      </c>
    </row>
    <row r="14" spans="1:2" x14ac:dyDescent="0.2">
      <c r="A14" t="s">
        <v>44</v>
      </c>
      <c r="B14">
        <v>1662</v>
      </c>
    </row>
    <row r="15" spans="1:2" x14ac:dyDescent="0.2">
      <c r="A15" t="s">
        <v>45</v>
      </c>
      <c r="B15">
        <v>16321.001</v>
      </c>
    </row>
    <row r="16" spans="1:2" x14ac:dyDescent="0.2">
      <c r="A16" t="s">
        <v>46</v>
      </c>
      <c r="B16">
        <v>519</v>
      </c>
    </row>
    <row r="17" spans="1:2" x14ac:dyDescent="0.2">
      <c r="A17" t="s">
        <v>47</v>
      </c>
      <c r="B17">
        <v>507</v>
      </c>
    </row>
    <row r="18" spans="1:2" x14ac:dyDescent="0.2">
      <c r="A18" t="s">
        <v>48</v>
      </c>
      <c r="B18">
        <v>1609200100</v>
      </c>
    </row>
    <row r="19" spans="1:2" x14ac:dyDescent="0.2">
      <c r="A19" t="s">
        <v>49</v>
      </c>
      <c r="B19" t="s">
        <v>50</v>
      </c>
    </row>
    <row r="20" spans="1:2" x14ac:dyDescent="0.2">
      <c r="A20" t="s">
        <v>51</v>
      </c>
      <c r="B20">
        <v>15783</v>
      </c>
    </row>
    <row r="21" spans="1:2" x14ac:dyDescent="0.2">
      <c r="A21" t="s">
        <v>52</v>
      </c>
      <c r="B21">
        <v>34100100</v>
      </c>
    </row>
    <row r="22" spans="1:2" x14ac:dyDescent="0.2">
      <c r="A22" t="s">
        <v>53</v>
      </c>
      <c r="B22">
        <v>2359</v>
      </c>
    </row>
    <row r="23" spans="1:2" x14ac:dyDescent="0.2">
      <c r="A23" t="s">
        <v>54</v>
      </c>
      <c r="B23">
        <v>1629100100</v>
      </c>
    </row>
    <row r="24" spans="1:2" x14ac:dyDescent="0.2">
      <c r="A24" t="s">
        <v>55</v>
      </c>
      <c r="B24">
        <v>901</v>
      </c>
    </row>
    <row r="25" spans="1:2" x14ac:dyDescent="0.2">
      <c r="A25" t="s">
        <v>56</v>
      </c>
      <c r="B25" t="s">
        <v>57</v>
      </c>
    </row>
    <row r="26" spans="1:2" x14ac:dyDescent="0.2">
      <c r="A26" t="s">
        <v>58</v>
      </c>
      <c r="B26">
        <v>2016</v>
      </c>
    </row>
    <row r="27" spans="1:2" x14ac:dyDescent="0.2">
      <c r="A27" t="s">
        <v>59</v>
      </c>
      <c r="B27">
        <v>186000100</v>
      </c>
    </row>
    <row r="28" spans="1:2" x14ac:dyDescent="0.2">
      <c r="A28" t="s">
        <v>60</v>
      </c>
      <c r="B28" t="s">
        <v>61</v>
      </c>
    </row>
    <row r="29" spans="1:2" x14ac:dyDescent="0.2">
      <c r="A29" t="s">
        <v>62</v>
      </c>
      <c r="B29" t="s">
        <v>63</v>
      </c>
    </row>
    <row r="30" spans="1:2" x14ac:dyDescent="0.2">
      <c r="A30" t="s">
        <v>64</v>
      </c>
      <c r="B30">
        <v>15544</v>
      </c>
    </row>
    <row r="31" spans="1:2" x14ac:dyDescent="0.2">
      <c r="A31" t="s">
        <v>65</v>
      </c>
      <c r="B31">
        <v>1508200100</v>
      </c>
    </row>
    <row r="32" spans="1:2" x14ac:dyDescent="0.2">
      <c r="A32" t="s">
        <v>66</v>
      </c>
      <c r="B32">
        <v>1872</v>
      </c>
    </row>
    <row r="33" spans="1:2" x14ac:dyDescent="0.2">
      <c r="A33" t="s">
        <v>67</v>
      </c>
      <c r="B33" t="s">
        <v>68</v>
      </c>
    </row>
    <row r="34" spans="1:2" x14ac:dyDescent="0.2">
      <c r="A34" t="s">
        <v>69</v>
      </c>
      <c r="B34">
        <v>1503700100</v>
      </c>
    </row>
    <row r="35" spans="1:2" x14ac:dyDescent="0.2">
      <c r="A35" t="s">
        <v>70</v>
      </c>
      <c r="B35">
        <v>110900100</v>
      </c>
    </row>
    <row r="36" spans="1:2" x14ac:dyDescent="0.2">
      <c r="A36" t="s">
        <v>71</v>
      </c>
      <c r="B36">
        <v>2346</v>
      </c>
    </row>
    <row r="37" spans="1:2" x14ac:dyDescent="0.2">
      <c r="A37" t="s">
        <v>72</v>
      </c>
      <c r="B37">
        <v>284</v>
      </c>
    </row>
    <row r="38" spans="1:2" x14ac:dyDescent="0.2">
      <c r="A38" t="s">
        <v>73</v>
      </c>
      <c r="B38">
        <v>2151</v>
      </c>
    </row>
    <row r="39" spans="1:2" x14ac:dyDescent="0.2">
      <c r="A39" t="s">
        <v>74</v>
      </c>
      <c r="B39">
        <v>15820</v>
      </c>
    </row>
    <row r="40" spans="1:2" x14ac:dyDescent="0.2">
      <c r="A40" t="s">
        <v>75</v>
      </c>
      <c r="B40" t="s">
        <v>76</v>
      </c>
    </row>
    <row r="41" spans="1:2" x14ac:dyDescent="0.2">
      <c r="A41" t="s">
        <v>77</v>
      </c>
      <c r="B41">
        <v>2474</v>
      </c>
    </row>
    <row r="42" spans="1:2" x14ac:dyDescent="0.2">
      <c r="A42" t="s">
        <v>78</v>
      </c>
      <c r="B42">
        <v>731900100</v>
      </c>
    </row>
    <row r="43" spans="1:2" x14ac:dyDescent="0.2">
      <c r="A43" t="s">
        <v>79</v>
      </c>
      <c r="B43" t="s">
        <v>80</v>
      </c>
    </row>
    <row r="44" spans="1:2" x14ac:dyDescent="0.2">
      <c r="A44" t="s">
        <v>81</v>
      </c>
      <c r="B44">
        <v>1647300200</v>
      </c>
    </row>
    <row r="45" spans="1:2" x14ac:dyDescent="0.2">
      <c r="A45" t="s">
        <v>82</v>
      </c>
      <c r="B45" t="s">
        <v>83</v>
      </c>
    </row>
    <row r="46" spans="1:2" x14ac:dyDescent="0.2">
      <c r="A46" t="s">
        <v>84</v>
      </c>
      <c r="B46">
        <v>279100100</v>
      </c>
    </row>
    <row r="47" spans="1:2" x14ac:dyDescent="0.2">
      <c r="A47" t="s">
        <v>85</v>
      </c>
      <c r="B47">
        <v>1625800100</v>
      </c>
    </row>
    <row r="48" spans="1:2" x14ac:dyDescent="0.2">
      <c r="A48" t="s">
        <v>86</v>
      </c>
      <c r="B48" t="s">
        <v>87</v>
      </c>
    </row>
    <row r="49" spans="1:2" x14ac:dyDescent="0.2">
      <c r="A49" t="s">
        <v>88</v>
      </c>
      <c r="B49" t="s">
        <v>89</v>
      </c>
    </row>
    <row r="50" spans="1:2" x14ac:dyDescent="0.2">
      <c r="A50" t="s">
        <v>90</v>
      </c>
      <c r="B50" t="s">
        <v>91</v>
      </c>
    </row>
    <row r="51" spans="1:2" x14ac:dyDescent="0.2">
      <c r="A51" t="s">
        <v>92</v>
      </c>
      <c r="B51" t="s">
        <v>93</v>
      </c>
    </row>
    <row r="52" spans="1:2" x14ac:dyDescent="0.2">
      <c r="A52" t="s">
        <v>94</v>
      </c>
      <c r="B52" t="s">
        <v>95</v>
      </c>
    </row>
    <row r="53" spans="1:2" x14ac:dyDescent="0.2">
      <c r="A53" t="s">
        <v>96</v>
      </c>
      <c r="B53" t="s">
        <v>97</v>
      </c>
    </row>
    <row r="54" spans="1:2" x14ac:dyDescent="0.2">
      <c r="A54" t="s">
        <v>98</v>
      </c>
      <c r="B54" t="s">
        <v>99</v>
      </c>
    </row>
    <row r="55" spans="1:2" x14ac:dyDescent="0.2">
      <c r="A55" t="s">
        <v>100</v>
      </c>
      <c r="B55">
        <v>10463</v>
      </c>
    </row>
    <row r="56" spans="1:2" x14ac:dyDescent="0.2">
      <c r="A56" t="s">
        <v>101</v>
      </c>
      <c r="B56" t="s">
        <v>102</v>
      </c>
    </row>
    <row r="57" spans="1:2" x14ac:dyDescent="0.2">
      <c r="A57" t="s">
        <v>103</v>
      </c>
      <c r="B57">
        <v>1530000100</v>
      </c>
    </row>
    <row r="58" spans="1:2" x14ac:dyDescent="0.2">
      <c r="A58" t="s">
        <v>104</v>
      </c>
      <c r="B58">
        <v>15976</v>
      </c>
    </row>
    <row r="59" spans="1:2" x14ac:dyDescent="0.2">
      <c r="A59" t="s">
        <v>105</v>
      </c>
      <c r="B59">
        <v>1519800100</v>
      </c>
    </row>
    <row r="60" spans="1:2" x14ac:dyDescent="0.2">
      <c r="A60" t="s">
        <v>106</v>
      </c>
      <c r="B60">
        <v>368800100</v>
      </c>
    </row>
    <row r="61" spans="1:2" x14ac:dyDescent="0.2">
      <c r="A61" t="s">
        <v>107</v>
      </c>
      <c r="B61">
        <v>1752</v>
      </c>
    </row>
    <row r="62" spans="1:2" x14ac:dyDescent="0.2">
      <c r="A62" t="s">
        <v>108</v>
      </c>
    </row>
    <row r="63" spans="1:2" x14ac:dyDescent="0.2">
      <c r="A63" t="s">
        <v>109</v>
      </c>
      <c r="B63">
        <v>1500300100</v>
      </c>
    </row>
    <row r="64" spans="1:2" x14ac:dyDescent="0.2">
      <c r="A64" t="s">
        <v>110</v>
      </c>
      <c r="B64" t="s">
        <v>111</v>
      </c>
    </row>
    <row r="65" spans="1:2" x14ac:dyDescent="0.2">
      <c r="A65" t="s">
        <v>112</v>
      </c>
      <c r="B65">
        <v>10460</v>
      </c>
    </row>
    <row r="66" spans="1:2" x14ac:dyDescent="0.2">
      <c r="A66" t="s">
        <v>113</v>
      </c>
      <c r="B66">
        <v>1519000100</v>
      </c>
    </row>
    <row r="67" spans="1:2" x14ac:dyDescent="0.2">
      <c r="A67" t="s">
        <v>114</v>
      </c>
      <c r="B67">
        <v>1627</v>
      </c>
    </row>
    <row r="68" spans="1:2" x14ac:dyDescent="0.2">
      <c r="A68" t="s">
        <v>115</v>
      </c>
      <c r="B68">
        <v>15848</v>
      </c>
    </row>
    <row r="69" spans="1:2" x14ac:dyDescent="0.2">
      <c r="A69" t="s">
        <v>116</v>
      </c>
      <c r="B69" t="s">
        <v>117</v>
      </c>
    </row>
    <row r="70" spans="1:2" x14ac:dyDescent="0.2">
      <c r="A70" t="s">
        <v>118</v>
      </c>
      <c r="B70" t="s">
        <v>119</v>
      </c>
    </row>
    <row r="71" spans="1:2" x14ac:dyDescent="0.2">
      <c r="A71" t="s">
        <v>120</v>
      </c>
      <c r="B71">
        <v>2585</v>
      </c>
    </row>
    <row r="72" spans="1:2" x14ac:dyDescent="0.2">
      <c r="A72" t="s">
        <v>121</v>
      </c>
      <c r="B72">
        <v>2550</v>
      </c>
    </row>
    <row r="73" spans="1:2" x14ac:dyDescent="0.2">
      <c r="A73" t="s">
        <v>122</v>
      </c>
      <c r="B73">
        <v>60000100</v>
      </c>
    </row>
    <row r="74" spans="1:2" x14ac:dyDescent="0.2">
      <c r="A74" t="s">
        <v>123</v>
      </c>
      <c r="B74">
        <v>1622100100</v>
      </c>
    </row>
    <row r="75" spans="1:2" x14ac:dyDescent="0.2">
      <c r="A75" t="s">
        <v>124</v>
      </c>
      <c r="B75">
        <v>264600100</v>
      </c>
    </row>
    <row r="76" spans="1:2" x14ac:dyDescent="0.2">
      <c r="A76" t="s">
        <v>125</v>
      </c>
      <c r="B76">
        <v>2082</v>
      </c>
    </row>
    <row r="77" spans="1:2" x14ac:dyDescent="0.2">
      <c r="A77" t="s">
        <v>126</v>
      </c>
      <c r="B77">
        <v>546500100</v>
      </c>
    </row>
    <row r="78" spans="1:2" x14ac:dyDescent="0.2">
      <c r="A78" t="s">
        <v>127</v>
      </c>
      <c r="B78">
        <v>1557100100</v>
      </c>
    </row>
    <row r="79" spans="1:2" x14ac:dyDescent="0.2">
      <c r="A79" t="s">
        <v>128</v>
      </c>
      <c r="B79">
        <v>3592</v>
      </c>
    </row>
    <row r="80" spans="1:2" x14ac:dyDescent="0.2">
      <c r="A80" t="s">
        <v>129</v>
      </c>
      <c r="B80" t="s">
        <v>130</v>
      </c>
    </row>
    <row r="81" spans="1:2" x14ac:dyDescent="0.2">
      <c r="A81" t="s">
        <v>131</v>
      </c>
      <c r="B81">
        <v>1828</v>
      </c>
    </row>
    <row r="82" spans="1:2" x14ac:dyDescent="0.2">
      <c r="A82" t="s">
        <v>132</v>
      </c>
      <c r="B82">
        <v>16103</v>
      </c>
    </row>
    <row r="83" spans="1:2" x14ac:dyDescent="0.2">
      <c r="A83" t="s">
        <v>133</v>
      </c>
      <c r="B83">
        <v>15549</v>
      </c>
    </row>
    <row r="84" spans="1:2" x14ac:dyDescent="0.2">
      <c r="A84" t="s">
        <v>134</v>
      </c>
      <c r="B84">
        <v>325</v>
      </c>
    </row>
    <row r="85" spans="1:2" x14ac:dyDescent="0.2">
      <c r="A85" t="s">
        <v>135</v>
      </c>
      <c r="B85">
        <v>147900100</v>
      </c>
    </row>
    <row r="86" spans="1:2" x14ac:dyDescent="0.2">
      <c r="A86" t="s">
        <v>136</v>
      </c>
      <c r="B86">
        <v>3680</v>
      </c>
    </row>
    <row r="87" spans="1:2" x14ac:dyDescent="0.2">
      <c r="A87" t="s">
        <v>137</v>
      </c>
      <c r="B87" t="s">
        <v>138</v>
      </c>
    </row>
    <row r="88" spans="1:2" x14ac:dyDescent="0.2">
      <c r="A88" t="s">
        <v>139</v>
      </c>
      <c r="B88" t="s">
        <v>140</v>
      </c>
    </row>
    <row r="89" spans="1:2" x14ac:dyDescent="0.2">
      <c r="A89" t="s">
        <v>141</v>
      </c>
      <c r="B89" t="s">
        <v>142</v>
      </c>
    </row>
    <row r="90" spans="1:2" x14ac:dyDescent="0.2">
      <c r="A90" t="s">
        <v>143</v>
      </c>
      <c r="B90">
        <v>201100100</v>
      </c>
    </row>
    <row r="91" spans="1:2" x14ac:dyDescent="0.2">
      <c r="A91" t="s">
        <v>144</v>
      </c>
      <c r="B91" t="s">
        <v>145</v>
      </c>
    </row>
    <row r="92" spans="1:2" x14ac:dyDescent="0.2">
      <c r="A92" t="s">
        <v>146</v>
      </c>
      <c r="B92">
        <v>15547</v>
      </c>
    </row>
    <row r="93" spans="1:2" x14ac:dyDescent="0.2">
      <c r="A93" t="s">
        <v>147</v>
      </c>
      <c r="B93" t="s">
        <v>148</v>
      </c>
    </row>
    <row r="94" spans="1:2" x14ac:dyDescent="0.2">
      <c r="A94" t="s">
        <v>149</v>
      </c>
      <c r="B94">
        <v>531</v>
      </c>
    </row>
    <row r="95" spans="1:2" x14ac:dyDescent="0.2">
      <c r="A95" t="s">
        <v>150</v>
      </c>
      <c r="B95">
        <v>694</v>
      </c>
    </row>
    <row r="96" spans="1:2" x14ac:dyDescent="0.2">
      <c r="A96" t="s">
        <v>151</v>
      </c>
      <c r="B96">
        <v>88</v>
      </c>
    </row>
    <row r="97" spans="1:2" x14ac:dyDescent="0.2">
      <c r="A97" t="s">
        <v>152</v>
      </c>
      <c r="B97">
        <v>1278</v>
      </c>
    </row>
    <row r="98" spans="1:2" x14ac:dyDescent="0.2">
      <c r="A98" t="s">
        <v>153</v>
      </c>
      <c r="B98" t="s">
        <v>154</v>
      </c>
    </row>
    <row r="99" spans="1:2" x14ac:dyDescent="0.2">
      <c r="A99" t="s">
        <v>155</v>
      </c>
      <c r="B99" t="s">
        <v>156</v>
      </c>
    </row>
    <row r="100" spans="1:2" x14ac:dyDescent="0.2">
      <c r="A100" t="s">
        <v>157</v>
      </c>
      <c r="B100">
        <v>2354</v>
      </c>
    </row>
    <row r="101" spans="1:2" x14ac:dyDescent="0.2">
      <c r="A101" t="s">
        <v>158</v>
      </c>
      <c r="B101" t="s">
        <v>159</v>
      </c>
    </row>
    <row r="102" spans="1:2" x14ac:dyDescent="0.2">
      <c r="A102" t="s">
        <v>160</v>
      </c>
      <c r="B102" t="s">
        <v>161</v>
      </c>
    </row>
    <row r="103" spans="1:2" x14ac:dyDescent="0.2">
      <c r="A103" t="s">
        <v>162</v>
      </c>
      <c r="B103">
        <v>171100100</v>
      </c>
    </row>
    <row r="104" spans="1:2" x14ac:dyDescent="0.2">
      <c r="A104" t="s">
        <v>163</v>
      </c>
      <c r="B104">
        <v>146800100</v>
      </c>
    </row>
    <row r="105" spans="1:2" x14ac:dyDescent="0.2">
      <c r="A105" t="s">
        <v>164</v>
      </c>
      <c r="B105" t="s">
        <v>165</v>
      </c>
    </row>
    <row r="106" spans="1:2" x14ac:dyDescent="0.2">
      <c r="A106" t="s">
        <v>166</v>
      </c>
      <c r="B106" t="s">
        <v>167</v>
      </c>
    </row>
    <row r="107" spans="1:2" x14ac:dyDescent="0.2">
      <c r="A107" t="s">
        <v>168</v>
      </c>
      <c r="B107">
        <v>1050</v>
      </c>
    </row>
    <row r="108" spans="1:2" x14ac:dyDescent="0.2">
      <c r="A108" t="s">
        <v>169</v>
      </c>
      <c r="B108">
        <v>918</v>
      </c>
    </row>
    <row r="109" spans="1:2" x14ac:dyDescent="0.2">
      <c r="A109" t="s">
        <v>170</v>
      </c>
      <c r="B109" t="s">
        <v>171</v>
      </c>
    </row>
    <row r="110" spans="1:2" x14ac:dyDescent="0.2">
      <c r="A110" t="s">
        <v>172</v>
      </c>
      <c r="B110">
        <v>1509400100</v>
      </c>
    </row>
    <row r="111" spans="1:2" x14ac:dyDescent="0.2">
      <c r="A111" t="s">
        <v>173</v>
      </c>
      <c r="B111">
        <v>1636900100</v>
      </c>
    </row>
    <row r="112" spans="1:2" x14ac:dyDescent="0.2">
      <c r="A112" t="s">
        <v>174</v>
      </c>
      <c r="B112">
        <v>1196</v>
      </c>
    </row>
    <row r="113" spans="1:2" x14ac:dyDescent="0.2">
      <c r="A113" t="s">
        <v>175</v>
      </c>
      <c r="B113" t="s">
        <v>176</v>
      </c>
    </row>
    <row r="114" spans="1:2" x14ac:dyDescent="0.2">
      <c r="A114" t="s">
        <v>177</v>
      </c>
      <c r="B114">
        <v>84</v>
      </c>
    </row>
    <row r="115" spans="1:2" x14ac:dyDescent="0.2">
      <c r="A115" t="s">
        <v>178</v>
      </c>
      <c r="B115">
        <v>2174</v>
      </c>
    </row>
    <row r="116" spans="1:2" x14ac:dyDescent="0.2">
      <c r="A116" t="s">
        <v>179</v>
      </c>
      <c r="B116">
        <v>1283</v>
      </c>
    </row>
    <row r="117" spans="1:2" x14ac:dyDescent="0.2">
      <c r="A117" t="s">
        <v>180</v>
      </c>
      <c r="B117">
        <v>150</v>
      </c>
    </row>
    <row r="118" spans="1:2" x14ac:dyDescent="0.2">
      <c r="A118" t="s">
        <v>181</v>
      </c>
      <c r="B118">
        <v>563</v>
      </c>
    </row>
    <row r="119" spans="1:2" x14ac:dyDescent="0.2">
      <c r="A119" t="s">
        <v>182</v>
      </c>
      <c r="B119">
        <v>1984</v>
      </c>
    </row>
    <row r="120" spans="1:2" x14ac:dyDescent="0.2">
      <c r="A120" t="s">
        <v>183</v>
      </c>
      <c r="B120">
        <v>716700100</v>
      </c>
    </row>
    <row r="121" spans="1:2" x14ac:dyDescent="0.2">
      <c r="A121" t="s">
        <v>184</v>
      </c>
      <c r="B121">
        <v>212600100</v>
      </c>
    </row>
    <row r="122" spans="1:2" x14ac:dyDescent="0.2">
      <c r="A122" t="s">
        <v>185</v>
      </c>
      <c r="B122">
        <v>1646800100</v>
      </c>
    </row>
    <row r="123" spans="1:2" x14ac:dyDescent="0.2">
      <c r="A123" t="s">
        <v>186</v>
      </c>
      <c r="B123" t="s">
        <v>187</v>
      </c>
    </row>
    <row r="124" spans="1:2" x14ac:dyDescent="0.2">
      <c r="A124" t="s">
        <v>188</v>
      </c>
      <c r="B124">
        <v>2472</v>
      </c>
    </row>
    <row r="125" spans="1:2" x14ac:dyDescent="0.2">
      <c r="A125" t="s">
        <v>189</v>
      </c>
      <c r="B125">
        <v>2194</v>
      </c>
    </row>
    <row r="126" spans="1:2" x14ac:dyDescent="0.2">
      <c r="A126" t="s">
        <v>190</v>
      </c>
      <c r="B126">
        <v>15454</v>
      </c>
    </row>
    <row r="127" spans="1:2" x14ac:dyDescent="0.2">
      <c r="A127" t="s">
        <v>191</v>
      </c>
    </row>
    <row r="128" spans="1:2" x14ac:dyDescent="0.2">
      <c r="A128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Rec</vt:lpstr>
      <vt:lpstr>Customers</vt:lpstr>
      <vt:lpstr>Rec!Print_Area</vt:lpstr>
    </vt:vector>
  </TitlesOfParts>
  <Company>TGP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SMS</dc:creator>
  <cp:lastModifiedBy>Chris Bieniek</cp:lastModifiedBy>
  <cp:lastPrinted>2026-07-21T00:11:49Z</cp:lastPrinted>
  <dcterms:created xsi:type="dcterms:W3CDTF">2008-01-14T17:12:55Z</dcterms:created>
  <dcterms:modified xsi:type="dcterms:W3CDTF">2026-07-21T17:15:24Z</dcterms:modified>
</cp:coreProperties>
</file>