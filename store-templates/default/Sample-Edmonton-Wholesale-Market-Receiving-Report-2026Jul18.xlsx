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clazad-my.sharepoint.com/personal/rob_farrell_fcl_crs/Documents/2026 ReceivingLogs/"/>
    </mc:Choice>
  </mc:AlternateContent>
  <xr:revisionPtr revIDLastSave="3244" documentId="8_{25D08E71-4C02-42CF-BF35-D20D6AE72F03}" xr6:coauthVersionLast="47" xr6:coauthVersionMax="47" xr10:uidLastSave="{C188BCC0-B7D1-41AD-A4D0-A8E70EADB696}"/>
  <bookViews>
    <workbookView xWindow="28740" yWindow="-60" windowWidth="28920" windowHeight="15600" tabRatio="868" firstSheet="26" activeTab="41" xr2:uid="{EAE70D21-1C09-4A6B-B105-262D68182D3F}"/>
  </bookViews>
  <sheets>
    <sheet name="Sunday WK1 (1)" sheetId="1" r:id="rId1"/>
    <sheet name="Monday WK1 (2)" sheetId="2" r:id="rId2"/>
    <sheet name="Tuesday WK1 (3)" sheetId="3" r:id="rId3"/>
    <sheet name="Wednesday WK1 (4)" sheetId="4" r:id="rId4"/>
    <sheet name="Thursday WK1 (5)" sheetId="7" r:id="rId5"/>
    <sheet name="Friday WK1 (6)" sheetId="9" r:id="rId6"/>
    <sheet name="Saturday WK1 (7)" sheetId="10" r:id="rId7"/>
    <sheet name="Sunday WK2 (8)" sheetId="11" r:id="rId8"/>
    <sheet name="Monday WK2 (9)" sheetId="12" r:id="rId9"/>
    <sheet name="Tuesday WK2 (10)" sheetId="13" r:id="rId10"/>
    <sheet name="Wednesday WK2 (11)" sheetId="14" r:id="rId11"/>
    <sheet name="Thursday WK2 (12)" sheetId="15" r:id="rId12"/>
    <sheet name="Friday WK2 (13)" sheetId="16" r:id="rId13"/>
    <sheet name="Saturday WK2 (14)" sheetId="17" r:id="rId14"/>
    <sheet name="Sunday WK3 (15)" sheetId="18" r:id="rId15"/>
    <sheet name="Monday WK3 (16)" sheetId="19" r:id="rId16"/>
    <sheet name="Tuesday WK3 (17)" sheetId="20" r:id="rId17"/>
    <sheet name="Wednesday WK3 (18)" sheetId="21" r:id="rId18"/>
    <sheet name="Thursday WK3 (19)" sheetId="22" r:id="rId19"/>
    <sheet name="Friday WK3 (20)" sheetId="23" r:id="rId20"/>
    <sheet name="Saturday WK3 (21)" sheetId="24" r:id="rId21"/>
    <sheet name="Sunday WK4 (22)" sheetId="25" r:id="rId22"/>
    <sheet name="Monday WK4 (23)" sheetId="26" r:id="rId23"/>
    <sheet name="Tuesday WK4 (24)" sheetId="27" r:id="rId24"/>
    <sheet name="Wednesday WK4 (25)" sheetId="28" r:id="rId25"/>
    <sheet name="Thursday WK4 (26)" sheetId="29" r:id="rId26"/>
    <sheet name="Friday WK4 (27)" sheetId="30" r:id="rId27"/>
    <sheet name="Saturday WK4 (28)" sheetId="31" r:id="rId28"/>
    <sheet name="Sunday WK5 (29)" sheetId="32" state="hidden" r:id="rId29"/>
    <sheet name="Monday WK5 (30)" sheetId="33" state="hidden" r:id="rId30"/>
    <sheet name="Tuesday WK5 (31)" sheetId="34" state="hidden" r:id="rId31"/>
    <sheet name="Wednesday WK5 (32)" sheetId="35" state="hidden" r:id="rId32"/>
    <sheet name="Thursday WK5 (33)" sheetId="36" state="hidden" r:id="rId33"/>
    <sheet name="Friday WK5 (34)" sheetId="37" state="hidden" r:id="rId34"/>
    <sheet name="Saturday WK5 (35)" sheetId="38" state="hidden" r:id="rId35"/>
    <sheet name="Rebates" sheetId="54" r:id="rId36"/>
    <sheet name="Sales Numbers" sheetId="42" r:id="rId37"/>
    <sheet name="Sales Data" sheetId="55" state="hidden" r:id="rId38"/>
    <sheet name="Receiving Totals" sheetId="5" r:id="rId39"/>
    <sheet name="Tobacco" sheetId="58" r:id="rId40"/>
    <sheet name="Meat" sheetId="59" r:id="rId41"/>
    <sheet name="Produce" sheetId="60" r:id="rId42"/>
    <sheet name="Dairy" sheetId="62" state="hidden" r:id="rId43"/>
    <sheet name="Centre Store" sheetId="65" state="hidden" r:id="rId44"/>
    <sheet name="Total Grocery" sheetId="64" r:id="rId45"/>
    <sheet name="Total Report" sheetId="39" state="hidden" r:id="rId46"/>
    <sheet name="Recounts" sheetId="46" state="hidden" r:id="rId47"/>
    <sheet name="Margin YTD" sheetId="49" state="hidden" r:id="rId48"/>
  </sheets>
  <definedNames>
    <definedName name="_xlnm.Print_Area" localSheetId="5">'Friday WK1 (6)'!$A$1:$O$110</definedName>
    <definedName name="_xlnm.Print_Area" localSheetId="12">'Friday WK2 (13)'!$A$1:$N$110</definedName>
    <definedName name="_xlnm.Print_Area" localSheetId="19">'Friday WK3 (20)'!$A$1:$O$110</definedName>
    <definedName name="_xlnm.Print_Area" localSheetId="26">'Friday WK4 (27)'!$A$1:$O$110</definedName>
    <definedName name="_xlnm.Print_Area" localSheetId="33">'Friday WK5 (34)'!$A$1:$O$110</definedName>
    <definedName name="_xlnm.Print_Area" localSheetId="1">'Monday WK1 (2)'!$A$1:$P$110</definedName>
    <definedName name="_xlnm.Print_Area" localSheetId="8">'Monday WK2 (9)'!$A$1:$N$110</definedName>
    <definedName name="_xlnm.Print_Area" localSheetId="15">'Monday WK3 (16)'!$A$1:$O$110</definedName>
    <definedName name="_xlnm.Print_Area" localSheetId="22">'Monday WK4 (23)'!$A$1:$O$110</definedName>
    <definedName name="_xlnm.Print_Area" localSheetId="29">'Monday WK5 (30)'!$A$1:$O$110</definedName>
    <definedName name="_xlnm.Print_Area" localSheetId="6">'Saturday WK1 (7)'!$A$1:$N$110</definedName>
    <definedName name="_xlnm.Print_Area" localSheetId="13">'Saturday WK2 (14)'!$A$1:$N$110</definedName>
    <definedName name="_xlnm.Print_Area" localSheetId="20">'Saturday WK3 (21)'!$A$1:$O$110</definedName>
    <definedName name="_xlnm.Print_Area" localSheetId="27">'Saturday WK4 (28)'!$A$1:$O$110</definedName>
    <definedName name="_xlnm.Print_Area" localSheetId="34">'Saturday WK5 (35)'!$A$1:$O$110</definedName>
    <definedName name="_xlnm.Print_Area" localSheetId="0">'Sunday WK1 (1)'!$A$1:$O$110</definedName>
    <definedName name="_xlnm.Print_Area" localSheetId="7">'Sunday WK2 (8)'!$A$1:$O$110</definedName>
    <definedName name="_xlnm.Print_Area" localSheetId="14">'Sunday WK3 (15)'!$A$1:$O$110</definedName>
    <definedName name="_xlnm.Print_Area" localSheetId="21">'Sunday WK4 (22)'!$A$1:$O$110</definedName>
    <definedName name="_xlnm.Print_Area" localSheetId="28">'Sunday WK5 (29)'!$A$1:$O$110</definedName>
    <definedName name="_xlnm.Print_Area" localSheetId="4">'Thursday WK1 (5)'!$A$1:$N$110</definedName>
    <definedName name="_xlnm.Print_Area" localSheetId="11">'Thursday WK2 (12)'!$A$1:$N$110</definedName>
    <definedName name="_xlnm.Print_Area" localSheetId="18">'Thursday WK3 (19)'!$A$1:$O$110</definedName>
    <definedName name="_xlnm.Print_Area" localSheetId="25">'Thursday WK4 (26)'!$A$1:$O$110</definedName>
    <definedName name="_xlnm.Print_Area" localSheetId="32">'Thursday WK5 (33)'!$A$1:$O$110</definedName>
    <definedName name="_xlnm.Print_Area" localSheetId="2">'Tuesday WK1 (3)'!$A$1:$U$110</definedName>
    <definedName name="_xlnm.Print_Area" localSheetId="9">'Tuesday WK2 (10)'!$A$1:$N$110</definedName>
    <definedName name="_xlnm.Print_Area" localSheetId="16">'Tuesday WK3 (17)'!$A$1:$O$110</definedName>
    <definedName name="_xlnm.Print_Area" localSheetId="23">'Tuesday WK4 (24)'!$A$1:$O$110</definedName>
    <definedName name="_xlnm.Print_Area" localSheetId="30">'Tuesday WK5 (31)'!$A$1:$O$110</definedName>
    <definedName name="_xlnm.Print_Area" localSheetId="3">'Wednesday WK1 (4)'!$A$1:$U$111</definedName>
    <definedName name="_xlnm.Print_Area" localSheetId="10">'Wednesday WK2 (11)'!$A$1:$N$110</definedName>
    <definedName name="_xlnm.Print_Area" localSheetId="17">'Wednesday WK3 (18)'!$A$1:$O$110</definedName>
    <definedName name="_xlnm.Print_Area" localSheetId="24">'Wednesday WK4 (25)'!$A$1:$O$110</definedName>
    <definedName name="_xlnm.Print_Area" localSheetId="31">'Wednesday WK5 (32)'!$A$1:$O$110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8" i="31" l="1"/>
  <c r="M7" i="39"/>
  <c r="M8" i="39"/>
  <c r="M9" i="39"/>
  <c r="M10" i="39"/>
  <c r="M11" i="39"/>
  <c r="M12" i="39"/>
  <c r="M13" i="39"/>
  <c r="M14" i="39"/>
  <c r="M15" i="39"/>
  <c r="M16" i="39"/>
  <c r="M17" i="39"/>
  <c r="M18" i="39"/>
  <c r="M19" i="39"/>
  <c r="M20" i="39"/>
  <c r="M21" i="39"/>
  <c r="M22" i="39"/>
  <c r="M23" i="39"/>
  <c r="M24" i="39"/>
  <c r="M25" i="39"/>
  <c r="M26" i="39"/>
  <c r="M27" i="39"/>
  <c r="M28" i="39"/>
  <c r="M29" i="39"/>
  <c r="M30" i="39"/>
  <c r="M31" i="39"/>
  <c r="M32" i="39"/>
  <c r="M33" i="39"/>
  <c r="M34" i="39"/>
  <c r="M35" i="39"/>
  <c r="M36" i="39"/>
  <c r="M37" i="39"/>
  <c r="M38" i="39"/>
  <c r="M39" i="39"/>
  <c r="M40" i="39"/>
  <c r="M41" i="39"/>
  <c r="M42" i="39"/>
  <c r="M43" i="39"/>
  <c r="M44" i="39"/>
  <c r="M45" i="39"/>
  <c r="I7" i="39"/>
  <c r="I8" i="39"/>
  <c r="I9" i="39"/>
  <c r="I10" i="39"/>
  <c r="I11" i="39"/>
  <c r="I12" i="39"/>
  <c r="I13" i="39"/>
  <c r="I14" i="39"/>
  <c r="I15" i="39"/>
  <c r="I16" i="39"/>
  <c r="I17" i="39"/>
  <c r="I18" i="39"/>
  <c r="I19" i="39"/>
  <c r="I20" i="39"/>
  <c r="I21" i="39"/>
  <c r="I22" i="39"/>
  <c r="I23" i="39"/>
  <c r="I24" i="39"/>
  <c r="I25" i="39"/>
  <c r="I26" i="39"/>
  <c r="I27" i="39"/>
  <c r="I28" i="39"/>
  <c r="I29" i="39"/>
  <c r="I30" i="39"/>
  <c r="I31" i="39"/>
  <c r="I32" i="39"/>
  <c r="J7" i="39"/>
  <c r="J8" i="39"/>
  <c r="J9" i="39"/>
  <c r="J10" i="39"/>
  <c r="J11" i="39"/>
  <c r="J12" i="39"/>
  <c r="J13" i="39"/>
  <c r="J14" i="39"/>
  <c r="J15" i="39"/>
  <c r="J16" i="39"/>
  <c r="J17" i="39"/>
  <c r="J18" i="39"/>
  <c r="J19" i="39"/>
  <c r="J20" i="39"/>
  <c r="J21" i="39"/>
  <c r="J22" i="39"/>
  <c r="J23" i="39"/>
  <c r="J24" i="39"/>
  <c r="J25" i="39"/>
  <c r="J26" i="39"/>
  <c r="J27" i="39"/>
  <c r="J28" i="39"/>
  <c r="J29" i="39"/>
  <c r="J30" i="39"/>
  <c r="J31" i="39"/>
  <c r="J32" i="39"/>
  <c r="J33" i="39"/>
  <c r="J34" i="39"/>
  <c r="J35" i="39"/>
  <c r="K31" i="39"/>
  <c r="K32" i="39"/>
  <c r="K33" i="39"/>
  <c r="K34" i="39"/>
  <c r="K35" i="39"/>
  <c r="K36" i="39"/>
  <c r="K37" i="39"/>
  <c r="K38" i="39"/>
  <c r="K39" i="39"/>
  <c r="K40" i="39"/>
  <c r="K41" i="39"/>
  <c r="K42" i="39"/>
  <c r="K43" i="39"/>
  <c r="K44" i="39"/>
  <c r="K45" i="39"/>
  <c r="K46" i="39"/>
  <c r="K47" i="39"/>
  <c r="K48" i="39"/>
  <c r="K7" i="39"/>
  <c r="K8" i="39"/>
  <c r="K9" i="39"/>
  <c r="K10" i="39"/>
  <c r="K11" i="39"/>
  <c r="K12" i="39"/>
  <c r="K13" i="39"/>
  <c r="K14" i="39"/>
  <c r="K15" i="39"/>
  <c r="K16" i="39"/>
  <c r="K17" i="39"/>
  <c r="K18" i="39"/>
  <c r="K19" i="39"/>
  <c r="K20" i="39"/>
  <c r="K21" i="39"/>
  <c r="K22" i="39"/>
  <c r="K23" i="39"/>
  <c r="K24" i="39"/>
  <c r="K25" i="39"/>
  <c r="K26" i="39"/>
  <c r="K27" i="39"/>
  <c r="K28" i="39"/>
  <c r="K29" i="39"/>
  <c r="K30" i="39"/>
  <c r="L7" i="39"/>
  <c r="L8" i="39"/>
  <c r="L9" i="39"/>
  <c r="L10" i="39"/>
  <c r="L11" i="39"/>
  <c r="L12" i="39"/>
  <c r="L13" i="39"/>
  <c r="L14" i="39"/>
  <c r="L15" i="39"/>
  <c r="L16" i="39"/>
  <c r="L17" i="39"/>
  <c r="L18" i="39"/>
  <c r="M46" i="39"/>
  <c r="M47" i="39"/>
  <c r="M48" i="39"/>
  <c r="M49" i="39"/>
  <c r="M50" i="39"/>
  <c r="M51" i="39"/>
  <c r="M52" i="39"/>
  <c r="M53" i="39"/>
  <c r="M54" i="39"/>
  <c r="M55" i="39"/>
  <c r="M6" i="39"/>
  <c r="Y27" i="39"/>
  <c r="Y28" i="39"/>
  <c r="Y29" i="39"/>
  <c r="Y30" i="39"/>
  <c r="Y31" i="39"/>
  <c r="Y32" i="39"/>
  <c r="Y33" i="39"/>
  <c r="Y34" i="39"/>
  <c r="Y35" i="39"/>
  <c r="Y36" i="39"/>
  <c r="Y37" i="39"/>
  <c r="Y38" i="39"/>
  <c r="Y39" i="39"/>
  <c r="Y40" i="39"/>
  <c r="Y41" i="39"/>
  <c r="Y42" i="39"/>
  <c r="Y43" i="39"/>
  <c r="Y44" i="39"/>
  <c r="Y45" i="39"/>
  <c r="Y46" i="39"/>
  <c r="Y47" i="39"/>
  <c r="Y48" i="39"/>
  <c r="Y49" i="39"/>
  <c r="Y50" i="39"/>
  <c r="Y51" i="39"/>
  <c r="Y52" i="39"/>
  <c r="Y53" i="39"/>
  <c r="Y54" i="39"/>
  <c r="Y55" i="39"/>
  <c r="Y7" i="39"/>
  <c r="Y8" i="39"/>
  <c r="Y9" i="39"/>
  <c r="Y10" i="39"/>
  <c r="Y11" i="39"/>
  <c r="Y12" i="39"/>
  <c r="Y13" i="39"/>
  <c r="Y14" i="39"/>
  <c r="Y15" i="39"/>
  <c r="Y16" i="39"/>
  <c r="Y17" i="39"/>
  <c r="Y18" i="39"/>
  <c r="Y19" i="39"/>
  <c r="Y20" i="39"/>
  <c r="Y21" i="39"/>
  <c r="Y22" i="39"/>
  <c r="Y23" i="39"/>
  <c r="Y24" i="39"/>
  <c r="Y25" i="39"/>
  <c r="Y26" i="39"/>
  <c r="C23" i="2"/>
  <c r="Q22" i="49" l="1"/>
  <c r="P22" i="49"/>
  <c r="O22" i="49"/>
  <c r="N22" i="49"/>
  <c r="L22" i="49"/>
  <c r="K22" i="49"/>
  <c r="J22" i="49"/>
  <c r="H22" i="49"/>
  <c r="G22" i="49"/>
  <c r="F22" i="49"/>
  <c r="D22" i="49"/>
  <c r="C22" i="49"/>
  <c r="B22" i="49"/>
  <c r="R21" i="49"/>
  <c r="R20" i="49"/>
  <c r="R19" i="49"/>
  <c r="R18" i="49"/>
  <c r="C6" i="31"/>
  <c r="C15" i="31"/>
  <c r="S24" i="5"/>
  <c r="G14" i="62"/>
  <c r="R22" i="49" l="1"/>
  <c r="N58" i="20"/>
  <c r="N58" i="19"/>
  <c r="N58" i="18"/>
  <c r="N58" i="15" l="1"/>
  <c r="C6" i="30"/>
  <c r="C7" i="30"/>
  <c r="C8" i="30"/>
  <c r="C9" i="30"/>
  <c r="C10" i="30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6" i="28"/>
  <c r="C7" i="28"/>
  <c r="C8" i="28"/>
  <c r="C9" i="28"/>
  <c r="C10" i="28"/>
  <c r="C11" i="28"/>
  <c r="C12" i="28"/>
  <c r="C13" i="28"/>
  <c r="C14" i="28"/>
  <c r="C15" i="28"/>
  <c r="C16" i="28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6" i="26"/>
  <c r="C7" i="26"/>
  <c r="C8" i="26"/>
  <c r="C9" i="26"/>
  <c r="C10" i="26"/>
  <c r="C11" i="26"/>
  <c r="C12" i="26"/>
  <c r="C13" i="26"/>
  <c r="C14" i="26"/>
  <c r="C15" i="26"/>
  <c r="C16" i="26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6" i="24"/>
  <c r="C7" i="24"/>
  <c r="C6" i="23"/>
  <c r="C7" i="23"/>
  <c r="C8" i="23"/>
  <c r="C9" i="23"/>
  <c r="C10" i="23"/>
  <c r="C11" i="23"/>
  <c r="C12" i="23"/>
  <c r="C13" i="23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6" i="21"/>
  <c r="C7" i="21"/>
  <c r="C8" i="21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6" i="17"/>
  <c r="C7" i="17"/>
  <c r="C6" i="16"/>
  <c r="C7" i="16"/>
  <c r="C8" i="16"/>
  <c r="C9" i="16"/>
  <c r="C10" i="16"/>
  <c r="C11" i="16"/>
  <c r="C12" i="16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6" i="10"/>
  <c r="C6" i="9"/>
  <c r="C7" i="9"/>
  <c r="C8" i="9"/>
  <c r="C9" i="9"/>
  <c r="C10" i="9"/>
  <c r="C11" i="9"/>
  <c r="C12" i="9"/>
  <c r="C13" i="9"/>
  <c r="C14" i="9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6" i="4"/>
  <c r="C7" i="4"/>
  <c r="C8" i="4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4" i="2"/>
  <c r="C25" i="2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P28" i="42"/>
  <c r="P26" i="42"/>
  <c r="P25" i="42"/>
  <c r="P16" i="42"/>
  <c r="P14" i="42"/>
  <c r="P12" i="42"/>
  <c r="P11" i="42"/>
  <c r="P10" i="42"/>
  <c r="P9" i="42"/>
  <c r="P8" i="42"/>
  <c r="P7" i="42"/>
  <c r="P6" i="42"/>
  <c r="P5" i="42"/>
  <c r="P4" i="42"/>
  <c r="P3" i="42"/>
  <c r="O15" i="42"/>
  <c r="P15" i="42" s="1"/>
  <c r="O16" i="42"/>
  <c r="O13" i="42"/>
  <c r="P13" i="42" s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6" i="33"/>
  <c r="C7" i="33"/>
  <c r="C8" i="33"/>
  <c r="C9" i="33"/>
  <c r="C10" i="33"/>
  <c r="C11" i="33"/>
  <c r="C12" i="33"/>
  <c r="C13" i="33"/>
  <c r="C14" i="33"/>
  <c r="C15" i="33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7" i="31"/>
  <c r="C17" i="26"/>
  <c r="C18" i="26"/>
  <c r="C9" i="21"/>
  <c r="C10" i="21"/>
  <c r="C43" i="20"/>
  <c r="C44" i="20"/>
  <c r="C45" i="20"/>
  <c r="C19" i="19"/>
  <c r="C47" i="18"/>
  <c r="C48" i="18"/>
  <c r="C49" i="18"/>
  <c r="C50" i="18"/>
  <c r="C51" i="18"/>
  <c r="C6" i="14"/>
  <c r="C7" i="14"/>
  <c r="C8" i="14"/>
  <c r="C9" i="14"/>
  <c r="C10" i="14"/>
  <c r="C43" i="1" l="1"/>
  <c r="C44" i="1"/>
  <c r="C7" i="54" l="1"/>
  <c r="C8" i="54"/>
  <c r="C9" i="54"/>
  <c r="C10" i="54"/>
  <c r="C11" i="54"/>
  <c r="C12" i="54"/>
  <c r="C13" i="54"/>
  <c r="C14" i="54"/>
  <c r="C15" i="54"/>
  <c r="C16" i="54"/>
  <c r="C17" i="54"/>
  <c r="C18" i="54"/>
  <c r="C19" i="54"/>
  <c r="C20" i="54"/>
  <c r="C21" i="54"/>
  <c r="C22" i="54"/>
  <c r="C23" i="54"/>
  <c r="C24" i="54"/>
  <c r="C25" i="54"/>
  <c r="C26" i="54"/>
  <c r="C27" i="54"/>
  <c r="C28" i="54"/>
  <c r="C29" i="54"/>
  <c r="C30" i="54"/>
  <c r="C31" i="54"/>
  <c r="C17" i="28"/>
  <c r="C18" i="28"/>
  <c r="C19" i="28"/>
  <c r="C20" i="28"/>
  <c r="C21" i="28"/>
  <c r="C22" i="28"/>
  <c r="C23" i="28"/>
  <c r="C47" i="27"/>
  <c r="C48" i="27"/>
  <c r="C49" i="27"/>
  <c r="C50" i="27"/>
  <c r="C51" i="27"/>
  <c r="C52" i="27"/>
  <c r="C53" i="27"/>
  <c r="C54" i="27"/>
  <c r="C19" i="26"/>
  <c r="C20" i="26"/>
  <c r="C21" i="26"/>
  <c r="C22" i="26"/>
  <c r="C23" i="26"/>
  <c r="C8" i="24"/>
  <c r="C9" i="24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M16" i="64" l="1"/>
  <c r="M17" i="64"/>
  <c r="M15" i="64"/>
  <c r="F16" i="65" l="1"/>
  <c r="F17" i="65"/>
  <c r="F15" i="65"/>
  <c r="H4" i="65"/>
  <c r="H3" i="65"/>
  <c r="G4" i="65"/>
  <c r="G3" i="65"/>
  <c r="G16" i="65" l="1"/>
  <c r="G15" i="65"/>
  <c r="G14" i="65"/>
  <c r="B11" i="65"/>
  <c r="G9" i="65" s="1"/>
  <c r="B16" i="65"/>
  <c r="F4" i="65"/>
  <c r="F5" i="65"/>
  <c r="F3" i="65"/>
  <c r="F1" i="65"/>
  <c r="A1" i="65"/>
  <c r="I4" i="65"/>
  <c r="I3" i="65"/>
  <c r="F37" i="42"/>
  <c r="B6" i="64" s="1"/>
  <c r="C37" i="42"/>
  <c r="B3" i="64" s="1"/>
  <c r="E37" i="42"/>
  <c r="B5" i="64" s="1"/>
  <c r="M1" i="64"/>
  <c r="M4" i="64"/>
  <c r="M5" i="64"/>
  <c r="M3" i="64"/>
  <c r="P4" i="64"/>
  <c r="P3" i="64"/>
  <c r="A1" i="64"/>
  <c r="B13" i="64"/>
  <c r="N11" i="64"/>
  <c r="G9" i="64"/>
  <c r="K8" i="64"/>
  <c r="G7" i="64"/>
  <c r="G8" i="64" s="1"/>
  <c r="G10" i="64" s="1"/>
  <c r="G11" i="64" s="1"/>
  <c r="G13" i="64" s="1"/>
  <c r="K9" i="64" s="1"/>
  <c r="B7" i="62"/>
  <c r="D7" i="62" s="1"/>
  <c r="B6" i="62"/>
  <c r="B5" i="62"/>
  <c r="B4" i="62"/>
  <c r="B3" i="62"/>
  <c r="A1" i="62"/>
  <c r="B13" i="62"/>
  <c r="G11" i="62"/>
  <c r="I4" i="62"/>
  <c r="I3" i="62"/>
  <c r="A1" i="60"/>
  <c r="B13" i="60"/>
  <c r="G9" i="60"/>
  <c r="M7" i="60"/>
  <c r="G7" i="60"/>
  <c r="G8" i="60" s="1"/>
  <c r="G10" i="60" s="1"/>
  <c r="G11" i="60" s="1"/>
  <c r="G13" i="60" s="1"/>
  <c r="M9" i="60" s="1"/>
  <c r="M6" i="60"/>
  <c r="M5" i="60"/>
  <c r="M4" i="60"/>
  <c r="B13" i="65" l="1"/>
  <c r="G11" i="65"/>
  <c r="M8" i="60"/>
  <c r="M11" i="60" s="1"/>
  <c r="B19" i="60" s="1"/>
  <c r="K11" i="64"/>
  <c r="N20" i="64" s="1"/>
  <c r="B8" i="62"/>
  <c r="B25" i="62" s="1"/>
  <c r="B12" i="60" l="1"/>
  <c r="B14" i="60" s="1"/>
  <c r="G5" i="62"/>
  <c r="G6" i="62"/>
  <c r="G26" i="62" l="1"/>
  <c r="C55" i="27" l="1"/>
  <c r="B61" i="27"/>
  <c r="B62" i="27"/>
  <c r="B63" i="27"/>
  <c r="B64" i="27"/>
  <c r="B65" i="27"/>
  <c r="B66" i="27"/>
  <c r="B67" i="27"/>
  <c r="B68" i="27"/>
  <c r="B69" i="27"/>
  <c r="B70" i="27"/>
  <c r="B71" i="27"/>
  <c r="B72" i="27"/>
  <c r="B73" i="27"/>
  <c r="B74" i="27"/>
  <c r="B75" i="27"/>
  <c r="B76" i="27"/>
  <c r="B77" i="27"/>
  <c r="B78" i="27"/>
  <c r="B79" i="27"/>
  <c r="B80" i="27"/>
  <c r="B81" i="27"/>
  <c r="B82" i="27"/>
  <c r="B83" i="27"/>
  <c r="B84" i="27"/>
  <c r="B85" i="27"/>
  <c r="B86" i="27"/>
  <c r="B87" i="27"/>
  <c r="B88" i="27"/>
  <c r="B89" i="27"/>
  <c r="B90" i="27"/>
  <c r="B91" i="27"/>
  <c r="B92" i="27"/>
  <c r="B93" i="27"/>
  <c r="B94" i="27"/>
  <c r="B95" i="27"/>
  <c r="B96" i="27"/>
  <c r="B97" i="27"/>
  <c r="B98" i="27"/>
  <c r="B99" i="27"/>
  <c r="B100" i="27"/>
  <c r="B101" i="27"/>
  <c r="B102" i="27"/>
  <c r="B103" i="27"/>
  <c r="B104" i="27"/>
  <c r="B105" i="27"/>
  <c r="B106" i="27"/>
  <c r="B107" i="27"/>
  <c r="B108" i="27"/>
  <c r="B109" i="27"/>
  <c r="B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A91" i="27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" i="59" l="1"/>
  <c r="P14" i="59"/>
  <c r="P13" i="59"/>
  <c r="B13" i="59"/>
  <c r="P12" i="59"/>
  <c r="P10" i="59"/>
  <c r="P9" i="59"/>
  <c r="G9" i="59"/>
  <c r="P8" i="59"/>
  <c r="P7" i="59"/>
  <c r="G7" i="59"/>
  <c r="G8" i="59" s="1"/>
  <c r="P6" i="59"/>
  <c r="P5" i="59"/>
  <c r="P4" i="59"/>
  <c r="A3" i="58"/>
  <c r="B29" i="58"/>
  <c r="B13" i="58"/>
  <c r="B12" i="58"/>
  <c r="B14" i="58" l="1"/>
  <c r="A3" i="62"/>
  <c r="A4" i="62" s="1"/>
  <c r="A5" i="62" s="1"/>
  <c r="A6" i="62" s="1"/>
  <c r="A7" i="62" s="1"/>
  <c r="A3" i="60"/>
  <c r="A4" i="60" s="1"/>
  <c r="A5" i="60" s="1"/>
  <c r="A6" i="60" s="1"/>
  <c r="A7" i="60" s="1"/>
  <c r="A3" i="64"/>
  <c r="A4" i="64" s="1"/>
  <c r="A5" i="64" s="1"/>
  <c r="A6" i="64" s="1"/>
  <c r="A7" i="64" s="1"/>
  <c r="A3" i="65"/>
  <c r="A4" i="65" s="1"/>
  <c r="A5" i="65" s="1"/>
  <c r="A6" i="65" s="1"/>
  <c r="A7" i="65" s="1"/>
  <c r="A3" i="59"/>
  <c r="A4" i="59" s="1"/>
  <c r="A5" i="59" s="1"/>
  <c r="A6" i="59" s="1"/>
  <c r="A7" i="59" s="1"/>
  <c r="A4" i="58"/>
  <c r="A5" i="58" s="1"/>
  <c r="A6" i="58" s="1"/>
  <c r="A7" i="58" s="1"/>
  <c r="G10" i="59"/>
  <c r="G11" i="59" s="1"/>
  <c r="P17" i="59" s="1"/>
  <c r="P15" i="59"/>
  <c r="P16" i="59" s="1"/>
  <c r="P11" i="59"/>
  <c r="P19" i="59" l="1"/>
  <c r="B19" i="59" l="1"/>
  <c r="B12" i="59" s="1"/>
  <c r="B14" i="59" s="1"/>
  <c r="S3" i="42"/>
  <c r="T3" i="42"/>
  <c r="U3" i="42"/>
  <c r="V3" i="42"/>
  <c r="S4" i="42"/>
  <c r="T4" i="42"/>
  <c r="U4" i="42"/>
  <c r="V4" i="42"/>
  <c r="S5" i="42"/>
  <c r="T5" i="42"/>
  <c r="U5" i="42"/>
  <c r="V5" i="42"/>
  <c r="S6" i="42"/>
  <c r="T6" i="42"/>
  <c r="U6" i="42"/>
  <c r="V6" i="42"/>
  <c r="S7" i="42"/>
  <c r="T7" i="42"/>
  <c r="U7" i="42"/>
  <c r="V7" i="42"/>
  <c r="S8" i="42"/>
  <c r="T8" i="42"/>
  <c r="U8" i="42"/>
  <c r="V8" i="42"/>
  <c r="S9" i="42"/>
  <c r="T9" i="42"/>
  <c r="U9" i="42"/>
  <c r="V9" i="42"/>
  <c r="S10" i="42"/>
  <c r="S17" i="42" s="1"/>
  <c r="T10" i="42"/>
  <c r="T17" i="42" s="1"/>
  <c r="U10" i="42"/>
  <c r="U17" i="42" s="1"/>
  <c r="V10" i="42"/>
  <c r="V17" i="42" s="1"/>
  <c r="S11" i="42"/>
  <c r="T11" i="42"/>
  <c r="U11" i="42"/>
  <c r="V11" i="42"/>
  <c r="S12" i="42"/>
  <c r="T12" i="42"/>
  <c r="U12" i="42"/>
  <c r="V12" i="42"/>
  <c r="R12" i="42"/>
  <c r="R11" i="42"/>
  <c r="R10" i="42"/>
  <c r="R9" i="42"/>
  <c r="R8" i="42"/>
  <c r="R7" i="42"/>
  <c r="R6" i="42"/>
  <c r="R5" i="42"/>
  <c r="R4" i="42"/>
  <c r="R3" i="42"/>
  <c r="S13" i="42" l="1"/>
  <c r="S18" i="42" s="1"/>
  <c r="V16" i="42"/>
  <c r="T16" i="42"/>
  <c r="V13" i="42"/>
  <c r="V18" i="42" s="1"/>
  <c r="U16" i="42"/>
  <c r="S16" i="42"/>
  <c r="U15" i="42"/>
  <c r="U13" i="42"/>
  <c r="U18" i="42" s="1"/>
  <c r="T15" i="42"/>
  <c r="T13" i="42"/>
  <c r="T18" i="42" s="1"/>
  <c r="S15" i="42"/>
  <c r="W3" i="42"/>
  <c r="V15" i="42"/>
  <c r="R13" i="42"/>
  <c r="R18" i="42" s="1"/>
  <c r="C11" i="30"/>
  <c r="C12" i="30"/>
  <c r="C13" i="30"/>
  <c r="C14" i="30"/>
  <c r="C23" i="12"/>
  <c r="C8" i="31"/>
  <c r="C9" i="31"/>
  <c r="C7" i="10"/>
  <c r="R17" i="42"/>
  <c r="O17" i="42"/>
  <c r="P17" i="42" s="1"/>
  <c r="R16" i="42"/>
  <c r="R15" i="42"/>
  <c r="W11" i="42"/>
  <c r="W12" i="42"/>
  <c r="W10" i="42"/>
  <c r="W9" i="42"/>
  <c r="W8" i="42"/>
  <c r="W7" i="42"/>
  <c r="W6" i="42"/>
  <c r="W5" i="42"/>
  <c r="W4" i="42"/>
  <c r="W17" i="42" l="1"/>
  <c r="W16" i="42"/>
  <c r="W13" i="42"/>
  <c r="W18" i="42"/>
  <c r="W15" i="42"/>
  <c r="O18" i="42"/>
  <c r="P18" i="42" s="1"/>
  <c r="O20" i="42" l="1"/>
  <c r="P20" i="42" s="1"/>
  <c r="P148" i="55"/>
  <c r="O148" i="55"/>
  <c r="N148" i="55"/>
  <c r="M148" i="55"/>
  <c r="L148" i="55"/>
  <c r="K148" i="55"/>
  <c r="J148" i="55"/>
  <c r="I148" i="55"/>
  <c r="L149" i="55" s="1"/>
  <c r="H148" i="55"/>
  <c r="H149" i="55" s="1"/>
  <c r="G148" i="55"/>
  <c r="F148" i="55"/>
  <c r="E148" i="55"/>
  <c r="D148" i="55"/>
  <c r="T133" i="55"/>
  <c r="L133" i="55"/>
  <c r="J133" i="55"/>
  <c r="F133" i="55"/>
  <c r="E133" i="55"/>
  <c r="V132" i="55"/>
  <c r="U132" i="55"/>
  <c r="T132" i="55"/>
  <c r="G132" i="55"/>
  <c r="F132" i="55"/>
  <c r="E132" i="55"/>
  <c r="AP131" i="55"/>
  <c r="AP132" i="55" s="1"/>
  <c r="AO131" i="55"/>
  <c r="AO132" i="55" s="1"/>
  <c r="AN131" i="55"/>
  <c r="AN133" i="55" s="1"/>
  <c r="AM131" i="55"/>
  <c r="AL131" i="55"/>
  <c r="AL132" i="55" s="1"/>
  <c r="AK131" i="55"/>
  <c r="AK132" i="55" s="1"/>
  <c r="AJ131" i="55"/>
  <c r="AJ132" i="55" s="1"/>
  <c r="AI131" i="55"/>
  <c r="AI132" i="55" s="1"/>
  <c r="AH131" i="55"/>
  <c r="AH132" i="55" s="1"/>
  <c r="AG131" i="55"/>
  <c r="AG132" i="55" s="1"/>
  <c r="AF131" i="55"/>
  <c r="AE131" i="55"/>
  <c r="AD131" i="55"/>
  <c r="AC131" i="55"/>
  <c r="AB131" i="55"/>
  <c r="AA131" i="55"/>
  <c r="AA132" i="55" s="1"/>
  <c r="Z131" i="55"/>
  <c r="AC135" i="55" s="1"/>
  <c r="Y131" i="55"/>
  <c r="Y132" i="55" s="1"/>
  <c r="X131" i="55"/>
  <c r="X132" i="55" s="1"/>
  <c r="W131" i="55"/>
  <c r="W132" i="55" s="1"/>
  <c r="V131" i="55"/>
  <c r="U131" i="55"/>
  <c r="T131" i="55"/>
  <c r="S131" i="55"/>
  <c r="S133" i="55" s="1"/>
  <c r="R131" i="55"/>
  <c r="R133" i="55" s="1"/>
  <c r="Q131" i="55"/>
  <c r="P131" i="55"/>
  <c r="O131" i="55"/>
  <c r="N131" i="55"/>
  <c r="M131" i="55"/>
  <c r="L131" i="55"/>
  <c r="L132" i="55" s="1"/>
  <c r="K131" i="55"/>
  <c r="J131" i="55"/>
  <c r="J132" i="55" s="1"/>
  <c r="I131" i="55"/>
  <c r="I132" i="55" s="1"/>
  <c r="H131" i="55"/>
  <c r="H132" i="55" s="1"/>
  <c r="G131" i="55"/>
  <c r="F131" i="55"/>
  <c r="E131" i="55"/>
  <c r="D131" i="55"/>
  <c r="H135" i="55" s="1"/>
  <c r="BD130" i="55"/>
  <c r="BD129" i="55"/>
  <c r="BD128" i="55"/>
  <c r="BD127" i="55"/>
  <c r="AK124" i="55"/>
  <c r="AJ124" i="55"/>
  <c r="AI124" i="55"/>
  <c r="AH124" i="55"/>
  <c r="AG124" i="55"/>
  <c r="AF124" i="55"/>
  <c r="AE124" i="55"/>
  <c r="AD124" i="55"/>
  <c r="AH139" i="55" s="1"/>
  <c r="AC124" i="55"/>
  <c r="AB124" i="55"/>
  <c r="Q124" i="55"/>
  <c r="P124" i="55"/>
  <c r="O124" i="55"/>
  <c r="N124" i="55"/>
  <c r="M124" i="55"/>
  <c r="P139" i="55" s="1"/>
  <c r="L124" i="55"/>
  <c r="K124" i="55"/>
  <c r="J124" i="55"/>
  <c r="AP123" i="55"/>
  <c r="AO123" i="55"/>
  <c r="AN123" i="55"/>
  <c r="AN124" i="55" s="1"/>
  <c r="AM123" i="55"/>
  <c r="AM124" i="55" s="1"/>
  <c r="AL123" i="55"/>
  <c r="AL124" i="55" s="1"/>
  <c r="AK123" i="55"/>
  <c r="AJ123" i="55"/>
  <c r="AL134" i="55" s="1"/>
  <c r="AI123" i="55"/>
  <c r="AH123" i="55"/>
  <c r="AG123" i="55"/>
  <c r="AF123" i="55"/>
  <c r="AE123" i="55"/>
  <c r="AD123" i="55"/>
  <c r="AH134" i="55" s="1"/>
  <c r="AC123" i="55"/>
  <c r="AB123" i="55"/>
  <c r="AA123" i="55"/>
  <c r="Z123" i="55"/>
  <c r="Y123" i="55"/>
  <c r="X123" i="55"/>
  <c r="W123" i="55"/>
  <c r="V123" i="55"/>
  <c r="U123" i="55"/>
  <c r="T123" i="55"/>
  <c r="T124" i="55" s="1"/>
  <c r="S123" i="55"/>
  <c r="S124" i="55" s="1"/>
  <c r="R123" i="55"/>
  <c r="R124" i="55" s="1"/>
  <c r="Q123" i="55"/>
  <c r="P123" i="55"/>
  <c r="O123" i="55"/>
  <c r="N123" i="55"/>
  <c r="M123" i="55"/>
  <c r="P134" i="55" s="1"/>
  <c r="L123" i="55"/>
  <c r="K123" i="55"/>
  <c r="J123" i="55"/>
  <c r="I123" i="55"/>
  <c r="L134" i="55" s="1"/>
  <c r="H123" i="55"/>
  <c r="H124" i="55" s="1"/>
  <c r="G123" i="55"/>
  <c r="F123" i="55"/>
  <c r="F124" i="55" s="1"/>
  <c r="E123" i="55"/>
  <c r="E124" i="55" s="1"/>
  <c r="D123" i="55"/>
  <c r="BD122" i="55"/>
  <c r="BD121" i="55"/>
  <c r="BD120" i="55"/>
  <c r="BD119" i="55"/>
  <c r="E117" i="55"/>
  <c r="D117" i="55"/>
  <c r="BC115" i="55"/>
  <c r="BB115" i="55"/>
  <c r="BA115" i="55"/>
  <c r="AZ115" i="55"/>
  <c r="AY115" i="55"/>
  <c r="AX115" i="55"/>
  <c r="AW115" i="55"/>
  <c r="AV115" i="55"/>
  <c r="AU115" i="55"/>
  <c r="AT115" i="55"/>
  <c r="AS115" i="55"/>
  <c r="AR115" i="55"/>
  <c r="AQ115" i="55"/>
  <c r="AP115" i="55"/>
  <c r="AO115" i="55"/>
  <c r="AN115" i="55"/>
  <c r="AM115" i="55"/>
  <c r="AL115" i="55"/>
  <c r="AK115" i="55"/>
  <c r="AJ115" i="55"/>
  <c r="AI115" i="55"/>
  <c r="AH115" i="55"/>
  <c r="AG115" i="55"/>
  <c r="AF115" i="55"/>
  <c r="AE115" i="55"/>
  <c r="AD115" i="55"/>
  <c r="AC115" i="55"/>
  <c r="AB115" i="55"/>
  <c r="AA115" i="55"/>
  <c r="Z115" i="55"/>
  <c r="Y115" i="55"/>
  <c r="X115" i="55"/>
  <c r="W115" i="55"/>
  <c r="V115" i="55"/>
  <c r="U115" i="55"/>
  <c r="T115" i="55"/>
  <c r="S115" i="55"/>
  <c r="R115" i="55"/>
  <c r="Q115" i="55"/>
  <c r="P115" i="55"/>
  <c r="O115" i="55"/>
  <c r="N115" i="55"/>
  <c r="M115" i="55"/>
  <c r="L115" i="55"/>
  <c r="K115" i="55"/>
  <c r="J115" i="55"/>
  <c r="I115" i="55"/>
  <c r="H115" i="55"/>
  <c r="G115" i="55"/>
  <c r="F115" i="55"/>
  <c r="E115" i="55"/>
  <c r="D115" i="55"/>
  <c r="BC114" i="55"/>
  <c r="BB114" i="55"/>
  <c r="BA114" i="55"/>
  <c r="AZ114" i="55"/>
  <c r="AY114" i="55"/>
  <c r="AX114" i="55"/>
  <c r="AW114" i="55"/>
  <c r="AV114" i="55"/>
  <c r="AU114" i="55"/>
  <c r="AT114" i="55"/>
  <c r="AS114" i="55"/>
  <c r="AR114" i="55"/>
  <c r="AQ114" i="55"/>
  <c r="AP114" i="55"/>
  <c r="AO114" i="55"/>
  <c r="AN114" i="55"/>
  <c r="AM114" i="55"/>
  <c r="AL114" i="55"/>
  <c r="AK114" i="55"/>
  <c r="AJ114" i="55"/>
  <c r="AI114" i="55"/>
  <c r="AH114" i="55"/>
  <c r="AG114" i="55"/>
  <c r="AF114" i="55"/>
  <c r="AE114" i="55"/>
  <c r="AD114" i="55"/>
  <c r="AC114" i="55"/>
  <c r="AB114" i="55"/>
  <c r="AA114" i="55"/>
  <c r="Z114" i="55"/>
  <c r="Y114" i="55"/>
  <c r="X114" i="55"/>
  <c r="W114" i="55"/>
  <c r="V114" i="55"/>
  <c r="U114" i="55"/>
  <c r="T114" i="55"/>
  <c r="S114" i="55"/>
  <c r="R114" i="55"/>
  <c r="Q114" i="55"/>
  <c r="P114" i="55"/>
  <c r="O114" i="55"/>
  <c r="N114" i="55"/>
  <c r="M114" i="55"/>
  <c r="L114" i="55"/>
  <c r="K114" i="55"/>
  <c r="J114" i="55"/>
  <c r="I114" i="55"/>
  <c r="H114" i="55"/>
  <c r="G114" i="55"/>
  <c r="F114" i="55"/>
  <c r="E114" i="55"/>
  <c r="D114" i="55"/>
  <c r="AX113" i="55"/>
  <c r="AW113" i="55"/>
  <c r="AG113" i="55"/>
  <c r="AF113" i="55"/>
  <c r="AB113" i="55"/>
  <c r="AA113" i="55"/>
  <c r="Z113" i="55"/>
  <c r="H113" i="55"/>
  <c r="G113" i="55"/>
  <c r="F113" i="55"/>
  <c r="E113" i="55"/>
  <c r="BC112" i="55"/>
  <c r="BC113" i="55" s="1"/>
  <c r="BB112" i="55"/>
  <c r="BA112" i="55"/>
  <c r="AZ112" i="55"/>
  <c r="AY112" i="55"/>
  <c r="AX112" i="55"/>
  <c r="AW112" i="55"/>
  <c r="AV112" i="55"/>
  <c r="AV113" i="55" s="1"/>
  <c r="AU112" i="55"/>
  <c r="AU113" i="55" s="1"/>
  <c r="AT112" i="55"/>
  <c r="AT113" i="55" s="1"/>
  <c r="AS112" i="55"/>
  <c r="AS113" i="55" s="1"/>
  <c r="AR112" i="55"/>
  <c r="AQ112" i="55"/>
  <c r="AP112" i="55"/>
  <c r="AP113" i="55" s="1"/>
  <c r="AO112" i="55"/>
  <c r="AO113" i="55" s="1"/>
  <c r="AN112" i="55"/>
  <c r="AN113" i="55" s="1"/>
  <c r="AM112" i="55"/>
  <c r="AM113" i="55" s="1"/>
  <c r="AL112" i="55"/>
  <c r="AL113" i="55" s="1"/>
  <c r="AK112" i="55"/>
  <c r="AK113" i="55" s="1"/>
  <c r="AJ112" i="55"/>
  <c r="AJ113" i="55" s="1"/>
  <c r="AI112" i="55"/>
  <c r="AI113" i="55" s="1"/>
  <c r="AH112" i="55"/>
  <c r="AG112" i="55"/>
  <c r="AF112" i="55"/>
  <c r="AE112" i="55"/>
  <c r="AD112" i="55"/>
  <c r="AC112" i="55"/>
  <c r="AB112" i="55"/>
  <c r="AA112" i="55"/>
  <c r="Z112" i="55"/>
  <c r="Y112" i="55"/>
  <c r="Y113" i="55" s="1"/>
  <c r="X112" i="55"/>
  <c r="X113" i="55" s="1"/>
  <c r="W112" i="55"/>
  <c r="W113" i="55" s="1"/>
  <c r="V112" i="55"/>
  <c r="V113" i="55" s="1"/>
  <c r="U112" i="55"/>
  <c r="U113" i="55" s="1"/>
  <c r="T112" i="55"/>
  <c r="T113" i="55" s="1"/>
  <c r="S112" i="55"/>
  <c r="S113" i="55" s="1"/>
  <c r="R112" i="55"/>
  <c r="R113" i="55" s="1"/>
  <c r="Q112" i="55"/>
  <c r="Q113" i="55" s="1"/>
  <c r="P112" i="55"/>
  <c r="P113" i="55" s="1"/>
  <c r="O112" i="55"/>
  <c r="O113" i="55" s="1"/>
  <c r="N112" i="55"/>
  <c r="M112" i="55"/>
  <c r="L112" i="55"/>
  <c r="K112" i="55"/>
  <c r="J112" i="55"/>
  <c r="I112" i="55"/>
  <c r="H112" i="55"/>
  <c r="G112" i="55"/>
  <c r="F112" i="55"/>
  <c r="E112" i="55"/>
  <c r="D112" i="55"/>
  <c r="D113" i="55" s="1"/>
  <c r="BC111" i="55"/>
  <c r="BB111" i="55"/>
  <c r="BB113" i="55" s="1"/>
  <c r="BA111" i="55"/>
  <c r="BA113" i="55" s="1"/>
  <c r="AZ111" i="55"/>
  <c r="AZ113" i="55" s="1"/>
  <c r="AY111" i="55"/>
  <c r="AY113" i="55" s="1"/>
  <c r="AX111" i="55"/>
  <c r="AW111" i="55"/>
  <c r="AV111" i="55"/>
  <c r="AU111" i="55"/>
  <c r="AT111" i="55"/>
  <c r="AS111" i="55"/>
  <c r="AR111" i="55"/>
  <c r="AQ111" i="55"/>
  <c r="AP111" i="55"/>
  <c r="AO111" i="55"/>
  <c r="AN111" i="55"/>
  <c r="AM111" i="55"/>
  <c r="AL111" i="55"/>
  <c r="AK111" i="55"/>
  <c r="AJ111" i="55"/>
  <c r="AI111" i="55"/>
  <c r="AH111" i="55"/>
  <c r="AH113" i="55" s="1"/>
  <c r="AG111" i="55"/>
  <c r="AF111" i="55"/>
  <c r="AE111" i="55"/>
  <c r="AE113" i="55" s="1"/>
  <c r="AD111" i="55"/>
  <c r="AD113" i="55" s="1"/>
  <c r="AC111" i="55"/>
  <c r="AC113" i="55" s="1"/>
  <c r="AB111" i="55"/>
  <c r="AA111" i="55"/>
  <c r="Z111" i="55"/>
  <c r="Y111" i="55"/>
  <c r="X111" i="55"/>
  <c r="W111" i="55"/>
  <c r="V111" i="55"/>
  <c r="U111" i="55"/>
  <c r="T111" i="55"/>
  <c r="S111" i="55"/>
  <c r="R111" i="55"/>
  <c r="Q111" i="55"/>
  <c r="P111" i="55"/>
  <c r="O111" i="55"/>
  <c r="N111" i="55"/>
  <c r="N113" i="55" s="1"/>
  <c r="M111" i="55"/>
  <c r="M113" i="55" s="1"/>
  <c r="L111" i="55"/>
  <c r="L113" i="55" s="1"/>
  <c r="K111" i="55"/>
  <c r="K113" i="55" s="1"/>
  <c r="J111" i="55"/>
  <c r="J113" i="55" s="1"/>
  <c r="I111" i="55"/>
  <c r="I113" i="55" s="1"/>
  <c r="H111" i="55"/>
  <c r="G111" i="55"/>
  <c r="F111" i="55"/>
  <c r="E111" i="55"/>
  <c r="D111" i="55"/>
  <c r="AW110" i="55"/>
  <c r="AV110" i="55"/>
  <c r="AC110" i="55"/>
  <c r="AB110" i="55"/>
  <c r="AA110" i="55"/>
  <c r="Z110" i="55"/>
  <c r="Y110" i="55"/>
  <c r="X110" i="55"/>
  <c r="U110" i="55"/>
  <c r="I110" i="55"/>
  <c r="H110" i="55"/>
  <c r="G110" i="55"/>
  <c r="F110" i="55"/>
  <c r="BC109" i="55"/>
  <c r="BB109" i="55"/>
  <c r="BA109" i="55"/>
  <c r="AZ109" i="55"/>
  <c r="AY109" i="55"/>
  <c r="AX109" i="55"/>
  <c r="AW109" i="55"/>
  <c r="AV109" i="55"/>
  <c r="AU109" i="55"/>
  <c r="AT109" i="55"/>
  <c r="AS109" i="55"/>
  <c r="AR109" i="55"/>
  <c r="AQ109" i="55"/>
  <c r="AP109" i="55"/>
  <c r="AO109" i="55"/>
  <c r="AO110" i="55" s="1"/>
  <c r="AN109" i="55"/>
  <c r="AM109" i="55"/>
  <c r="AL109" i="55"/>
  <c r="AK109" i="55"/>
  <c r="AJ109" i="55"/>
  <c r="AJ110" i="55" s="1"/>
  <c r="AI109" i="55"/>
  <c r="AH109" i="55"/>
  <c r="AG109" i="55"/>
  <c r="AF109" i="55"/>
  <c r="AE109" i="55"/>
  <c r="AD109" i="55"/>
  <c r="AC109" i="55"/>
  <c r="AB109" i="55"/>
  <c r="AA109" i="55"/>
  <c r="Z109" i="55"/>
  <c r="Y109" i="55"/>
  <c r="X109" i="55"/>
  <c r="W109" i="55"/>
  <c r="V109" i="55"/>
  <c r="U109" i="55"/>
  <c r="T109" i="55"/>
  <c r="S109" i="55"/>
  <c r="R109" i="55"/>
  <c r="Q109" i="55"/>
  <c r="P109" i="55"/>
  <c r="P110" i="55" s="1"/>
  <c r="O109" i="55"/>
  <c r="N109" i="55"/>
  <c r="M109" i="55"/>
  <c r="L109" i="55"/>
  <c r="K109" i="55"/>
  <c r="J109" i="55"/>
  <c r="I109" i="55"/>
  <c r="H109" i="55"/>
  <c r="G109" i="55"/>
  <c r="F109" i="55"/>
  <c r="E109" i="55"/>
  <c r="D109" i="55"/>
  <c r="BC108" i="55"/>
  <c r="BB108" i="55"/>
  <c r="BA108" i="55"/>
  <c r="AZ108" i="55"/>
  <c r="AY108" i="55"/>
  <c r="AY110" i="55" s="1"/>
  <c r="AX108" i="55"/>
  <c r="AX110" i="55" s="1"/>
  <c r="AW108" i="55"/>
  <c r="AV108" i="55"/>
  <c r="AU108" i="55"/>
  <c r="AU110" i="55" s="1"/>
  <c r="AT108" i="55"/>
  <c r="AT110" i="55" s="1"/>
  <c r="AS108" i="55"/>
  <c r="AR108" i="55"/>
  <c r="AQ108" i="55"/>
  <c r="AP108" i="55"/>
  <c r="AO108" i="55"/>
  <c r="AN108" i="55"/>
  <c r="AM108" i="55"/>
  <c r="AL108" i="55"/>
  <c r="AK108" i="55"/>
  <c r="AJ108" i="55"/>
  <c r="AI108" i="55"/>
  <c r="AH108" i="55"/>
  <c r="AG108" i="55"/>
  <c r="AF108" i="55"/>
  <c r="AE108" i="55"/>
  <c r="AE110" i="55" s="1"/>
  <c r="AD108" i="55"/>
  <c r="AD110" i="55" s="1"/>
  <c r="AC108" i="55"/>
  <c r="AB108" i="55"/>
  <c r="AA108" i="55"/>
  <c r="Z108" i="55"/>
  <c r="Y108" i="55"/>
  <c r="X108" i="55"/>
  <c r="W108" i="55"/>
  <c r="V108" i="55"/>
  <c r="U108" i="55"/>
  <c r="T108" i="55"/>
  <c r="S108" i="55"/>
  <c r="R108" i="55"/>
  <c r="Q108" i="55"/>
  <c r="P108" i="55"/>
  <c r="O108" i="55"/>
  <c r="N108" i="55"/>
  <c r="M108" i="55"/>
  <c r="L108" i="55"/>
  <c r="K108" i="55"/>
  <c r="K110" i="55" s="1"/>
  <c r="J108" i="55"/>
  <c r="J110" i="55" s="1"/>
  <c r="I108" i="55"/>
  <c r="H108" i="55"/>
  <c r="G108" i="55"/>
  <c r="F108" i="55"/>
  <c r="E108" i="55"/>
  <c r="D108" i="55"/>
  <c r="BC107" i="55"/>
  <c r="BC110" i="55" s="1"/>
  <c r="BB107" i="55"/>
  <c r="BB110" i="55" s="1"/>
  <c r="BA107" i="55"/>
  <c r="AZ107" i="55"/>
  <c r="AZ110" i="55" s="1"/>
  <c r="AY107" i="55"/>
  <c r="AX107" i="55"/>
  <c r="AW107" i="55"/>
  <c r="AV107" i="55"/>
  <c r="AU107" i="55"/>
  <c r="AT107" i="55"/>
  <c r="AS107" i="55"/>
  <c r="AR107" i="55"/>
  <c r="AQ107" i="55"/>
  <c r="AP107" i="55"/>
  <c r="AP110" i="55" s="1"/>
  <c r="AO107" i="55"/>
  <c r="AN107" i="55"/>
  <c r="AM107" i="55"/>
  <c r="AL107" i="55"/>
  <c r="AK107" i="55"/>
  <c r="AJ107" i="55"/>
  <c r="AI107" i="55"/>
  <c r="AI110" i="55" s="1"/>
  <c r="AH107" i="55"/>
  <c r="AH110" i="55" s="1"/>
  <c r="AG107" i="55"/>
  <c r="AF107" i="55"/>
  <c r="AF110" i="55" s="1"/>
  <c r="AE107" i="55"/>
  <c r="AD107" i="55"/>
  <c r="AC107" i="55"/>
  <c r="AB107" i="55"/>
  <c r="AA107" i="55"/>
  <c r="Z107" i="55"/>
  <c r="Y107" i="55"/>
  <c r="X107" i="55"/>
  <c r="W107" i="55"/>
  <c r="W110" i="55" s="1"/>
  <c r="V107" i="55"/>
  <c r="V110" i="55" s="1"/>
  <c r="U107" i="55"/>
  <c r="T107" i="55"/>
  <c r="S107" i="55"/>
  <c r="R107" i="55"/>
  <c r="Q107" i="55"/>
  <c r="P107" i="55"/>
  <c r="O107" i="55"/>
  <c r="O110" i="55" s="1"/>
  <c r="N107" i="55"/>
  <c r="N110" i="55" s="1"/>
  <c r="M107" i="55"/>
  <c r="L107" i="55"/>
  <c r="L110" i="55" s="1"/>
  <c r="K107" i="55"/>
  <c r="J107" i="55"/>
  <c r="I107" i="55"/>
  <c r="H107" i="55"/>
  <c r="G107" i="55"/>
  <c r="F107" i="55"/>
  <c r="E107" i="55"/>
  <c r="E110" i="55" s="1"/>
  <c r="D107" i="55"/>
  <c r="D110" i="55" s="1"/>
  <c r="L106" i="55"/>
  <c r="L116" i="55" s="1"/>
  <c r="AP105" i="55"/>
  <c r="AO105" i="55"/>
  <c r="AC105" i="55"/>
  <c r="AB105" i="55"/>
  <c r="AA105" i="55"/>
  <c r="Z105" i="55"/>
  <c r="X105" i="55"/>
  <c r="W105" i="55"/>
  <c r="V105" i="55"/>
  <c r="U105" i="55"/>
  <c r="D105" i="55"/>
  <c r="BC104" i="55"/>
  <c r="BB104" i="55"/>
  <c r="BA104" i="55"/>
  <c r="AZ104" i="55"/>
  <c r="AY104" i="55"/>
  <c r="AX104" i="55"/>
  <c r="AW104" i="55"/>
  <c r="AV104" i="55"/>
  <c r="AU104" i="55"/>
  <c r="AT104" i="55"/>
  <c r="AS104" i="55"/>
  <c r="AR104" i="55"/>
  <c r="AR105" i="55" s="1"/>
  <c r="AQ104" i="55"/>
  <c r="AQ105" i="55" s="1"/>
  <c r="AP104" i="55"/>
  <c r="AO104" i="55"/>
  <c r="AN104" i="55"/>
  <c r="AM104" i="55"/>
  <c r="AM105" i="55" s="1"/>
  <c r="AL104" i="55"/>
  <c r="AL105" i="55" s="1"/>
  <c r="AK104" i="55"/>
  <c r="AJ104" i="55"/>
  <c r="AJ105" i="55" s="1"/>
  <c r="AI104" i="55"/>
  <c r="AH104" i="55"/>
  <c r="AG104" i="55"/>
  <c r="AF104" i="55"/>
  <c r="AE104" i="55"/>
  <c r="AD104" i="55"/>
  <c r="AC104" i="55"/>
  <c r="AB104" i="55"/>
  <c r="AA104" i="55"/>
  <c r="Z104" i="55"/>
  <c r="Y104" i="55"/>
  <c r="X104" i="55"/>
  <c r="W104" i="55"/>
  <c r="V104" i="55"/>
  <c r="U104" i="55"/>
  <c r="T104" i="55"/>
  <c r="S104" i="55"/>
  <c r="S105" i="55" s="1"/>
  <c r="R104" i="55"/>
  <c r="R105" i="55" s="1"/>
  <c r="Q104" i="55"/>
  <c r="P104" i="55"/>
  <c r="P105" i="55" s="1"/>
  <c r="O104" i="55"/>
  <c r="N104" i="55"/>
  <c r="M104" i="55"/>
  <c r="L104" i="55"/>
  <c r="K104" i="55"/>
  <c r="J104" i="55"/>
  <c r="I104" i="55"/>
  <c r="H104" i="55"/>
  <c r="G104" i="55"/>
  <c r="F104" i="55"/>
  <c r="E104" i="55"/>
  <c r="D104" i="55"/>
  <c r="BC103" i="55"/>
  <c r="BC105" i="55" s="1"/>
  <c r="BB103" i="55"/>
  <c r="BA103" i="55"/>
  <c r="AZ103" i="55"/>
  <c r="AZ105" i="55" s="1"/>
  <c r="AY103" i="55"/>
  <c r="AY105" i="55" s="1"/>
  <c r="AX103" i="55"/>
  <c r="AX105" i="55" s="1"/>
  <c r="AW103" i="55"/>
  <c r="AW105" i="55" s="1"/>
  <c r="AV103" i="55"/>
  <c r="AV105" i="55" s="1"/>
  <c r="AU103" i="55"/>
  <c r="AT103" i="55"/>
  <c r="AS103" i="55"/>
  <c r="AR103" i="55"/>
  <c r="AQ103" i="55"/>
  <c r="AP103" i="55"/>
  <c r="AO103" i="55"/>
  <c r="AN103" i="55"/>
  <c r="AN105" i="55" s="1"/>
  <c r="AM103" i="55"/>
  <c r="AL103" i="55"/>
  <c r="AK103" i="55"/>
  <c r="AK105" i="55" s="1"/>
  <c r="AJ103" i="55"/>
  <c r="AI103" i="55"/>
  <c r="AI105" i="55" s="1"/>
  <c r="AH103" i="55"/>
  <c r="AG103" i="55"/>
  <c r="AF103" i="55"/>
  <c r="AF105" i="55" s="1"/>
  <c r="AE103" i="55"/>
  <c r="AE105" i="55" s="1"/>
  <c r="AD103" i="55"/>
  <c r="AD105" i="55" s="1"/>
  <c r="AC103" i="55"/>
  <c r="AB103" i="55"/>
  <c r="AA103" i="55"/>
  <c r="Z103" i="55"/>
  <c r="Y103" i="55"/>
  <c r="Y105" i="55" s="1"/>
  <c r="X103" i="55"/>
  <c r="W103" i="55"/>
  <c r="V103" i="55"/>
  <c r="U103" i="55"/>
  <c r="T103" i="55"/>
  <c r="T105" i="55" s="1"/>
  <c r="S103" i="55"/>
  <c r="R103" i="55"/>
  <c r="Q103" i="55"/>
  <c r="Q105" i="55" s="1"/>
  <c r="P103" i="55"/>
  <c r="O103" i="55"/>
  <c r="O105" i="55" s="1"/>
  <c r="N103" i="55"/>
  <c r="M103" i="55"/>
  <c r="L103" i="55"/>
  <c r="L105" i="55" s="1"/>
  <c r="K103" i="55"/>
  <c r="K105" i="55" s="1"/>
  <c r="J103" i="55"/>
  <c r="J105" i="55" s="1"/>
  <c r="I103" i="55"/>
  <c r="I105" i="55" s="1"/>
  <c r="H103" i="55"/>
  <c r="H105" i="55" s="1"/>
  <c r="G103" i="55"/>
  <c r="G105" i="55" s="1"/>
  <c r="F103" i="55"/>
  <c r="F105" i="55" s="1"/>
  <c r="E103" i="55"/>
  <c r="E105" i="55" s="1"/>
  <c r="D103" i="55"/>
  <c r="AP102" i="55"/>
  <c r="AN102" i="55"/>
  <c r="AM102" i="55"/>
  <c r="AL102" i="55"/>
  <c r="T102" i="55"/>
  <c r="S102" i="55"/>
  <c r="R102" i="55"/>
  <c r="BC101" i="55"/>
  <c r="BC102" i="55" s="1"/>
  <c r="BB101" i="55"/>
  <c r="BB102" i="55" s="1"/>
  <c r="BA101" i="55"/>
  <c r="AZ101" i="55"/>
  <c r="AZ102" i="55" s="1"/>
  <c r="AY101" i="55"/>
  <c r="AX101" i="55"/>
  <c r="AW101" i="55"/>
  <c r="AV101" i="55"/>
  <c r="AU101" i="55"/>
  <c r="AT101" i="55"/>
  <c r="AS101" i="55"/>
  <c r="AR101" i="55"/>
  <c r="AQ101" i="55"/>
  <c r="AQ102" i="55" s="1"/>
  <c r="AP101" i="55"/>
  <c r="AO101" i="55"/>
  <c r="AN101" i="55"/>
  <c r="AM101" i="55"/>
  <c r="AL101" i="55"/>
  <c r="AK101" i="55"/>
  <c r="AK102" i="55" s="1"/>
  <c r="AJ101" i="55"/>
  <c r="AI101" i="55"/>
  <c r="AI102" i="55" s="1"/>
  <c r="AH101" i="55"/>
  <c r="AH102" i="55" s="1"/>
  <c r="AG101" i="55"/>
  <c r="AF101" i="55"/>
  <c r="AF102" i="55" s="1"/>
  <c r="AE101" i="55"/>
  <c r="AD101" i="55"/>
  <c r="AC101" i="55"/>
  <c r="AB101" i="55"/>
  <c r="AA101" i="55"/>
  <c r="Z101" i="55"/>
  <c r="Y101" i="55"/>
  <c r="X101" i="55"/>
  <c r="W101" i="55"/>
  <c r="V101" i="55"/>
  <c r="U101" i="55"/>
  <c r="T101" i="55"/>
  <c r="S101" i="55"/>
  <c r="R101" i="55"/>
  <c r="Q101" i="55"/>
  <c r="Q102" i="55" s="1"/>
  <c r="P101" i="55"/>
  <c r="O101" i="55"/>
  <c r="O102" i="55" s="1"/>
  <c r="N101" i="55"/>
  <c r="N102" i="55" s="1"/>
  <c r="M101" i="55"/>
  <c r="L101" i="55"/>
  <c r="L102" i="55" s="1"/>
  <c r="K101" i="55"/>
  <c r="J101" i="55"/>
  <c r="I101" i="55"/>
  <c r="H101" i="55"/>
  <c r="G101" i="55"/>
  <c r="F101" i="55"/>
  <c r="E101" i="55"/>
  <c r="D101" i="55"/>
  <c r="BC100" i="55"/>
  <c r="BB100" i="55"/>
  <c r="BA100" i="55"/>
  <c r="AZ100" i="55"/>
  <c r="AY100" i="55"/>
  <c r="AX100" i="55"/>
  <c r="AW100" i="55"/>
  <c r="AV100" i="55"/>
  <c r="AU100" i="55"/>
  <c r="AU102" i="55" s="1"/>
  <c r="AT100" i="55"/>
  <c r="AT102" i="55" s="1"/>
  <c r="AS100" i="55"/>
  <c r="AS102" i="55" s="1"/>
  <c r="AR100" i="55"/>
  <c r="AR102" i="55" s="1"/>
  <c r="AQ100" i="55"/>
  <c r="AP100" i="55"/>
  <c r="AO100" i="55"/>
  <c r="AO102" i="55" s="1"/>
  <c r="AN100" i="55"/>
  <c r="AM100" i="55"/>
  <c r="AL100" i="55"/>
  <c r="AK100" i="55"/>
  <c r="AJ100" i="55"/>
  <c r="AI100" i="55"/>
  <c r="AH100" i="55"/>
  <c r="AG100" i="55"/>
  <c r="AF100" i="55"/>
  <c r="AE100" i="55"/>
  <c r="AD100" i="55"/>
  <c r="AC100" i="55"/>
  <c r="AB100" i="55"/>
  <c r="AB102" i="55" s="1"/>
  <c r="AA100" i="55"/>
  <c r="AA102" i="55" s="1"/>
  <c r="Z100" i="55"/>
  <c r="Z102" i="55" s="1"/>
  <c r="Y100" i="55"/>
  <c r="Y102" i="55" s="1"/>
  <c r="X100" i="55"/>
  <c r="X102" i="55" s="1"/>
  <c r="W100" i="55"/>
  <c r="W102" i="55" s="1"/>
  <c r="V100" i="55"/>
  <c r="V102" i="55" s="1"/>
  <c r="U100" i="55"/>
  <c r="U102" i="55" s="1"/>
  <c r="T100" i="55"/>
  <c r="S100" i="55"/>
  <c r="R100" i="55"/>
  <c r="Q100" i="55"/>
  <c r="P100" i="55"/>
  <c r="O100" i="55"/>
  <c r="N100" i="55"/>
  <c r="M100" i="55"/>
  <c r="L100" i="55"/>
  <c r="K100" i="55"/>
  <c r="J100" i="55"/>
  <c r="I100" i="55"/>
  <c r="H100" i="55"/>
  <c r="H102" i="55" s="1"/>
  <c r="G100" i="55"/>
  <c r="G102" i="55" s="1"/>
  <c r="F100" i="55"/>
  <c r="F102" i="55" s="1"/>
  <c r="E100" i="55"/>
  <c r="E102" i="55" s="1"/>
  <c r="D100" i="55"/>
  <c r="D102" i="55" s="1"/>
  <c r="BC99" i="55"/>
  <c r="BB99" i="55"/>
  <c r="BA99" i="55"/>
  <c r="AZ99" i="55"/>
  <c r="AY99" i="55"/>
  <c r="AX99" i="55"/>
  <c r="AW99" i="55"/>
  <c r="AV99" i="55"/>
  <c r="AU99" i="55"/>
  <c r="AT99" i="55"/>
  <c r="AS99" i="55"/>
  <c r="AR99" i="55"/>
  <c r="AQ99" i="55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S99" i="55"/>
  <c r="R99" i="55"/>
  <c r="Q99" i="55"/>
  <c r="P99" i="55"/>
  <c r="O99" i="55"/>
  <c r="N99" i="55"/>
  <c r="M99" i="55"/>
  <c r="L99" i="55"/>
  <c r="K99" i="55"/>
  <c r="J99" i="55"/>
  <c r="I99" i="55"/>
  <c r="H99" i="55"/>
  <c r="G99" i="55"/>
  <c r="F99" i="55"/>
  <c r="E99" i="55"/>
  <c r="D99" i="55"/>
  <c r="BC98" i="55"/>
  <c r="BB98" i="55"/>
  <c r="BA98" i="55"/>
  <c r="AZ98" i="55"/>
  <c r="AY98" i="55"/>
  <c r="AX98" i="55"/>
  <c r="AW98" i="55"/>
  <c r="AV98" i="55"/>
  <c r="AU98" i="55"/>
  <c r="AT98" i="55"/>
  <c r="AS98" i="55"/>
  <c r="AR98" i="55"/>
  <c r="AQ98" i="55"/>
  <c r="AP98" i="55"/>
  <c r="AO98" i="55"/>
  <c r="AN98" i="55"/>
  <c r="AM98" i="55"/>
  <c r="AL98" i="55"/>
  <c r="AK98" i="55"/>
  <c r="AJ98" i="55"/>
  <c r="AI98" i="55"/>
  <c r="AH98" i="55"/>
  <c r="AG98" i="55"/>
  <c r="AF98" i="55"/>
  <c r="AE98" i="55"/>
  <c r="AD98" i="55"/>
  <c r="AC98" i="55"/>
  <c r="AB98" i="55"/>
  <c r="AA98" i="55"/>
  <c r="Z98" i="55"/>
  <c r="Y98" i="55"/>
  <c r="X98" i="55"/>
  <c r="W98" i="55"/>
  <c r="V98" i="55"/>
  <c r="U98" i="55"/>
  <c r="T98" i="55"/>
  <c r="S98" i="55"/>
  <c r="R98" i="55"/>
  <c r="Q98" i="55"/>
  <c r="P98" i="55"/>
  <c r="O98" i="55"/>
  <c r="N98" i="55"/>
  <c r="M98" i="55"/>
  <c r="L98" i="55"/>
  <c r="K98" i="55"/>
  <c r="J98" i="55"/>
  <c r="I98" i="55"/>
  <c r="H98" i="55"/>
  <c r="G98" i="55"/>
  <c r="F98" i="55"/>
  <c r="E98" i="55"/>
  <c r="D98" i="55"/>
  <c r="BC97" i="55"/>
  <c r="BB97" i="55"/>
  <c r="BA97" i="55"/>
  <c r="AZ97" i="55"/>
  <c r="AY97" i="55"/>
  <c r="AX97" i="55"/>
  <c r="AW97" i="55"/>
  <c r="AV97" i="55"/>
  <c r="AU97" i="55"/>
  <c r="AT97" i="55"/>
  <c r="AS97" i="55"/>
  <c r="AR97" i="55"/>
  <c r="AQ97" i="55"/>
  <c r="AP97" i="55"/>
  <c r="AO97" i="55"/>
  <c r="AN97" i="55"/>
  <c r="AM97" i="55"/>
  <c r="AL97" i="55"/>
  <c r="AK97" i="55"/>
  <c r="AJ97" i="55"/>
  <c r="AI97" i="55"/>
  <c r="AH97" i="55"/>
  <c r="AG97" i="55"/>
  <c r="AF97" i="55"/>
  <c r="AE97" i="55"/>
  <c r="AD97" i="55"/>
  <c r="AC97" i="55"/>
  <c r="AB97" i="55"/>
  <c r="AA97" i="55"/>
  <c r="Z97" i="55"/>
  <c r="Y97" i="55"/>
  <c r="X97" i="55"/>
  <c r="W97" i="55"/>
  <c r="V97" i="55"/>
  <c r="U97" i="55"/>
  <c r="T97" i="55"/>
  <c r="S97" i="55"/>
  <c r="R97" i="55"/>
  <c r="Q97" i="55"/>
  <c r="Q106" i="55" s="1"/>
  <c r="P97" i="55"/>
  <c r="O97" i="55"/>
  <c r="N97" i="55"/>
  <c r="M97" i="55"/>
  <c r="L97" i="55"/>
  <c r="K97" i="55"/>
  <c r="J97" i="55"/>
  <c r="I97" i="55"/>
  <c r="H97" i="55"/>
  <c r="G97" i="55"/>
  <c r="F97" i="55"/>
  <c r="E97" i="55"/>
  <c r="D97" i="55"/>
  <c r="BC96" i="55"/>
  <c r="BC106" i="55" s="1"/>
  <c r="BC116" i="55" s="1"/>
  <c r="BA96" i="55"/>
  <c r="AZ96" i="55"/>
  <c r="AZ106" i="55" s="1"/>
  <c r="AY96" i="55"/>
  <c r="AX96" i="55"/>
  <c r="AW96" i="55"/>
  <c r="AK96" i="55"/>
  <c r="AJ96" i="55"/>
  <c r="AC96" i="55"/>
  <c r="P96" i="55"/>
  <c r="O96" i="55"/>
  <c r="O106" i="55" s="1"/>
  <c r="O116" i="55" s="1"/>
  <c r="M96" i="55"/>
  <c r="L96" i="55"/>
  <c r="K96" i="55"/>
  <c r="J96" i="55"/>
  <c r="I96" i="55"/>
  <c r="BC95" i="55"/>
  <c r="BB95" i="55"/>
  <c r="BA95" i="55"/>
  <c r="AZ95" i="55"/>
  <c r="AY95" i="55"/>
  <c r="AX95" i="55"/>
  <c r="AW95" i="55"/>
  <c r="AV95" i="55"/>
  <c r="AU95" i="55"/>
  <c r="AT95" i="55"/>
  <c r="AS95" i="55"/>
  <c r="AR95" i="55"/>
  <c r="AQ95" i="55"/>
  <c r="AP95" i="55"/>
  <c r="AO95" i="55"/>
  <c r="AN95" i="55"/>
  <c r="AM95" i="55"/>
  <c r="AL95" i="55"/>
  <c r="AK95" i="55"/>
  <c r="AJ95" i="55"/>
  <c r="AI95" i="55"/>
  <c r="AH95" i="55"/>
  <c r="AG95" i="55"/>
  <c r="AF95" i="55"/>
  <c r="AE95" i="55"/>
  <c r="AD95" i="55"/>
  <c r="AC95" i="55"/>
  <c r="AB95" i="55"/>
  <c r="AA95" i="55"/>
  <c r="Z95" i="55"/>
  <c r="Y95" i="55"/>
  <c r="X95" i="55"/>
  <c r="W95" i="55"/>
  <c r="V95" i="55"/>
  <c r="U95" i="55"/>
  <c r="T95" i="55"/>
  <c r="S95" i="55"/>
  <c r="R95" i="55"/>
  <c r="Q95" i="55"/>
  <c r="P95" i="55"/>
  <c r="O95" i="55"/>
  <c r="N95" i="55"/>
  <c r="M95" i="55"/>
  <c r="L95" i="55"/>
  <c r="K95" i="55"/>
  <c r="J95" i="55"/>
  <c r="I95" i="55"/>
  <c r="H95" i="55"/>
  <c r="G95" i="55"/>
  <c r="F95" i="55"/>
  <c r="E95" i="55"/>
  <c r="D95" i="55"/>
  <c r="BC94" i="55"/>
  <c r="BB94" i="55"/>
  <c r="BB96" i="55" s="1"/>
  <c r="BA94" i="55"/>
  <c r="AZ94" i="55"/>
  <c r="AY94" i="55"/>
  <c r="AX94" i="55"/>
  <c r="AW94" i="55"/>
  <c r="AV94" i="55"/>
  <c r="AU94" i="55"/>
  <c r="AT94" i="55"/>
  <c r="AS94" i="55"/>
  <c r="AR94" i="55"/>
  <c r="AQ94" i="55"/>
  <c r="AP94" i="55"/>
  <c r="AO94" i="55"/>
  <c r="AN94" i="55"/>
  <c r="AM94" i="55"/>
  <c r="AL94" i="55"/>
  <c r="AK94" i="55"/>
  <c r="AJ94" i="55"/>
  <c r="AI94" i="55"/>
  <c r="AI96" i="55" s="1"/>
  <c r="AH94" i="55"/>
  <c r="AH96" i="55" s="1"/>
  <c r="AG94" i="55"/>
  <c r="AF94" i="55"/>
  <c r="AE94" i="55"/>
  <c r="AD94" i="55"/>
  <c r="AC94" i="55"/>
  <c r="AB94" i="55"/>
  <c r="AA94" i="55"/>
  <c r="Z94" i="55"/>
  <c r="Y94" i="55"/>
  <c r="X94" i="55"/>
  <c r="W94" i="55"/>
  <c r="V94" i="55"/>
  <c r="U94" i="55"/>
  <c r="T94" i="55"/>
  <c r="S94" i="55"/>
  <c r="R94" i="55"/>
  <c r="Q94" i="55"/>
  <c r="P94" i="55"/>
  <c r="O94" i="55"/>
  <c r="N94" i="55"/>
  <c r="N96" i="55" s="1"/>
  <c r="M94" i="55"/>
  <c r="L94" i="55"/>
  <c r="K94" i="55"/>
  <c r="J94" i="55"/>
  <c r="I94" i="55"/>
  <c r="H94" i="55"/>
  <c r="G94" i="55"/>
  <c r="F94" i="55"/>
  <c r="E94" i="55"/>
  <c r="D94" i="55"/>
  <c r="BC93" i="55"/>
  <c r="BB93" i="55"/>
  <c r="BA93" i="55"/>
  <c r="AZ93" i="55"/>
  <c r="AY93" i="55"/>
  <c r="AX93" i="55"/>
  <c r="AW93" i="55"/>
  <c r="AV93" i="55"/>
  <c r="AV96" i="55" s="1"/>
  <c r="AU93" i="55"/>
  <c r="AT93" i="55"/>
  <c r="AS93" i="55"/>
  <c r="AR93" i="55"/>
  <c r="AQ93" i="55"/>
  <c r="AP93" i="55"/>
  <c r="AO93" i="55"/>
  <c r="AN93" i="55"/>
  <c r="AM93" i="55"/>
  <c r="AL93" i="55"/>
  <c r="AK93" i="55"/>
  <c r="AJ93" i="55"/>
  <c r="AI93" i="55"/>
  <c r="AH93" i="55"/>
  <c r="AG93" i="55"/>
  <c r="AG96" i="55" s="1"/>
  <c r="AF93" i="55"/>
  <c r="AF96" i="55" s="1"/>
  <c r="AF106" i="55" s="1"/>
  <c r="AF116" i="55" s="1"/>
  <c r="AE93" i="55"/>
  <c r="AE96" i="55" s="1"/>
  <c r="AD93" i="55"/>
  <c r="AD96" i="55" s="1"/>
  <c r="AC93" i="55"/>
  <c r="AB93" i="55"/>
  <c r="AB96" i="55" s="1"/>
  <c r="AA93" i="55"/>
  <c r="AA96" i="55" s="1"/>
  <c r="Z93" i="55"/>
  <c r="Y93" i="55"/>
  <c r="X93" i="55"/>
  <c r="W93" i="55"/>
  <c r="V93" i="55"/>
  <c r="U93" i="55"/>
  <c r="T93" i="55"/>
  <c r="S93" i="55"/>
  <c r="R93" i="55"/>
  <c r="Q93" i="55"/>
  <c r="P93" i="55"/>
  <c r="O93" i="55"/>
  <c r="N93" i="55"/>
  <c r="M93" i="55"/>
  <c r="L93" i="55"/>
  <c r="K93" i="55"/>
  <c r="J93" i="55"/>
  <c r="I93" i="55"/>
  <c r="H93" i="55"/>
  <c r="H96" i="55" s="1"/>
  <c r="G93" i="55"/>
  <c r="G96" i="55" s="1"/>
  <c r="F93" i="55"/>
  <c r="E93" i="55"/>
  <c r="D93" i="55"/>
  <c r="BC92" i="55"/>
  <c r="BB92" i="55"/>
  <c r="BA92" i="55"/>
  <c r="AZ92" i="55"/>
  <c r="AY92" i="55"/>
  <c r="AX92" i="55"/>
  <c r="AW92" i="55"/>
  <c r="AV92" i="55"/>
  <c r="AU92" i="55"/>
  <c r="AT92" i="55"/>
  <c r="AS92" i="55"/>
  <c r="AR92" i="55"/>
  <c r="AQ92" i="55"/>
  <c r="AP92" i="55"/>
  <c r="AO92" i="55"/>
  <c r="AN92" i="55"/>
  <c r="AN96" i="55" s="1"/>
  <c r="AM92" i="55"/>
  <c r="AM96" i="55" s="1"/>
  <c r="AL92" i="55"/>
  <c r="AL96" i="55" s="1"/>
  <c r="AK92" i="55"/>
  <c r="AJ92" i="55"/>
  <c r="AI92" i="55"/>
  <c r="AH92" i="55"/>
  <c r="AG92" i="55"/>
  <c r="AF92" i="55"/>
  <c r="AE92" i="55"/>
  <c r="AD92" i="55"/>
  <c r="AC92" i="55"/>
  <c r="AB92" i="55"/>
  <c r="AA92" i="55"/>
  <c r="Z92" i="55"/>
  <c r="Y92" i="55"/>
  <c r="X92" i="55"/>
  <c r="W92" i="55"/>
  <c r="V92" i="55"/>
  <c r="U92" i="55"/>
  <c r="T92" i="55"/>
  <c r="T96" i="55" s="1"/>
  <c r="S92" i="55"/>
  <c r="S96" i="55" s="1"/>
  <c r="R92" i="55"/>
  <c r="R96" i="55" s="1"/>
  <c r="Q92" i="55"/>
  <c r="Q96" i="55" s="1"/>
  <c r="P92" i="55"/>
  <c r="O92" i="55"/>
  <c r="N92" i="55"/>
  <c r="M92" i="55"/>
  <c r="L92" i="55"/>
  <c r="K92" i="55"/>
  <c r="J92" i="55"/>
  <c r="I92" i="55"/>
  <c r="H92" i="55"/>
  <c r="G92" i="55"/>
  <c r="F92" i="55"/>
  <c r="E92" i="55"/>
  <c r="D92" i="55"/>
  <c r="E60" i="55"/>
  <c r="E91" i="55" s="1"/>
  <c r="D60" i="55"/>
  <c r="D91" i="55" s="1"/>
  <c r="BC56" i="55"/>
  <c r="BB56" i="55"/>
  <c r="BA56" i="55"/>
  <c r="AZ56" i="55"/>
  <c r="AY56" i="55"/>
  <c r="AX56" i="55"/>
  <c r="AW56" i="55"/>
  <c r="AV56" i="55"/>
  <c r="AU56" i="55"/>
  <c r="AT56" i="55"/>
  <c r="AS56" i="55"/>
  <c r="AR56" i="55"/>
  <c r="AQ56" i="55"/>
  <c r="AP56" i="55"/>
  <c r="AO56" i="55"/>
  <c r="AN56" i="55"/>
  <c r="AM56" i="55"/>
  <c r="AL56" i="55"/>
  <c r="AK56" i="55"/>
  <c r="AJ56" i="55"/>
  <c r="AI56" i="55"/>
  <c r="AH56" i="55"/>
  <c r="AG56" i="55"/>
  <c r="AF56" i="55"/>
  <c r="AE56" i="55"/>
  <c r="AD56" i="55"/>
  <c r="AC56" i="55"/>
  <c r="AB56" i="55"/>
  <c r="AA56" i="55"/>
  <c r="Z56" i="55"/>
  <c r="Y56" i="55"/>
  <c r="X56" i="55"/>
  <c r="W56" i="55"/>
  <c r="V56" i="55"/>
  <c r="U56" i="55"/>
  <c r="T56" i="55"/>
  <c r="S56" i="55"/>
  <c r="R56" i="55"/>
  <c r="Q56" i="55"/>
  <c r="P56" i="55"/>
  <c r="O56" i="55"/>
  <c r="N56" i="55"/>
  <c r="M56" i="55"/>
  <c r="L56" i="55"/>
  <c r="K56" i="55"/>
  <c r="J56" i="55"/>
  <c r="I56" i="55"/>
  <c r="H56" i="55"/>
  <c r="G56" i="55"/>
  <c r="F56" i="55"/>
  <c r="E56" i="55"/>
  <c r="D56" i="55"/>
  <c r="BC55" i="55"/>
  <c r="BB55" i="55"/>
  <c r="BA55" i="55"/>
  <c r="AZ55" i="55"/>
  <c r="AY55" i="55"/>
  <c r="AX55" i="55"/>
  <c r="AW55" i="55"/>
  <c r="AV55" i="55"/>
  <c r="AU55" i="55"/>
  <c r="AT55" i="55"/>
  <c r="AS55" i="55"/>
  <c r="AR55" i="55"/>
  <c r="AQ55" i="55"/>
  <c r="AP55" i="55"/>
  <c r="AO55" i="55"/>
  <c r="AN55" i="55"/>
  <c r="AM55" i="55"/>
  <c r="AL55" i="55"/>
  <c r="AK55" i="55"/>
  <c r="AJ55" i="55"/>
  <c r="AI55" i="55"/>
  <c r="AH55" i="55"/>
  <c r="AG55" i="55"/>
  <c r="AF55" i="55"/>
  <c r="AE55" i="55"/>
  <c r="AD55" i="55"/>
  <c r="AC55" i="55"/>
  <c r="AB55" i="55"/>
  <c r="AA55" i="55"/>
  <c r="Z55" i="55"/>
  <c r="Y55" i="55"/>
  <c r="X55" i="55"/>
  <c r="W55" i="55"/>
  <c r="V55" i="55"/>
  <c r="U55" i="55"/>
  <c r="T55" i="55"/>
  <c r="S55" i="55"/>
  <c r="R55" i="55"/>
  <c r="Q55" i="55"/>
  <c r="P55" i="55"/>
  <c r="O55" i="55"/>
  <c r="N55" i="55"/>
  <c r="M55" i="55"/>
  <c r="L55" i="55"/>
  <c r="K55" i="55"/>
  <c r="J55" i="55"/>
  <c r="I55" i="55"/>
  <c r="H55" i="55"/>
  <c r="G55" i="55"/>
  <c r="F55" i="55"/>
  <c r="E55" i="55"/>
  <c r="D55" i="55"/>
  <c r="BC54" i="55"/>
  <c r="BB54" i="55"/>
  <c r="AZ54" i="55"/>
  <c r="AY54" i="55"/>
  <c r="AX54" i="55"/>
  <c r="Q54" i="55"/>
  <c r="P54" i="55"/>
  <c r="O54" i="55"/>
  <c r="N54" i="55"/>
  <c r="L54" i="55"/>
  <c r="K54" i="55"/>
  <c r="J54" i="55"/>
  <c r="BC53" i="55"/>
  <c r="BB53" i="55"/>
  <c r="BA53" i="55"/>
  <c r="AZ53" i="55"/>
  <c r="AY53" i="55"/>
  <c r="AX53" i="55"/>
  <c r="AW53" i="55"/>
  <c r="AW54" i="55" s="1"/>
  <c r="AV53" i="55"/>
  <c r="AV54" i="55" s="1"/>
  <c r="AU53" i="55"/>
  <c r="AT53" i="55"/>
  <c r="AS53" i="55"/>
  <c r="AS54" i="55" s="1"/>
  <c r="AR53" i="55"/>
  <c r="AR54" i="55" s="1"/>
  <c r="AQ53" i="55"/>
  <c r="AQ54" i="55" s="1"/>
  <c r="AP53" i="55"/>
  <c r="AP54" i="55" s="1"/>
  <c r="AO53" i="55"/>
  <c r="AO54" i="55" s="1"/>
  <c r="AN53" i="55"/>
  <c r="AM53" i="55"/>
  <c r="AL53" i="55"/>
  <c r="AK53" i="55"/>
  <c r="AJ53" i="55"/>
  <c r="AI53" i="55"/>
  <c r="AH53" i="55"/>
  <c r="AG53" i="55"/>
  <c r="AF53" i="55"/>
  <c r="AE53" i="55"/>
  <c r="AD53" i="55"/>
  <c r="AC53" i="55"/>
  <c r="AB53" i="55"/>
  <c r="AA53" i="55"/>
  <c r="Z53" i="55"/>
  <c r="Y53" i="55"/>
  <c r="X53" i="55"/>
  <c r="X54" i="55" s="1"/>
  <c r="W53" i="55"/>
  <c r="W54" i="55" s="1"/>
  <c r="V53" i="55"/>
  <c r="V54" i="55" s="1"/>
  <c r="U53" i="55"/>
  <c r="U54" i="55" s="1"/>
  <c r="T53" i="55"/>
  <c r="S53" i="55"/>
  <c r="R53" i="55"/>
  <c r="Q53" i="55"/>
  <c r="P53" i="55"/>
  <c r="O53" i="55"/>
  <c r="N53" i="55"/>
  <c r="M53" i="55"/>
  <c r="L53" i="55"/>
  <c r="K53" i="55"/>
  <c r="J53" i="55"/>
  <c r="I53" i="55"/>
  <c r="I54" i="55" s="1"/>
  <c r="H53" i="55"/>
  <c r="H54" i="55" s="1"/>
  <c r="G53" i="55"/>
  <c r="G54" i="55" s="1"/>
  <c r="F53" i="55"/>
  <c r="F54" i="55" s="1"/>
  <c r="E53" i="55"/>
  <c r="E54" i="55" s="1"/>
  <c r="D53" i="55"/>
  <c r="D54" i="55" s="1"/>
  <c r="BC52" i="55"/>
  <c r="BB52" i="55"/>
  <c r="BA52" i="55"/>
  <c r="BA54" i="55" s="1"/>
  <c r="AZ52" i="55"/>
  <c r="AY52" i="55"/>
  <c r="AX52" i="55"/>
  <c r="AW52" i="55"/>
  <c r="AV52" i="55"/>
  <c r="AU52" i="55"/>
  <c r="AT52" i="55"/>
  <c r="AS52" i="55"/>
  <c r="AR52" i="55"/>
  <c r="AQ52" i="55"/>
  <c r="AP52" i="55"/>
  <c r="AO52" i="55"/>
  <c r="AN52" i="55"/>
  <c r="AM52" i="55"/>
  <c r="AL52" i="55"/>
  <c r="AL54" i="55" s="1"/>
  <c r="AK52" i="55"/>
  <c r="AK54" i="55" s="1"/>
  <c r="AJ52" i="55"/>
  <c r="AJ54" i="55" s="1"/>
  <c r="AI52" i="55"/>
  <c r="AI54" i="55" s="1"/>
  <c r="AH52" i="55"/>
  <c r="AH54" i="55" s="1"/>
  <c r="AG52" i="55"/>
  <c r="AG54" i="55" s="1"/>
  <c r="AF52" i="55"/>
  <c r="AE52" i="55"/>
  <c r="AD52" i="55"/>
  <c r="AC52" i="55"/>
  <c r="AB52" i="55"/>
  <c r="AA52" i="55"/>
  <c r="Z52" i="55"/>
  <c r="Y52" i="55"/>
  <c r="X52" i="55"/>
  <c r="W52" i="55"/>
  <c r="V52" i="55"/>
  <c r="U52" i="55"/>
  <c r="T52" i="55"/>
  <c r="S52" i="55"/>
  <c r="R52" i="55"/>
  <c r="R54" i="55" s="1"/>
  <c r="Q52" i="55"/>
  <c r="P52" i="55"/>
  <c r="O52" i="55"/>
  <c r="N52" i="55"/>
  <c r="M52" i="55"/>
  <c r="M54" i="55" s="1"/>
  <c r="L52" i="55"/>
  <c r="K52" i="55"/>
  <c r="J52" i="55"/>
  <c r="I52" i="55"/>
  <c r="H52" i="55"/>
  <c r="G52" i="55"/>
  <c r="F52" i="55"/>
  <c r="E52" i="55"/>
  <c r="D52" i="55"/>
  <c r="H51" i="55"/>
  <c r="G51" i="55"/>
  <c r="F51" i="55"/>
  <c r="BC50" i="55"/>
  <c r="BB50" i="55"/>
  <c r="BA50" i="55"/>
  <c r="AZ50" i="55"/>
  <c r="AY50" i="55"/>
  <c r="AX50" i="55"/>
  <c r="AW50" i="55"/>
  <c r="AV50" i="55"/>
  <c r="AU50" i="55"/>
  <c r="AT50" i="55"/>
  <c r="AS50" i="55"/>
  <c r="AR50" i="55"/>
  <c r="AQ50" i="55"/>
  <c r="AP50" i="55"/>
  <c r="AO50" i="55"/>
  <c r="AN50" i="55"/>
  <c r="AM50" i="55"/>
  <c r="AL50" i="55"/>
  <c r="AK50" i="55"/>
  <c r="AJ50" i="55"/>
  <c r="AI50" i="55"/>
  <c r="AH50" i="55"/>
  <c r="AG50" i="55"/>
  <c r="AF50" i="55"/>
  <c r="AE50" i="55"/>
  <c r="AD50" i="55"/>
  <c r="AC50" i="55"/>
  <c r="AB50" i="55"/>
  <c r="AA50" i="55"/>
  <c r="Z50" i="55"/>
  <c r="Y50" i="55"/>
  <c r="X50" i="55"/>
  <c r="W50" i="55"/>
  <c r="V50" i="55"/>
  <c r="U50" i="55"/>
  <c r="T50" i="55"/>
  <c r="T51" i="55" s="1"/>
  <c r="S50" i="55"/>
  <c r="R50" i="55"/>
  <c r="Q50" i="55"/>
  <c r="P50" i="55"/>
  <c r="O50" i="55"/>
  <c r="N50" i="55"/>
  <c r="M50" i="55"/>
  <c r="L50" i="55"/>
  <c r="K50" i="55"/>
  <c r="J50" i="55"/>
  <c r="I50" i="55"/>
  <c r="H50" i="55"/>
  <c r="G50" i="55"/>
  <c r="F50" i="55"/>
  <c r="E50" i="55"/>
  <c r="D50" i="55"/>
  <c r="BC49" i="55"/>
  <c r="BB49" i="55"/>
  <c r="BB51" i="55" s="1"/>
  <c r="BA49" i="55"/>
  <c r="BA51" i="55" s="1"/>
  <c r="AZ49" i="55"/>
  <c r="AZ51" i="55" s="1"/>
  <c r="AY49" i="55"/>
  <c r="AY51" i="55" s="1"/>
  <c r="AX49" i="55"/>
  <c r="AX51" i="55" s="1"/>
  <c r="AW49" i="55"/>
  <c r="AW51" i="55" s="1"/>
  <c r="AV49" i="55"/>
  <c r="AU49" i="55"/>
  <c r="AT49" i="55"/>
  <c r="AS49" i="55"/>
  <c r="AR49" i="55"/>
  <c r="AQ49" i="55"/>
  <c r="AP49" i="55"/>
  <c r="AO49" i="55"/>
  <c r="AN49" i="55"/>
  <c r="AM49" i="55"/>
  <c r="AL49" i="55"/>
  <c r="AK49" i="55"/>
  <c r="AJ49" i="55"/>
  <c r="AI49" i="55"/>
  <c r="AH49" i="55"/>
  <c r="AG49" i="55"/>
  <c r="AF49" i="55"/>
  <c r="AE49" i="55"/>
  <c r="AD49" i="55"/>
  <c r="AC49" i="55"/>
  <c r="AB49" i="55"/>
  <c r="AA49" i="55"/>
  <c r="Z49" i="55"/>
  <c r="Y49" i="55"/>
  <c r="X49" i="55"/>
  <c r="W49" i="55"/>
  <c r="V49" i="55"/>
  <c r="U49" i="55"/>
  <c r="T49" i="55"/>
  <c r="S49" i="55"/>
  <c r="R49" i="55"/>
  <c r="Q49" i="55"/>
  <c r="P49" i="55"/>
  <c r="O49" i="55"/>
  <c r="N49" i="55"/>
  <c r="N51" i="55" s="1"/>
  <c r="M49" i="55"/>
  <c r="M51" i="55" s="1"/>
  <c r="L49" i="55"/>
  <c r="L51" i="55" s="1"/>
  <c r="K49" i="55"/>
  <c r="K51" i="55" s="1"/>
  <c r="J49" i="55"/>
  <c r="J51" i="55" s="1"/>
  <c r="I49" i="55"/>
  <c r="I51" i="55" s="1"/>
  <c r="H49" i="55"/>
  <c r="G49" i="55"/>
  <c r="F49" i="55"/>
  <c r="E49" i="55"/>
  <c r="D49" i="55"/>
  <c r="BC48" i="55"/>
  <c r="BB48" i="55"/>
  <c r="BA48" i="55"/>
  <c r="AZ48" i="55"/>
  <c r="AY48" i="55"/>
  <c r="AX48" i="55"/>
  <c r="AW48" i="55"/>
  <c r="AV48" i="55"/>
  <c r="AU48" i="55"/>
  <c r="AU51" i="55" s="1"/>
  <c r="AT48" i="55"/>
  <c r="AT51" i="55" s="1"/>
  <c r="AS48" i="55"/>
  <c r="AS51" i="55" s="1"/>
  <c r="AR48" i="55"/>
  <c r="AQ48" i="55"/>
  <c r="AP48" i="55"/>
  <c r="AO48" i="55"/>
  <c r="AN48" i="55"/>
  <c r="AM48" i="55"/>
  <c r="AL48" i="55"/>
  <c r="AK48" i="55"/>
  <c r="AJ48" i="55"/>
  <c r="AI48" i="55"/>
  <c r="AH48" i="55"/>
  <c r="AG48" i="55"/>
  <c r="AF48" i="55"/>
  <c r="AE48" i="55"/>
  <c r="AD48" i="55"/>
  <c r="AC48" i="55"/>
  <c r="AB48" i="55"/>
  <c r="AB51" i="55" s="1"/>
  <c r="AA48" i="55"/>
  <c r="AA51" i="55" s="1"/>
  <c r="Z48" i="55"/>
  <c r="Y48" i="55"/>
  <c r="Y51" i="55" s="1"/>
  <c r="X48" i="55"/>
  <c r="X51" i="55" s="1"/>
  <c r="W48" i="55"/>
  <c r="W51" i="55" s="1"/>
  <c r="V48" i="55"/>
  <c r="V51" i="55" s="1"/>
  <c r="U48" i="55"/>
  <c r="U51" i="55" s="1"/>
  <c r="T48" i="55"/>
  <c r="S48" i="55"/>
  <c r="R48" i="55"/>
  <c r="Q48" i="55"/>
  <c r="P48" i="55"/>
  <c r="O48" i="55"/>
  <c r="N48" i="55"/>
  <c r="M48" i="55"/>
  <c r="L48" i="55"/>
  <c r="K48" i="55"/>
  <c r="J48" i="55"/>
  <c r="I48" i="55"/>
  <c r="H48" i="55"/>
  <c r="G48" i="55"/>
  <c r="F48" i="55"/>
  <c r="E48" i="55"/>
  <c r="E51" i="55" s="1"/>
  <c r="D48" i="55"/>
  <c r="D51" i="55" s="1"/>
  <c r="BB47" i="55"/>
  <c r="BB57" i="55" s="1"/>
  <c r="BA46" i="55"/>
  <c r="AY46" i="55"/>
  <c r="AV46" i="55"/>
  <c r="AB46" i="55"/>
  <c r="AA46" i="55"/>
  <c r="Y46" i="55"/>
  <c r="T46" i="55"/>
  <c r="M46" i="55"/>
  <c r="K46" i="55"/>
  <c r="H46" i="55"/>
  <c r="G46" i="55"/>
  <c r="F46" i="55"/>
  <c r="BC45" i="55"/>
  <c r="BB45" i="55"/>
  <c r="BA45" i="55"/>
  <c r="AZ45" i="55"/>
  <c r="AZ46" i="55" s="1"/>
  <c r="AY45" i="55"/>
  <c r="AX45" i="55"/>
  <c r="AW45" i="55"/>
  <c r="AV45" i="55"/>
  <c r="AU45" i="55"/>
  <c r="AT45" i="55"/>
  <c r="AS45" i="55"/>
  <c r="AR45" i="55"/>
  <c r="AQ45" i="55"/>
  <c r="AP45" i="55"/>
  <c r="AP46" i="55" s="1"/>
  <c r="AO45" i="55"/>
  <c r="AN45" i="55"/>
  <c r="AN46" i="55" s="1"/>
  <c r="AM45" i="55"/>
  <c r="AL45" i="55"/>
  <c r="AK45" i="55"/>
  <c r="AJ45" i="55"/>
  <c r="AI45" i="55"/>
  <c r="AH45" i="55"/>
  <c r="AG45" i="55"/>
  <c r="AF45" i="55"/>
  <c r="AE45" i="55"/>
  <c r="AD45" i="55"/>
  <c r="AC45" i="55"/>
  <c r="AB45" i="55"/>
  <c r="AA45" i="55"/>
  <c r="Z45" i="55"/>
  <c r="Y45" i="55"/>
  <c r="X45" i="55"/>
  <c r="W45" i="55"/>
  <c r="V45" i="55"/>
  <c r="V46" i="55" s="1"/>
  <c r="U45" i="55"/>
  <c r="T45" i="55"/>
  <c r="S45" i="55"/>
  <c r="R45" i="55"/>
  <c r="Q45" i="55"/>
  <c r="P45" i="55"/>
  <c r="O45" i="55"/>
  <c r="N45" i="55"/>
  <c r="M45" i="55"/>
  <c r="L45" i="55"/>
  <c r="L46" i="55" s="1"/>
  <c r="K45" i="55"/>
  <c r="J45" i="55"/>
  <c r="I45" i="55"/>
  <c r="H45" i="55"/>
  <c r="G45" i="55"/>
  <c r="F45" i="55"/>
  <c r="E45" i="55"/>
  <c r="E46" i="55" s="1"/>
  <c r="D45" i="55"/>
  <c r="BC44" i="55"/>
  <c r="BC46" i="55" s="1"/>
  <c r="BB44" i="55"/>
  <c r="BB46" i="55" s="1"/>
  <c r="BA44" i="55"/>
  <c r="AZ44" i="55"/>
  <c r="AY44" i="55"/>
  <c r="AX44" i="55"/>
  <c r="AX46" i="55" s="1"/>
  <c r="AW44" i="55"/>
  <c r="AW46" i="55" s="1"/>
  <c r="AV44" i="55"/>
  <c r="AU44" i="55"/>
  <c r="AU46" i="55" s="1"/>
  <c r="AT44" i="55"/>
  <c r="AT46" i="55" s="1"/>
  <c r="AS44" i="55"/>
  <c r="AR44" i="55"/>
  <c r="AR46" i="55" s="1"/>
  <c r="AQ44" i="55"/>
  <c r="AP44" i="55"/>
  <c r="AO44" i="55"/>
  <c r="AN44" i="55"/>
  <c r="AM44" i="55"/>
  <c r="AM46" i="55" s="1"/>
  <c r="AL44" i="55"/>
  <c r="AL46" i="55" s="1"/>
  <c r="AK44" i="55"/>
  <c r="AK46" i="55" s="1"/>
  <c r="AJ44" i="55"/>
  <c r="AJ46" i="55" s="1"/>
  <c r="AI44" i="55"/>
  <c r="AI46" i="55" s="1"/>
  <c r="AH44" i="55"/>
  <c r="AH46" i="55" s="1"/>
  <c r="AG44" i="55"/>
  <c r="AG46" i="55" s="1"/>
  <c r="AF44" i="55"/>
  <c r="AE44" i="55"/>
  <c r="AE46" i="55" s="1"/>
  <c r="AD44" i="55"/>
  <c r="AD46" i="55" s="1"/>
  <c r="AC44" i="55"/>
  <c r="AC46" i="55" s="1"/>
  <c r="AB44" i="55"/>
  <c r="AA44" i="55"/>
  <c r="Z44" i="55"/>
  <c r="Z46" i="55" s="1"/>
  <c r="Y44" i="55"/>
  <c r="X44" i="55"/>
  <c r="X46" i="55" s="1"/>
  <c r="W44" i="55"/>
  <c r="W46" i="55" s="1"/>
  <c r="V44" i="55"/>
  <c r="U44" i="55"/>
  <c r="U46" i="55" s="1"/>
  <c r="T44" i="55"/>
  <c r="S44" i="55"/>
  <c r="S46" i="55" s="1"/>
  <c r="R44" i="55"/>
  <c r="R46" i="55" s="1"/>
  <c r="Q44" i="55"/>
  <c r="Q46" i="55" s="1"/>
  <c r="P44" i="55"/>
  <c r="P46" i="55" s="1"/>
  <c r="O44" i="55"/>
  <c r="O46" i="55" s="1"/>
  <c r="N44" i="55"/>
  <c r="N46" i="55" s="1"/>
  <c r="M44" i="55"/>
  <c r="L44" i="55"/>
  <c r="K44" i="55"/>
  <c r="J44" i="55"/>
  <c r="J46" i="55" s="1"/>
  <c r="I44" i="55"/>
  <c r="I46" i="55" s="1"/>
  <c r="H44" i="55"/>
  <c r="G44" i="55"/>
  <c r="F44" i="55"/>
  <c r="E44" i="55"/>
  <c r="D44" i="55"/>
  <c r="D46" i="55" s="1"/>
  <c r="AW43" i="55"/>
  <c r="X43" i="55"/>
  <c r="W43" i="55"/>
  <c r="V43" i="55"/>
  <c r="U43" i="55"/>
  <c r="F43" i="55"/>
  <c r="E43" i="55"/>
  <c r="D43" i="55"/>
  <c r="BC42" i="55"/>
  <c r="BB42" i="55"/>
  <c r="BA42" i="55"/>
  <c r="AZ42" i="55"/>
  <c r="AY42" i="55"/>
  <c r="AX42" i="55"/>
  <c r="AW42" i="55"/>
  <c r="AV42" i="55"/>
  <c r="AU42" i="55"/>
  <c r="AT42" i="55"/>
  <c r="AS42" i="55"/>
  <c r="AR42" i="55"/>
  <c r="AQ42" i="55"/>
  <c r="AP42" i="55"/>
  <c r="AO42" i="55"/>
  <c r="AN42" i="55"/>
  <c r="AM42" i="55"/>
  <c r="AL42" i="55"/>
  <c r="AK42" i="55"/>
  <c r="AJ42" i="55"/>
  <c r="AI42" i="55"/>
  <c r="AH42" i="55"/>
  <c r="AG42" i="55"/>
  <c r="AF42" i="55"/>
  <c r="AE42" i="55"/>
  <c r="AD42" i="55"/>
  <c r="AC42" i="55"/>
  <c r="AB42" i="55"/>
  <c r="AA42" i="55"/>
  <c r="Z42" i="55"/>
  <c r="Y42" i="55"/>
  <c r="X42" i="55"/>
  <c r="W42" i="55"/>
  <c r="V42" i="55"/>
  <c r="U42" i="55"/>
  <c r="T42" i="55"/>
  <c r="S42" i="55"/>
  <c r="R42" i="55"/>
  <c r="Q42" i="55"/>
  <c r="P42" i="55"/>
  <c r="P43" i="55" s="1"/>
  <c r="O42" i="55"/>
  <c r="N42" i="55"/>
  <c r="M42" i="55"/>
  <c r="L42" i="55"/>
  <c r="K42" i="55"/>
  <c r="J42" i="55"/>
  <c r="I42" i="55"/>
  <c r="H42" i="55"/>
  <c r="G42" i="55"/>
  <c r="F42" i="55"/>
  <c r="E42" i="55"/>
  <c r="D42" i="55"/>
  <c r="BC41" i="55"/>
  <c r="BB41" i="55"/>
  <c r="BB43" i="55" s="1"/>
  <c r="BA41" i="55"/>
  <c r="AZ41" i="55"/>
  <c r="AZ43" i="55" s="1"/>
  <c r="AY41" i="55"/>
  <c r="AY43" i="55" s="1"/>
  <c r="AX41" i="55"/>
  <c r="AX43" i="55" s="1"/>
  <c r="AW41" i="55"/>
  <c r="AV41" i="55"/>
  <c r="AV43" i="55" s="1"/>
  <c r="AU41" i="55"/>
  <c r="AT41" i="55"/>
  <c r="AS41" i="55"/>
  <c r="AS43" i="55" s="1"/>
  <c r="AR41" i="55"/>
  <c r="AR43" i="55" s="1"/>
  <c r="AQ41" i="55"/>
  <c r="AQ43" i="55" s="1"/>
  <c r="AP41" i="55"/>
  <c r="AP43" i="55" s="1"/>
  <c r="AO41" i="55"/>
  <c r="AN41" i="55"/>
  <c r="AM41" i="55"/>
  <c r="AL41" i="55"/>
  <c r="AK41" i="55"/>
  <c r="AJ41" i="55"/>
  <c r="AI41" i="55"/>
  <c r="AH41" i="55"/>
  <c r="AH43" i="55" s="1"/>
  <c r="AG41" i="55"/>
  <c r="AF41" i="55"/>
  <c r="AF43" i="55" s="1"/>
  <c r="AE41" i="55"/>
  <c r="AE43" i="55" s="1"/>
  <c r="AD41" i="55"/>
  <c r="AD43" i="55" s="1"/>
  <c r="AC41" i="55"/>
  <c r="AC43" i="55" s="1"/>
  <c r="AB41" i="55"/>
  <c r="AA41" i="55"/>
  <c r="AA43" i="55" s="1"/>
  <c r="Z41" i="55"/>
  <c r="Z43" i="55" s="1"/>
  <c r="Y41" i="55"/>
  <c r="Y43" i="55" s="1"/>
  <c r="X41" i="55"/>
  <c r="W41" i="55"/>
  <c r="V41" i="55"/>
  <c r="U41" i="55"/>
  <c r="T41" i="55"/>
  <c r="S41" i="55"/>
  <c r="R41" i="55"/>
  <c r="Q41" i="55"/>
  <c r="P41" i="55"/>
  <c r="O41" i="55"/>
  <c r="N41" i="55"/>
  <c r="N43" i="55" s="1"/>
  <c r="M41" i="55"/>
  <c r="L41" i="55"/>
  <c r="L43" i="55" s="1"/>
  <c r="K41" i="55"/>
  <c r="K43" i="55" s="1"/>
  <c r="J41" i="55"/>
  <c r="J43" i="55" s="1"/>
  <c r="I41" i="55"/>
  <c r="I43" i="55" s="1"/>
  <c r="H41" i="55"/>
  <c r="H43" i="55" s="1"/>
  <c r="G41" i="55"/>
  <c r="G43" i="55" s="1"/>
  <c r="F41" i="55"/>
  <c r="E41" i="55"/>
  <c r="D41" i="55"/>
  <c r="BC40" i="55"/>
  <c r="BB40" i="55"/>
  <c r="BA40" i="55"/>
  <c r="AZ40" i="55"/>
  <c r="AY40" i="55"/>
  <c r="AX40" i="55"/>
  <c r="AW40" i="55"/>
  <c r="AV40" i="55"/>
  <c r="AU40" i="55"/>
  <c r="AT40" i="55"/>
  <c r="AS40" i="55"/>
  <c r="AR40" i="55"/>
  <c r="AQ40" i="55"/>
  <c r="AP40" i="55"/>
  <c r="AO40" i="55"/>
  <c r="AN40" i="55"/>
  <c r="AM40" i="55"/>
  <c r="AL40" i="55"/>
  <c r="AK40" i="55"/>
  <c r="AJ40" i="55"/>
  <c r="AI40" i="55"/>
  <c r="AH40" i="55"/>
  <c r="AG40" i="55"/>
  <c r="AF40" i="55"/>
  <c r="AE40" i="55"/>
  <c r="AD40" i="55"/>
  <c r="AC40" i="55"/>
  <c r="AB40" i="55"/>
  <c r="AA40" i="55"/>
  <c r="Z40" i="55"/>
  <c r="Y40" i="55"/>
  <c r="X40" i="55"/>
  <c r="W40" i="55"/>
  <c r="V40" i="55"/>
  <c r="U40" i="55"/>
  <c r="T40" i="55"/>
  <c r="S40" i="55"/>
  <c r="R40" i="55"/>
  <c r="Q40" i="55"/>
  <c r="P40" i="55"/>
  <c r="O40" i="55"/>
  <c r="N40" i="55"/>
  <c r="M40" i="55"/>
  <c r="L40" i="55"/>
  <c r="K40" i="55"/>
  <c r="J40" i="55"/>
  <c r="I40" i="55"/>
  <c r="H40" i="55"/>
  <c r="G40" i="55"/>
  <c r="F40" i="55"/>
  <c r="E40" i="55"/>
  <c r="D40" i="55"/>
  <c r="BC39" i="55"/>
  <c r="BB39" i="55"/>
  <c r="BA39" i="55"/>
  <c r="AZ39" i="55"/>
  <c r="AY39" i="55"/>
  <c r="AX39" i="55"/>
  <c r="AW39" i="55"/>
  <c r="AV39" i="55"/>
  <c r="AU39" i="55"/>
  <c r="AT39" i="55"/>
  <c r="AS39" i="55"/>
  <c r="AR39" i="55"/>
  <c r="AQ39" i="55"/>
  <c r="AP39" i="55"/>
  <c r="AO39" i="55"/>
  <c r="AN39" i="55"/>
  <c r="AM39" i="55"/>
  <c r="AL39" i="55"/>
  <c r="AK39" i="55"/>
  <c r="AJ39" i="55"/>
  <c r="AI39" i="55"/>
  <c r="AH39" i="55"/>
  <c r="AG39" i="55"/>
  <c r="AF39" i="55"/>
  <c r="AE39" i="55"/>
  <c r="AD39" i="55"/>
  <c r="AC39" i="55"/>
  <c r="AB39" i="55"/>
  <c r="AA39" i="55"/>
  <c r="Z39" i="55"/>
  <c r="Y39" i="55"/>
  <c r="X39" i="55"/>
  <c r="W39" i="55"/>
  <c r="V39" i="55"/>
  <c r="U39" i="55"/>
  <c r="T39" i="55"/>
  <c r="S39" i="55"/>
  <c r="R39" i="55"/>
  <c r="Q39" i="55"/>
  <c r="P39" i="55"/>
  <c r="O39" i="55"/>
  <c r="N39" i="55"/>
  <c r="M39" i="55"/>
  <c r="L39" i="55"/>
  <c r="K39" i="55"/>
  <c r="J39" i="55"/>
  <c r="I39" i="55"/>
  <c r="H39" i="55"/>
  <c r="G39" i="55"/>
  <c r="F39" i="55"/>
  <c r="E39" i="55"/>
  <c r="D39" i="55"/>
  <c r="BC38" i="55"/>
  <c r="BB38" i="55"/>
  <c r="BA38" i="55"/>
  <c r="AZ38" i="55"/>
  <c r="AY38" i="55"/>
  <c r="AX38" i="55"/>
  <c r="AW38" i="55"/>
  <c r="AV38" i="55"/>
  <c r="AU38" i="55"/>
  <c r="AT38" i="55"/>
  <c r="AS38" i="55"/>
  <c r="AR38" i="55"/>
  <c r="AQ38" i="55"/>
  <c r="AP38" i="55"/>
  <c r="AO38" i="55"/>
  <c r="AN38" i="55"/>
  <c r="AM38" i="55"/>
  <c r="AL38" i="55"/>
  <c r="AK38" i="55"/>
  <c r="AJ38" i="55"/>
  <c r="AI38" i="55"/>
  <c r="AH38" i="55"/>
  <c r="AG38" i="55"/>
  <c r="AF38" i="55"/>
  <c r="AE38" i="55"/>
  <c r="AD38" i="55"/>
  <c r="AC38" i="55"/>
  <c r="AB38" i="55"/>
  <c r="AA38" i="55"/>
  <c r="Z38" i="55"/>
  <c r="Y38" i="55"/>
  <c r="X38" i="55"/>
  <c r="W38" i="55"/>
  <c r="V38" i="55"/>
  <c r="U38" i="55"/>
  <c r="T38" i="55"/>
  <c r="S38" i="55"/>
  <c r="R38" i="55"/>
  <c r="Q38" i="55"/>
  <c r="P38" i="55"/>
  <c r="O38" i="55"/>
  <c r="N38" i="55"/>
  <c r="M38" i="55"/>
  <c r="L38" i="55"/>
  <c r="K38" i="55"/>
  <c r="J38" i="55"/>
  <c r="I38" i="55"/>
  <c r="H38" i="55"/>
  <c r="G38" i="55"/>
  <c r="F38" i="55"/>
  <c r="E38" i="55"/>
  <c r="D38" i="55"/>
  <c r="BC37" i="55"/>
  <c r="BB37" i="55"/>
  <c r="BA37" i="55"/>
  <c r="V37" i="55"/>
  <c r="S37" i="55"/>
  <c r="R37" i="55"/>
  <c r="Q37" i="55"/>
  <c r="P37" i="55"/>
  <c r="O37" i="55"/>
  <c r="BC36" i="55"/>
  <c r="BB36" i="55"/>
  <c r="BA36" i="55"/>
  <c r="AZ36" i="55"/>
  <c r="AY36" i="55"/>
  <c r="AX36" i="55"/>
  <c r="AW36" i="55"/>
  <c r="AV36" i="55"/>
  <c r="AU36" i="55"/>
  <c r="AT36" i="55"/>
  <c r="AS36" i="55"/>
  <c r="AR36" i="55"/>
  <c r="AQ36" i="55"/>
  <c r="AP36" i="55"/>
  <c r="AO36" i="55"/>
  <c r="AN36" i="55"/>
  <c r="AM36" i="55"/>
  <c r="AL36" i="55"/>
  <c r="AK36" i="55"/>
  <c r="AJ36" i="55"/>
  <c r="AI36" i="55"/>
  <c r="AH36" i="55"/>
  <c r="AG36" i="55"/>
  <c r="AF36" i="55"/>
  <c r="AE36" i="55"/>
  <c r="AD36" i="55"/>
  <c r="AC36" i="55"/>
  <c r="AB36" i="55"/>
  <c r="AA36" i="55"/>
  <c r="Z36" i="55"/>
  <c r="Y36" i="55"/>
  <c r="X36" i="55"/>
  <c r="W36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G36" i="55"/>
  <c r="F36" i="55"/>
  <c r="E36" i="55"/>
  <c r="D36" i="55"/>
  <c r="BC35" i="55"/>
  <c r="BB35" i="55"/>
  <c r="BA35" i="55"/>
  <c r="AZ35" i="55"/>
  <c r="AY35" i="55"/>
  <c r="AX35" i="55"/>
  <c r="AW35" i="55"/>
  <c r="AV35" i="55"/>
  <c r="AU35" i="55"/>
  <c r="AT35" i="55"/>
  <c r="AS35" i="55"/>
  <c r="AR35" i="55"/>
  <c r="AQ35" i="55"/>
  <c r="AP35" i="55"/>
  <c r="AO35" i="55"/>
  <c r="AN35" i="55"/>
  <c r="AM35" i="55"/>
  <c r="AM37" i="55" s="1"/>
  <c r="AL35" i="55"/>
  <c r="AK35" i="55"/>
  <c r="AJ35" i="55"/>
  <c r="AI35" i="55"/>
  <c r="AH35" i="55"/>
  <c r="AG35" i="55"/>
  <c r="AF35" i="55"/>
  <c r="AE35" i="55"/>
  <c r="AD35" i="55"/>
  <c r="AC35" i="55"/>
  <c r="AB35" i="55"/>
  <c r="AA35" i="55"/>
  <c r="Z35" i="55"/>
  <c r="Y35" i="55"/>
  <c r="X35" i="55"/>
  <c r="W35" i="55"/>
  <c r="V35" i="55"/>
  <c r="U35" i="55"/>
  <c r="U37" i="55" s="1"/>
  <c r="U47" i="55" s="1"/>
  <c r="U57" i="55" s="1"/>
  <c r="T35" i="55"/>
  <c r="T37" i="55" s="1"/>
  <c r="S35" i="55"/>
  <c r="R35" i="55"/>
  <c r="Q35" i="55"/>
  <c r="P35" i="55"/>
  <c r="O35" i="55"/>
  <c r="N35" i="55"/>
  <c r="M35" i="55"/>
  <c r="L35" i="55"/>
  <c r="K35" i="55"/>
  <c r="J35" i="55"/>
  <c r="I35" i="55"/>
  <c r="H35" i="55"/>
  <c r="G35" i="55"/>
  <c r="F35" i="55"/>
  <c r="E35" i="55"/>
  <c r="D35" i="55"/>
  <c r="BC34" i="55"/>
  <c r="BB34" i="55"/>
  <c r="BA34" i="55"/>
  <c r="AZ34" i="55"/>
  <c r="AY34" i="55"/>
  <c r="AX34" i="55"/>
  <c r="AW34" i="55"/>
  <c r="AV34" i="55"/>
  <c r="AU34" i="55"/>
  <c r="AT34" i="55"/>
  <c r="AS34" i="55"/>
  <c r="AR34" i="55"/>
  <c r="AQ34" i="55"/>
  <c r="AP34" i="55"/>
  <c r="AO34" i="55"/>
  <c r="AN34" i="55"/>
  <c r="AM34" i="55"/>
  <c r="AL34" i="55"/>
  <c r="AK34" i="55"/>
  <c r="AJ34" i="55"/>
  <c r="AI34" i="55"/>
  <c r="AH34" i="55"/>
  <c r="AG34" i="55"/>
  <c r="AF34" i="55"/>
  <c r="AE34" i="55"/>
  <c r="AD34" i="55"/>
  <c r="AC34" i="55"/>
  <c r="AB34" i="55"/>
  <c r="AA34" i="55"/>
  <c r="Z34" i="55"/>
  <c r="Y34" i="55"/>
  <c r="X34" i="55"/>
  <c r="W34" i="55"/>
  <c r="V34" i="55"/>
  <c r="U34" i="55"/>
  <c r="T34" i="55"/>
  <c r="S34" i="55"/>
  <c r="R34" i="55"/>
  <c r="Q34" i="55"/>
  <c r="P34" i="55"/>
  <c r="O34" i="55"/>
  <c r="N34" i="55"/>
  <c r="N37" i="55" s="1"/>
  <c r="N47" i="55" s="1"/>
  <c r="N57" i="55" s="1"/>
  <c r="M34" i="55"/>
  <c r="M37" i="55" s="1"/>
  <c r="L34" i="55"/>
  <c r="K34" i="55"/>
  <c r="J34" i="55"/>
  <c r="I34" i="55"/>
  <c r="H34" i="55"/>
  <c r="G34" i="55"/>
  <c r="F34" i="55"/>
  <c r="E34" i="55"/>
  <c r="D34" i="55"/>
  <c r="BC33" i="55"/>
  <c r="BB33" i="55"/>
  <c r="BA33" i="55"/>
  <c r="AZ33" i="55"/>
  <c r="AY33" i="55"/>
  <c r="AX33" i="55"/>
  <c r="AW33" i="55"/>
  <c r="AV33" i="55"/>
  <c r="AU33" i="55"/>
  <c r="AT33" i="55"/>
  <c r="AS33" i="55"/>
  <c r="AR33" i="55"/>
  <c r="AQ33" i="55"/>
  <c r="AP33" i="55"/>
  <c r="AO33" i="55"/>
  <c r="AN33" i="55"/>
  <c r="AM33" i="55"/>
  <c r="AL33" i="55"/>
  <c r="AK33" i="55"/>
  <c r="AJ33" i="55"/>
  <c r="AI33" i="55"/>
  <c r="AI37" i="55" s="1"/>
  <c r="AH33" i="55"/>
  <c r="AH37" i="55" s="1"/>
  <c r="AG33" i="55"/>
  <c r="AF33" i="55"/>
  <c r="AE33" i="55"/>
  <c r="AD33" i="55"/>
  <c r="AC33" i="55"/>
  <c r="AB33" i="55"/>
  <c r="AA33" i="55"/>
  <c r="Z33" i="55"/>
  <c r="Y33" i="55"/>
  <c r="X33" i="55"/>
  <c r="X37" i="55" s="1"/>
  <c r="W33" i="55"/>
  <c r="W37" i="55" s="1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H33" i="55"/>
  <c r="H37" i="55" s="1"/>
  <c r="G33" i="55"/>
  <c r="F33" i="55"/>
  <c r="E33" i="55"/>
  <c r="E37" i="55" s="1"/>
  <c r="D33" i="55"/>
  <c r="D37" i="55" s="1"/>
  <c r="E1" i="55"/>
  <c r="F1" i="55" s="1"/>
  <c r="G1" i="55" s="1"/>
  <c r="H1" i="55" s="1"/>
  <c r="H2" i="42"/>
  <c r="D37" i="42"/>
  <c r="E41" i="42"/>
  <c r="B5" i="65" s="1"/>
  <c r="F41" i="42"/>
  <c r="B6" i="65" s="1"/>
  <c r="G37" i="42"/>
  <c r="D36" i="42"/>
  <c r="B4" i="60" s="1"/>
  <c r="E36" i="42"/>
  <c r="F36" i="42"/>
  <c r="G36" i="42"/>
  <c r="D35" i="42"/>
  <c r="E35" i="42"/>
  <c r="F35" i="42"/>
  <c r="G35" i="42"/>
  <c r="D34" i="42"/>
  <c r="E34" i="42"/>
  <c r="F34" i="42"/>
  <c r="G34" i="42"/>
  <c r="C36" i="42"/>
  <c r="C35" i="42"/>
  <c r="C34" i="42"/>
  <c r="H31" i="42"/>
  <c r="H30" i="42"/>
  <c r="H29" i="42"/>
  <c r="H28" i="42"/>
  <c r="H27" i="42"/>
  <c r="H26" i="42"/>
  <c r="H25" i="42"/>
  <c r="H24" i="42"/>
  <c r="H23" i="42"/>
  <c r="H22" i="42"/>
  <c r="H21" i="42"/>
  <c r="H20" i="42"/>
  <c r="H19" i="42"/>
  <c r="H18" i="42"/>
  <c r="H17" i="42"/>
  <c r="H16" i="42"/>
  <c r="H15" i="42"/>
  <c r="H14" i="42"/>
  <c r="H13" i="42"/>
  <c r="H12" i="42"/>
  <c r="H11" i="42"/>
  <c r="H10" i="42"/>
  <c r="H9" i="42"/>
  <c r="H8" i="42"/>
  <c r="H7" i="42"/>
  <c r="H6" i="42"/>
  <c r="H5" i="42"/>
  <c r="H4" i="42"/>
  <c r="H3" i="42"/>
  <c r="AV37" i="55" l="1"/>
  <c r="AV51" i="55"/>
  <c r="AV102" i="55"/>
  <c r="AQ110" i="55"/>
  <c r="AQ37" i="55"/>
  <c r="AT54" i="55"/>
  <c r="AR110" i="55"/>
  <c r="AQ113" i="55"/>
  <c r="AS37" i="55"/>
  <c r="AU96" i="55"/>
  <c r="AU106" i="55" s="1"/>
  <c r="AU116" i="55" s="1"/>
  <c r="AS105" i="55"/>
  <c r="AT105" i="55"/>
  <c r="AU105" i="55"/>
  <c r="AR37" i="55"/>
  <c r="AR47" i="55" s="1"/>
  <c r="AR57" i="55" s="1"/>
  <c r="AS46" i="55"/>
  <c r="AS47" i="55" s="1"/>
  <c r="AS57" i="55" s="1"/>
  <c r="AS110" i="55"/>
  <c r="AR113" i="55"/>
  <c r="AQ51" i="55"/>
  <c r="AT43" i="55"/>
  <c r="AU43" i="55"/>
  <c r="AU54" i="55"/>
  <c r="AQ46" i="55"/>
  <c r="AQ47" i="55" s="1"/>
  <c r="AQ57" i="55" s="1"/>
  <c r="AR51" i="55"/>
  <c r="AP37" i="55"/>
  <c r="AP51" i="55"/>
  <c r="AO51" i="55"/>
  <c r="AO46" i="55"/>
  <c r="AO43" i="55"/>
  <c r="AN37" i="55"/>
  <c r="AN51" i="55"/>
  <c r="AN132" i="55"/>
  <c r="AB132" i="55"/>
  <c r="AB133" i="55"/>
  <c r="AC132" i="55"/>
  <c r="AC133" i="55"/>
  <c r="AD132" i="55"/>
  <c r="AD133" i="55"/>
  <c r="AF132" i="55"/>
  <c r="AF133" i="55"/>
  <c r="AL37" i="55"/>
  <c r="AJ43" i="55"/>
  <c r="AJ37" i="55"/>
  <c r="AK37" i="55"/>
  <c r="AH51" i="55"/>
  <c r="AG37" i="55"/>
  <c r="AF46" i="55"/>
  <c r="AD51" i="55"/>
  <c r="AE51" i="55"/>
  <c r="AF51" i="55"/>
  <c r="AG51" i="55"/>
  <c r="AD54" i="55"/>
  <c r="AE54" i="55"/>
  <c r="AF54" i="55"/>
  <c r="AC54" i="55"/>
  <c r="O22" i="42"/>
  <c r="P22" i="42" s="1"/>
  <c r="G41" i="42"/>
  <c r="B7" i="65" s="1"/>
  <c r="D7" i="65" s="1"/>
  <c r="B7" i="64"/>
  <c r="D7" i="64" s="1"/>
  <c r="B7" i="59"/>
  <c r="B7" i="58"/>
  <c r="D41" i="42"/>
  <c r="B4" i="65" s="1"/>
  <c r="B4" i="64"/>
  <c r="B6" i="58"/>
  <c r="B5" i="58"/>
  <c r="B6" i="59"/>
  <c r="B5" i="59"/>
  <c r="B3" i="59"/>
  <c r="B4" i="59"/>
  <c r="G40" i="42"/>
  <c r="B7" i="60"/>
  <c r="D7" i="60" s="1"/>
  <c r="F40" i="42"/>
  <c r="B6" i="60"/>
  <c r="D38" i="42"/>
  <c r="B4" i="58"/>
  <c r="E40" i="42"/>
  <c r="B5" i="60"/>
  <c r="B3" i="58"/>
  <c r="B3" i="60"/>
  <c r="AA54" i="55"/>
  <c r="AB43" i="55"/>
  <c r="AB37" i="55"/>
  <c r="AB47" i="55" s="1"/>
  <c r="AB54" i="55"/>
  <c r="D132" i="55"/>
  <c r="H140" i="55" s="1"/>
  <c r="D40" i="42"/>
  <c r="Z132" i="55"/>
  <c r="AC140" i="55" s="1"/>
  <c r="AC141" i="55" s="1"/>
  <c r="Y135" i="55"/>
  <c r="BD131" i="55"/>
  <c r="Y140" i="55"/>
  <c r="C40" i="42"/>
  <c r="C38" i="42"/>
  <c r="Z54" i="55"/>
  <c r="Z51" i="55"/>
  <c r="AB57" i="55"/>
  <c r="Y37" i="55"/>
  <c r="Y54" i="55"/>
  <c r="G38" i="42"/>
  <c r="AV47" i="55"/>
  <c r="AV57" i="55" s="1"/>
  <c r="H47" i="55"/>
  <c r="H57" i="55" s="1"/>
  <c r="O47" i="55"/>
  <c r="O57" i="55" s="1"/>
  <c r="I1" i="55"/>
  <c r="H60" i="55"/>
  <c r="H91" i="55" s="1"/>
  <c r="H117" i="55" s="1"/>
  <c r="P47" i="55"/>
  <c r="D47" i="55"/>
  <c r="D57" i="55" s="1"/>
  <c r="X47" i="55"/>
  <c r="X57" i="55" s="1"/>
  <c r="S51" i="55"/>
  <c r="AM51" i="55"/>
  <c r="R106" i="55"/>
  <c r="AL106" i="55"/>
  <c r="AG133" i="55"/>
  <c r="E47" i="55"/>
  <c r="E57" i="55" s="1"/>
  <c r="Y47" i="55"/>
  <c r="Y57" i="55" s="1"/>
  <c r="AI106" i="55"/>
  <c r="AI116" i="55" s="1"/>
  <c r="F60" i="55"/>
  <c r="F91" i="55" s="1"/>
  <c r="F117" i="55" s="1"/>
  <c r="O133" i="55"/>
  <c r="O132" i="55"/>
  <c r="AL135" i="55"/>
  <c r="AL136" i="55" s="1"/>
  <c r="AI133" i="55"/>
  <c r="M43" i="55"/>
  <c r="M47" i="55" s="1"/>
  <c r="M57" i="55" s="1"/>
  <c r="AG43" i="55"/>
  <c r="AG47" i="55" s="1"/>
  <c r="AG57" i="55" s="1"/>
  <c r="BA43" i="55"/>
  <c r="BA47" i="55" s="1"/>
  <c r="BA57" i="55" s="1"/>
  <c r="AZ116" i="55"/>
  <c r="P133" i="55"/>
  <c r="P132" i="55"/>
  <c r="AJ133" i="55"/>
  <c r="Q133" i="55"/>
  <c r="Q132" i="55"/>
  <c r="M132" i="55"/>
  <c r="P135" i="55"/>
  <c r="P136" i="55" s="1"/>
  <c r="M133" i="55"/>
  <c r="G60" i="55"/>
  <c r="G91" i="55" s="1"/>
  <c r="G117" i="55" s="1"/>
  <c r="AM133" i="55"/>
  <c r="AP135" i="55"/>
  <c r="AP136" i="55" s="1"/>
  <c r="AM132" i="55"/>
  <c r="AP140" i="55" s="1"/>
  <c r="I102" i="55"/>
  <c r="AC102" i="55"/>
  <c r="AC106" i="55" s="1"/>
  <c r="AC116" i="55" s="1"/>
  <c r="AW102" i="55"/>
  <c r="AW106" i="55" s="1"/>
  <c r="AW116" i="55" s="1"/>
  <c r="Y134" i="55"/>
  <c r="Y136" i="55" s="1"/>
  <c r="V124" i="55"/>
  <c r="V133" i="55"/>
  <c r="AP124" i="55"/>
  <c r="AP133" i="55"/>
  <c r="U133" i="55"/>
  <c r="AO133" i="55"/>
  <c r="R132" i="55"/>
  <c r="AK106" i="55"/>
  <c r="AK116" i="55" s="1"/>
  <c r="AL133" i="55"/>
  <c r="AO124" i="55"/>
  <c r="AP139" i="55" s="1"/>
  <c r="AP134" i="55"/>
  <c r="D124" i="55"/>
  <c r="BD123" i="55"/>
  <c r="H134" i="55"/>
  <c r="D133" i="55"/>
  <c r="X124" i="55"/>
  <c r="X133" i="55"/>
  <c r="AC51" i="55"/>
  <c r="U135" i="55"/>
  <c r="U136" i="55" s="1"/>
  <c r="AJ47" i="55"/>
  <c r="I106" i="55"/>
  <c r="I116" i="55" s="1"/>
  <c r="V47" i="55"/>
  <c r="V57" i="55" s="1"/>
  <c r="Y124" i="55"/>
  <c r="Y133" i="55"/>
  <c r="BC43" i="55"/>
  <c r="BC47" i="55" s="1"/>
  <c r="BC57" i="55" s="1"/>
  <c r="U134" i="55"/>
  <c r="U124" i="55"/>
  <c r="U139" i="55" s="1"/>
  <c r="W124" i="55"/>
  <c r="W133" i="55"/>
  <c r="Z124" i="55"/>
  <c r="AC139" i="55" s="1"/>
  <c r="AC134" i="55"/>
  <c r="AC136" i="55" s="1"/>
  <c r="Z133" i="55"/>
  <c r="AK133" i="55"/>
  <c r="AI43" i="55"/>
  <c r="S132" i="55"/>
  <c r="AO37" i="55"/>
  <c r="AO47" i="55" s="1"/>
  <c r="AO57" i="55" s="1"/>
  <c r="AP47" i="55"/>
  <c r="AP57" i="55" s="1"/>
  <c r="AH47" i="55"/>
  <c r="AH57" i="55" s="1"/>
  <c r="G124" i="55"/>
  <c r="G133" i="55"/>
  <c r="AA124" i="55"/>
  <c r="AA133" i="55"/>
  <c r="O43" i="55"/>
  <c r="W47" i="55"/>
  <c r="W57" i="55" s="1"/>
  <c r="AI47" i="55"/>
  <c r="R51" i="55"/>
  <c r="AL51" i="55"/>
  <c r="N132" i="55"/>
  <c r="N133" i="55"/>
  <c r="AH133" i="55"/>
  <c r="Z37" i="55"/>
  <c r="Z47" i="55" s="1"/>
  <c r="G106" i="55"/>
  <c r="G116" i="55" s="1"/>
  <c r="AD102" i="55"/>
  <c r="AD106" i="55" s="1"/>
  <c r="AD116" i="55" s="1"/>
  <c r="M110" i="55"/>
  <c r="G37" i="55"/>
  <c r="G47" i="55" s="1"/>
  <c r="G57" i="55" s="1"/>
  <c r="H106" i="55"/>
  <c r="H116" i="55" s="1"/>
  <c r="AE102" i="55"/>
  <c r="AE106" i="55" s="1"/>
  <c r="AE116" i="55" s="1"/>
  <c r="R43" i="55"/>
  <c r="R47" i="55" s="1"/>
  <c r="R57" i="55" s="1"/>
  <c r="AW37" i="55"/>
  <c r="AW47" i="55" s="1"/>
  <c r="AW57" i="55" s="1"/>
  <c r="AP96" i="55"/>
  <c r="AP106" i="55" s="1"/>
  <c r="AP116" i="55" s="1"/>
  <c r="AX37" i="55"/>
  <c r="AX47" i="55" s="1"/>
  <c r="AX57" i="55" s="1"/>
  <c r="AN43" i="55"/>
  <c r="AN47" i="55" s="1"/>
  <c r="W96" i="55"/>
  <c r="W106" i="55" s="1"/>
  <c r="W116" i="55" s="1"/>
  <c r="AQ96" i="55"/>
  <c r="AQ106" i="55" s="1"/>
  <c r="AQ116" i="55" s="1"/>
  <c r="Q110" i="55"/>
  <c r="Q116" i="55" s="1"/>
  <c r="AK110" i="55"/>
  <c r="AL139" i="55"/>
  <c r="M102" i="55"/>
  <c r="M106" i="55" s="1"/>
  <c r="M116" i="55" s="1"/>
  <c r="J37" i="55"/>
  <c r="J47" i="55" s="1"/>
  <c r="J57" i="55" s="1"/>
  <c r="AD37" i="55"/>
  <c r="AD47" i="55" s="1"/>
  <c r="AD57" i="55" s="1"/>
  <c r="T43" i="55"/>
  <c r="T47" i="55" s="1"/>
  <c r="T57" i="55" s="1"/>
  <c r="K37" i="55"/>
  <c r="K47" i="55" s="1"/>
  <c r="K57" i="55" s="1"/>
  <c r="AE37" i="55"/>
  <c r="AE47" i="55" s="1"/>
  <c r="AE57" i="55" s="1"/>
  <c r="AY37" i="55"/>
  <c r="AY47" i="55" s="1"/>
  <c r="AY57" i="55" s="1"/>
  <c r="D96" i="55"/>
  <c r="D106" i="55" s="1"/>
  <c r="D116" i="55" s="1"/>
  <c r="X96" i="55"/>
  <c r="X106" i="55" s="1"/>
  <c r="X116" i="55" s="1"/>
  <c r="AR96" i="55"/>
  <c r="AR106" i="55" s="1"/>
  <c r="R110" i="55"/>
  <c r="AL110" i="55"/>
  <c r="P149" i="55"/>
  <c r="AM106" i="55"/>
  <c r="AX102" i="55"/>
  <c r="AX106" i="55" s="1"/>
  <c r="AX116" i="55" s="1"/>
  <c r="BA110" i="55"/>
  <c r="H133" i="55"/>
  <c r="AN106" i="55"/>
  <c r="AN116" i="55" s="1"/>
  <c r="AY102" i="55"/>
  <c r="AY106" i="55" s="1"/>
  <c r="AY116" i="55" s="1"/>
  <c r="I133" i="55"/>
  <c r="AL43" i="55"/>
  <c r="AL47" i="55" s="1"/>
  <c r="AL57" i="55" s="1"/>
  <c r="Y96" i="55"/>
  <c r="Y106" i="55" s="1"/>
  <c r="Y116" i="55" s="1"/>
  <c r="F37" i="55"/>
  <c r="F47" i="55" s="1"/>
  <c r="F57" i="55" s="1"/>
  <c r="AA106" i="55"/>
  <c r="AA116" i="55" s="1"/>
  <c r="AA37" i="55"/>
  <c r="AA47" i="55" s="1"/>
  <c r="AA57" i="55" s="1"/>
  <c r="AK43" i="55"/>
  <c r="AK47" i="55" s="1"/>
  <c r="AK57" i="55" s="1"/>
  <c r="AB106" i="55"/>
  <c r="AB116" i="55" s="1"/>
  <c r="K102" i="55"/>
  <c r="K106" i="55" s="1"/>
  <c r="K116" i="55" s="1"/>
  <c r="AO96" i="55"/>
  <c r="AO106" i="55" s="1"/>
  <c r="AO116" i="55" s="1"/>
  <c r="I37" i="55"/>
  <c r="I47" i="55" s="1"/>
  <c r="I57" i="55" s="1"/>
  <c r="S43" i="55"/>
  <c r="S47" i="55" s="1"/>
  <c r="S57" i="55" s="1"/>
  <c r="V96" i="55"/>
  <c r="V106" i="55" s="1"/>
  <c r="V116" i="55" s="1"/>
  <c r="BA102" i="55"/>
  <c r="O51" i="55"/>
  <c r="AI51" i="55"/>
  <c r="BC51" i="55"/>
  <c r="E96" i="55"/>
  <c r="E106" i="55" s="1"/>
  <c r="E116" i="55" s="1"/>
  <c r="AS96" i="55"/>
  <c r="AS106" i="55" s="1"/>
  <c r="AS116" i="55" s="1"/>
  <c r="P102" i="55"/>
  <c r="P106" i="55" s="1"/>
  <c r="P116" i="55" s="1"/>
  <c r="AJ102" i="55"/>
  <c r="AJ106" i="55" s="1"/>
  <c r="AJ116" i="55" s="1"/>
  <c r="S110" i="55"/>
  <c r="AM110" i="55"/>
  <c r="P51" i="55"/>
  <c r="AJ51" i="55"/>
  <c r="S54" i="55"/>
  <c r="AM54" i="55"/>
  <c r="F96" i="55"/>
  <c r="F106" i="55" s="1"/>
  <c r="F116" i="55" s="1"/>
  <c r="Z96" i="55"/>
  <c r="Z106" i="55" s="1"/>
  <c r="Z116" i="55" s="1"/>
  <c r="AT96" i="55"/>
  <c r="M105" i="55"/>
  <c r="AG105" i="55"/>
  <c r="AG106" i="55" s="1"/>
  <c r="AG116" i="55" s="1"/>
  <c r="BA105" i="55"/>
  <c r="BA106" i="55" s="1"/>
  <c r="BA116" i="55" s="1"/>
  <c r="T110" i="55"/>
  <c r="AN110" i="55"/>
  <c r="K132" i="55"/>
  <c r="L140" i="55" s="1"/>
  <c r="K133" i="55"/>
  <c r="AE132" i="55"/>
  <c r="AH140" i="55" s="1"/>
  <c r="AH141" i="55" s="1"/>
  <c r="AH135" i="55"/>
  <c r="AH136" i="55" s="1"/>
  <c r="AE133" i="55"/>
  <c r="H136" i="55"/>
  <c r="AT37" i="55"/>
  <c r="S106" i="55"/>
  <c r="S116" i="55" s="1"/>
  <c r="J102" i="55"/>
  <c r="J106" i="55" s="1"/>
  <c r="J116" i="55" s="1"/>
  <c r="AG110" i="55"/>
  <c r="AU37" i="55"/>
  <c r="Q43" i="55"/>
  <c r="Q47" i="55" s="1"/>
  <c r="Q57" i="55" s="1"/>
  <c r="T106" i="55"/>
  <c r="T116" i="55" s="1"/>
  <c r="AV106" i="55"/>
  <c r="AV116" i="55" s="1"/>
  <c r="L150" i="55"/>
  <c r="U96" i="55"/>
  <c r="U106" i="55" s="1"/>
  <c r="U116" i="55" s="1"/>
  <c r="AC37" i="55"/>
  <c r="AC47" i="55" s="1"/>
  <c r="AM43" i="55"/>
  <c r="AM47" i="55" s="1"/>
  <c r="AM57" i="55" s="1"/>
  <c r="AG102" i="55"/>
  <c r="L37" i="55"/>
  <c r="L47" i="55" s="1"/>
  <c r="L57" i="55" s="1"/>
  <c r="AF37" i="55"/>
  <c r="AF47" i="55" s="1"/>
  <c r="AF57" i="55" s="1"/>
  <c r="AZ37" i="55"/>
  <c r="AZ47" i="55" s="1"/>
  <c r="AZ57" i="55" s="1"/>
  <c r="Q51" i="55"/>
  <c r="AK51" i="55"/>
  <c r="T54" i="55"/>
  <c r="AN54" i="55"/>
  <c r="N105" i="55"/>
  <c r="N106" i="55" s="1"/>
  <c r="N116" i="55" s="1"/>
  <c r="AH105" i="55"/>
  <c r="AH106" i="55" s="1"/>
  <c r="AH116" i="55" s="1"/>
  <c r="BB105" i="55"/>
  <c r="BB106" i="55" s="1"/>
  <c r="BB116" i="55" s="1"/>
  <c r="I124" i="55"/>
  <c r="L139" i="55" s="1"/>
  <c r="L135" i="55"/>
  <c r="L136" i="55" s="1"/>
  <c r="E38" i="42"/>
  <c r="H34" i="42"/>
  <c r="H35" i="42"/>
  <c r="H36" i="42"/>
  <c r="F38" i="42"/>
  <c r="H37" i="42"/>
  <c r="C41" i="42"/>
  <c r="AT106" i="55" l="1"/>
  <c r="AT116" i="55" s="1"/>
  <c r="AR116" i="55"/>
  <c r="AU47" i="55"/>
  <c r="AU57" i="55" s="1"/>
  <c r="AT47" i="55"/>
  <c r="AT57" i="55" s="1"/>
  <c r="AN57" i="55"/>
  <c r="AJ57" i="55"/>
  <c r="AI57" i="55"/>
  <c r="H41" i="42"/>
  <c r="B3" i="65"/>
  <c r="B8" i="64"/>
  <c r="H40" i="42"/>
  <c r="B8" i="58"/>
  <c r="B25" i="58" s="1"/>
  <c r="B30" i="58" s="1"/>
  <c r="B8" i="59"/>
  <c r="B8" i="60"/>
  <c r="Y139" i="55"/>
  <c r="Y141" i="55" s="1"/>
  <c r="Z57" i="55"/>
  <c r="O27" i="42"/>
  <c r="P27" i="42" s="1"/>
  <c r="J1" i="55"/>
  <c r="I60" i="55"/>
  <c r="I91" i="55" s="1"/>
  <c r="I117" i="55" s="1"/>
  <c r="AP141" i="55"/>
  <c r="P150" i="55"/>
  <c r="AL116" i="55"/>
  <c r="BD133" i="55"/>
  <c r="R116" i="55"/>
  <c r="L141" i="55"/>
  <c r="P140" i="55"/>
  <c r="P141" i="55" s="1"/>
  <c r="AL140" i="55"/>
  <c r="AL141" i="55" s="1"/>
  <c r="H139" i="55"/>
  <c r="H141" i="55" s="1"/>
  <c r="BD124" i="55"/>
  <c r="AC57" i="55"/>
  <c r="AM116" i="55"/>
  <c r="BD132" i="55"/>
  <c r="U140" i="55"/>
  <c r="U141" i="55" s="1"/>
  <c r="P57" i="55"/>
  <c r="H38" i="42"/>
  <c r="B8" i="65" l="1"/>
  <c r="G5" i="65" s="1"/>
  <c r="G6" i="65" s="1"/>
  <c r="N5" i="64"/>
  <c r="B25" i="64"/>
  <c r="B25" i="60"/>
  <c r="B25" i="59"/>
  <c r="H142" i="55"/>
  <c r="H151" i="55" s="1"/>
  <c r="L142" i="55"/>
  <c r="J60" i="55"/>
  <c r="J91" i="55" s="1"/>
  <c r="J117" i="55" s="1"/>
  <c r="K1" i="55"/>
  <c r="B25" i="65" l="1"/>
  <c r="N6" i="64"/>
  <c r="K60" i="55"/>
  <c r="K91" i="55" s="1"/>
  <c r="K117" i="55" s="1"/>
  <c r="L1" i="55"/>
  <c r="L151" i="55"/>
  <c r="P142" i="55"/>
  <c r="B24" i="65" l="1"/>
  <c r="N26" i="64"/>
  <c r="G26" i="65" s="1"/>
  <c r="G25" i="65" s="1"/>
  <c r="P151" i="55"/>
  <c r="U142" i="55"/>
  <c r="Y142" i="55" s="1"/>
  <c r="AC142" i="55" s="1"/>
  <c r="AH142" i="55" s="1"/>
  <c r="AL142" i="55" s="1"/>
  <c r="AP142" i="55" s="1"/>
  <c r="AU142" i="55" s="1"/>
  <c r="AY142" i="55" s="1"/>
  <c r="BC142" i="55" s="1"/>
  <c r="L60" i="55"/>
  <c r="L91" i="55" s="1"/>
  <c r="L117" i="55" s="1"/>
  <c r="M1" i="55"/>
  <c r="M60" i="55" l="1"/>
  <c r="M91" i="55" s="1"/>
  <c r="M117" i="55" s="1"/>
  <c r="N1" i="55"/>
  <c r="N60" i="55" l="1"/>
  <c r="N91" i="55" s="1"/>
  <c r="N117" i="55" s="1"/>
  <c r="O1" i="55"/>
  <c r="C6" i="37"/>
  <c r="C7" i="37"/>
  <c r="C8" i="37"/>
  <c r="C9" i="37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6" i="35"/>
  <c r="C7" i="35"/>
  <c r="C8" i="35"/>
  <c r="C9" i="35"/>
  <c r="C10" i="35"/>
  <c r="C11" i="35"/>
  <c r="C12" i="35"/>
  <c r="C13" i="35"/>
  <c r="C14" i="35"/>
  <c r="C15" i="35"/>
  <c r="C16" i="35"/>
  <c r="C17" i="35"/>
  <c r="C45" i="34"/>
  <c r="C46" i="34"/>
  <c r="C47" i="34"/>
  <c r="C48" i="34"/>
  <c r="C49" i="34"/>
  <c r="C110" i="27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O60" i="55" l="1"/>
  <c r="O91" i="55" s="1"/>
  <c r="O117" i="55" s="1"/>
  <c r="P1" i="55"/>
  <c r="C46" i="20"/>
  <c r="C47" i="20"/>
  <c r="C48" i="20"/>
  <c r="C49" i="20"/>
  <c r="C50" i="20"/>
  <c r="C51" i="20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11" i="21"/>
  <c r="C12" i="21"/>
  <c r="C13" i="21"/>
  <c r="C14" i="21"/>
  <c r="C45" i="1"/>
  <c r="C46" i="1"/>
  <c r="C47" i="1"/>
  <c r="C48" i="1"/>
  <c r="C49" i="1"/>
  <c r="C50" i="1"/>
  <c r="C51" i="1"/>
  <c r="C52" i="1"/>
  <c r="C53" i="1"/>
  <c r="C54" i="1"/>
  <c r="P60" i="55" l="1"/>
  <c r="P91" i="55" s="1"/>
  <c r="P117" i="55" s="1"/>
  <c r="Q1" i="55"/>
  <c r="Q60" i="55" l="1"/>
  <c r="Q91" i="55" s="1"/>
  <c r="Q117" i="55" s="1"/>
  <c r="R1" i="55"/>
  <c r="R60" i="55" l="1"/>
  <c r="R91" i="55" s="1"/>
  <c r="R117" i="55" s="1"/>
  <c r="S1" i="55"/>
  <c r="A60" i="54"/>
  <c r="B60" i="54"/>
  <c r="A61" i="54"/>
  <c r="B61" i="54"/>
  <c r="A62" i="54"/>
  <c r="B62" i="54"/>
  <c r="A63" i="54"/>
  <c r="B63" i="54"/>
  <c r="A64" i="54"/>
  <c r="B64" i="54"/>
  <c r="A65" i="54"/>
  <c r="B65" i="54"/>
  <c r="A66" i="54"/>
  <c r="B66" i="54"/>
  <c r="A67" i="54"/>
  <c r="B67" i="54"/>
  <c r="A68" i="54"/>
  <c r="B68" i="54"/>
  <c r="A69" i="54"/>
  <c r="B69" i="54"/>
  <c r="A70" i="54"/>
  <c r="B70" i="54"/>
  <c r="S60" i="55" l="1"/>
  <c r="S91" i="55" s="1"/>
  <c r="S117" i="55" s="1"/>
  <c r="T1" i="55"/>
  <c r="C55" i="25"/>
  <c r="C55" i="22"/>
  <c r="C15" i="21"/>
  <c r="C52" i="20"/>
  <c r="C53" i="20"/>
  <c r="C54" i="20"/>
  <c r="C52" i="18"/>
  <c r="C53" i="18"/>
  <c r="C54" i="15"/>
  <c r="C55" i="15"/>
  <c r="C11" i="14"/>
  <c r="C12" i="14"/>
  <c r="C55" i="13"/>
  <c r="C24" i="12"/>
  <c r="C25" i="12"/>
  <c r="C26" i="12"/>
  <c r="C27" i="12"/>
  <c r="C28" i="12"/>
  <c r="C29" i="12"/>
  <c r="C30" i="12"/>
  <c r="C31" i="12"/>
  <c r="C32" i="12"/>
  <c r="C33" i="12"/>
  <c r="C34" i="12"/>
  <c r="C35" i="12"/>
  <c r="C55" i="11"/>
  <c r="C15" i="9"/>
  <c r="C16" i="9"/>
  <c r="C55" i="7"/>
  <c r="C55" i="1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C27" i="37"/>
  <c r="C28" i="37"/>
  <c r="C29" i="37"/>
  <c r="C30" i="37"/>
  <c r="C31" i="37"/>
  <c r="C32" i="37"/>
  <c r="C33" i="37"/>
  <c r="C34" i="37"/>
  <c r="C35" i="37"/>
  <c r="C36" i="37"/>
  <c r="C37" i="37"/>
  <c r="C43" i="36"/>
  <c r="C44" i="36"/>
  <c r="C45" i="36"/>
  <c r="C46" i="36"/>
  <c r="C47" i="36"/>
  <c r="C48" i="36"/>
  <c r="C49" i="36"/>
  <c r="C50" i="36"/>
  <c r="C51" i="36"/>
  <c r="C52" i="36"/>
  <c r="C53" i="36"/>
  <c r="C54" i="36"/>
  <c r="C16" i="33"/>
  <c r="C51" i="32"/>
  <c r="C52" i="32"/>
  <c r="C53" i="32"/>
  <c r="C20" i="19"/>
  <c r="T60" i="55" l="1"/>
  <c r="T91" i="55" s="1"/>
  <c r="T117" i="55" s="1"/>
  <c r="U1" i="55"/>
  <c r="C54" i="18"/>
  <c r="C21" i="19"/>
  <c r="C22" i="19"/>
  <c r="C49" i="3"/>
  <c r="C50" i="3"/>
  <c r="C51" i="3"/>
  <c r="C52" i="3"/>
  <c r="C53" i="3"/>
  <c r="C54" i="3"/>
  <c r="U60" i="55" l="1"/>
  <c r="U91" i="55" s="1"/>
  <c r="U117" i="55" s="1"/>
  <c r="V1" i="55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8" i="17"/>
  <c r="C38" i="37"/>
  <c r="C17" i="33"/>
  <c r="C13" i="16"/>
  <c r="C14" i="16"/>
  <c r="C15" i="16"/>
  <c r="C16" i="16"/>
  <c r="C17" i="16"/>
  <c r="C18" i="16"/>
  <c r="C19" i="16"/>
  <c r="C20" i="16"/>
  <c r="C21" i="16"/>
  <c r="C26" i="2"/>
  <c r="C27" i="2"/>
  <c r="C28" i="2"/>
  <c r="K110" i="54"/>
  <c r="J110" i="54"/>
  <c r="I110" i="54"/>
  <c r="H110" i="54"/>
  <c r="G110" i="54"/>
  <c r="F110" i="54"/>
  <c r="E110" i="54"/>
  <c r="D110" i="54"/>
  <c r="C110" i="54"/>
  <c r="B109" i="54"/>
  <c r="A109" i="54"/>
  <c r="B108" i="54"/>
  <c r="A108" i="54"/>
  <c r="B107" i="54"/>
  <c r="A107" i="54"/>
  <c r="B106" i="54"/>
  <c r="A106" i="54"/>
  <c r="B105" i="54"/>
  <c r="A105" i="54"/>
  <c r="B104" i="54"/>
  <c r="A104" i="54"/>
  <c r="B103" i="54"/>
  <c r="A103" i="54"/>
  <c r="B102" i="54"/>
  <c r="A102" i="54"/>
  <c r="B101" i="54"/>
  <c r="A101" i="54"/>
  <c r="B100" i="54"/>
  <c r="A100" i="54"/>
  <c r="B99" i="54"/>
  <c r="A99" i="54"/>
  <c r="B98" i="54"/>
  <c r="A98" i="54"/>
  <c r="B97" i="54"/>
  <c r="A97" i="54"/>
  <c r="B96" i="54"/>
  <c r="A96" i="54"/>
  <c r="B95" i="54"/>
  <c r="A95" i="54"/>
  <c r="B94" i="54"/>
  <c r="A94" i="54"/>
  <c r="B93" i="54"/>
  <c r="A93" i="54"/>
  <c r="B92" i="54"/>
  <c r="A92" i="54"/>
  <c r="B91" i="54"/>
  <c r="A91" i="54"/>
  <c r="B90" i="54"/>
  <c r="A90" i="54"/>
  <c r="B89" i="54"/>
  <c r="A89" i="54"/>
  <c r="B88" i="54"/>
  <c r="A88" i="54"/>
  <c r="B87" i="54"/>
  <c r="A87" i="54"/>
  <c r="B86" i="54"/>
  <c r="A86" i="54"/>
  <c r="B85" i="54"/>
  <c r="A85" i="54"/>
  <c r="B84" i="54"/>
  <c r="A84" i="54"/>
  <c r="B83" i="54"/>
  <c r="A83" i="54"/>
  <c r="B82" i="54"/>
  <c r="A82" i="54"/>
  <c r="B81" i="54"/>
  <c r="A81" i="54"/>
  <c r="B80" i="54"/>
  <c r="A80" i="54"/>
  <c r="B79" i="54"/>
  <c r="A79" i="54"/>
  <c r="B78" i="54"/>
  <c r="A78" i="54"/>
  <c r="B77" i="54"/>
  <c r="A77" i="54"/>
  <c r="B76" i="54"/>
  <c r="A76" i="54"/>
  <c r="B75" i="54"/>
  <c r="A75" i="54"/>
  <c r="A74" i="54"/>
  <c r="A73" i="54"/>
  <c r="B72" i="54"/>
  <c r="A72" i="54"/>
  <c r="B71" i="54"/>
  <c r="A71" i="54"/>
  <c r="M57" i="54"/>
  <c r="D57" i="54"/>
  <c r="C37" i="5" s="1"/>
  <c r="C55" i="54"/>
  <c r="C54" i="54"/>
  <c r="C53" i="54"/>
  <c r="C52" i="54"/>
  <c r="C51" i="54"/>
  <c r="C50" i="54"/>
  <c r="C49" i="54"/>
  <c r="C48" i="54"/>
  <c r="C47" i="54"/>
  <c r="C46" i="54"/>
  <c r="C45" i="54"/>
  <c r="C44" i="54"/>
  <c r="C43" i="54"/>
  <c r="C42" i="54"/>
  <c r="C41" i="54"/>
  <c r="C40" i="54"/>
  <c r="C39" i="54"/>
  <c r="C38" i="54"/>
  <c r="C37" i="54"/>
  <c r="C36" i="54"/>
  <c r="C35" i="54"/>
  <c r="C34" i="54"/>
  <c r="C33" i="54"/>
  <c r="C32" i="54"/>
  <c r="L2" i="54"/>
  <c r="L3" i="54" s="1"/>
  <c r="L56" i="54" s="1"/>
  <c r="L57" i="54" s="1"/>
  <c r="K2" i="54"/>
  <c r="K3" i="54" s="1"/>
  <c r="K56" i="54" s="1"/>
  <c r="K57" i="54" s="1"/>
  <c r="J37" i="5" s="1"/>
  <c r="J2" i="54"/>
  <c r="J3" i="54" s="1"/>
  <c r="J56" i="54" s="1"/>
  <c r="J57" i="54" s="1"/>
  <c r="I37" i="5" s="1"/>
  <c r="I2" i="54"/>
  <c r="I3" i="54" s="1"/>
  <c r="I56" i="54" s="1"/>
  <c r="I57" i="54" s="1"/>
  <c r="H37" i="5" s="1"/>
  <c r="H2" i="54"/>
  <c r="H3" i="54" s="1"/>
  <c r="H56" i="54" s="1"/>
  <c r="H57" i="54" s="1"/>
  <c r="G37" i="5" s="1"/>
  <c r="G2" i="54"/>
  <c r="G3" i="54" s="1"/>
  <c r="G56" i="54" s="1"/>
  <c r="G57" i="54" s="1"/>
  <c r="F37" i="5" s="1"/>
  <c r="F2" i="54"/>
  <c r="F3" i="54" s="1"/>
  <c r="F56" i="54" s="1"/>
  <c r="F57" i="54" s="1"/>
  <c r="E37" i="5" s="1"/>
  <c r="E2" i="54"/>
  <c r="E3" i="54" s="1"/>
  <c r="E56" i="54" s="1"/>
  <c r="E57" i="54" s="1"/>
  <c r="D37" i="5" s="1"/>
  <c r="W1" i="55" l="1"/>
  <c r="V60" i="55"/>
  <c r="V91" i="55" s="1"/>
  <c r="V117" i="55" s="1"/>
  <c r="C9" i="17"/>
  <c r="C10" i="17"/>
  <c r="C13" i="14"/>
  <c r="C14" i="14"/>
  <c r="C15" i="14"/>
  <c r="C16" i="14"/>
  <c r="C17" i="9"/>
  <c r="C18" i="9"/>
  <c r="C19" i="9"/>
  <c r="C20" i="9"/>
  <c r="C21" i="9"/>
  <c r="X1" i="55" l="1"/>
  <c r="W60" i="55"/>
  <c r="W91" i="55" s="1"/>
  <c r="W117" i="55" s="1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22" i="9"/>
  <c r="C23" i="9"/>
  <c r="C24" i="9"/>
  <c r="C25" i="9"/>
  <c r="C26" i="9"/>
  <c r="C27" i="9"/>
  <c r="C28" i="9"/>
  <c r="C29" i="9"/>
  <c r="C30" i="9"/>
  <c r="C31" i="9"/>
  <c r="C32" i="9"/>
  <c r="Y1" i="55" l="1"/>
  <c r="X60" i="55"/>
  <c r="X91" i="55" s="1"/>
  <c r="X117" i="55" s="1"/>
  <c r="Z1" i="55" l="1"/>
  <c r="Y60" i="55"/>
  <c r="Y91" i="55" s="1"/>
  <c r="Y117" i="55" s="1"/>
  <c r="C6" i="38"/>
  <c r="C7" i="38"/>
  <c r="C8" i="38"/>
  <c r="C9" i="38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54" i="32"/>
  <c r="C43" i="28"/>
  <c r="C44" i="28"/>
  <c r="C45" i="28"/>
  <c r="C46" i="28"/>
  <c r="AA1" i="55" l="1"/>
  <c r="Z60" i="55"/>
  <c r="Z91" i="55" s="1"/>
  <c r="Z117" i="55" s="1"/>
  <c r="C10" i="31"/>
  <c r="C11" i="31"/>
  <c r="C12" i="31"/>
  <c r="C13" i="31"/>
  <c r="C14" i="31"/>
  <c r="C16" i="31"/>
  <c r="C17" i="31"/>
  <c r="C18" i="31"/>
  <c r="C19" i="31"/>
  <c r="C20" i="31"/>
  <c r="C21" i="31"/>
  <c r="C22" i="31"/>
  <c r="C23" i="31"/>
  <c r="C24" i="31"/>
  <c r="C25" i="31"/>
  <c r="C26" i="31"/>
  <c r="AA60" i="55" l="1"/>
  <c r="AA91" i="55" s="1"/>
  <c r="AA117" i="55" s="1"/>
  <c r="AB1" i="55"/>
  <c r="E26" i="46"/>
  <c r="D26" i="46"/>
  <c r="E25" i="46"/>
  <c r="D25" i="46"/>
  <c r="E24" i="46"/>
  <c r="D24" i="46"/>
  <c r="E23" i="46"/>
  <c r="D23" i="46"/>
  <c r="E22" i="46"/>
  <c r="D22" i="46"/>
  <c r="E21" i="46"/>
  <c r="D21" i="46"/>
  <c r="E20" i="46"/>
  <c r="D20" i="46"/>
  <c r="E19" i="46"/>
  <c r="D19" i="46"/>
  <c r="E18" i="46"/>
  <c r="D18" i="46"/>
  <c r="E17" i="46"/>
  <c r="D17" i="46"/>
  <c r="E16" i="46"/>
  <c r="D16" i="46"/>
  <c r="E12" i="46"/>
  <c r="D12" i="46"/>
  <c r="E11" i="46"/>
  <c r="D11" i="46"/>
  <c r="E15" i="46"/>
  <c r="D15" i="46"/>
  <c r="E14" i="46"/>
  <c r="D14" i="46"/>
  <c r="E8" i="46"/>
  <c r="D8" i="46"/>
  <c r="E9" i="46"/>
  <c r="D9" i="46"/>
  <c r="E10" i="46"/>
  <c r="D10" i="46"/>
  <c r="E13" i="46"/>
  <c r="D13" i="46"/>
  <c r="E6" i="46"/>
  <c r="D6" i="46"/>
  <c r="AC1" i="55" l="1"/>
  <c r="AB60" i="55"/>
  <c r="AB91" i="55" s="1"/>
  <c r="AB117" i="55" s="1"/>
  <c r="D110" i="13"/>
  <c r="E110" i="13"/>
  <c r="F110" i="13"/>
  <c r="G110" i="13"/>
  <c r="H110" i="13"/>
  <c r="I110" i="13"/>
  <c r="J110" i="13"/>
  <c r="K110" i="13"/>
  <c r="C110" i="13"/>
  <c r="D57" i="13"/>
  <c r="M57" i="13"/>
  <c r="E6" i="39"/>
  <c r="E7" i="39"/>
  <c r="E8" i="39"/>
  <c r="E9" i="39"/>
  <c r="E10" i="39"/>
  <c r="E11" i="39"/>
  <c r="E12" i="39"/>
  <c r="E13" i="39"/>
  <c r="E14" i="39"/>
  <c r="E15" i="39"/>
  <c r="E16" i="39"/>
  <c r="E17" i="39"/>
  <c r="E18" i="39"/>
  <c r="E19" i="39"/>
  <c r="E20" i="39"/>
  <c r="E21" i="39"/>
  <c r="E22" i="39"/>
  <c r="E23" i="39"/>
  <c r="E24" i="39"/>
  <c r="E25" i="39"/>
  <c r="E26" i="39"/>
  <c r="E27" i="39"/>
  <c r="E28" i="39"/>
  <c r="E29" i="39"/>
  <c r="E30" i="39"/>
  <c r="E31" i="39"/>
  <c r="E32" i="39"/>
  <c r="E33" i="39"/>
  <c r="E34" i="39"/>
  <c r="E35" i="39"/>
  <c r="E36" i="39"/>
  <c r="E37" i="39"/>
  <c r="E38" i="39"/>
  <c r="E39" i="39"/>
  <c r="E40" i="39"/>
  <c r="E41" i="39"/>
  <c r="E42" i="39"/>
  <c r="E43" i="39"/>
  <c r="E44" i="39"/>
  <c r="E45" i="39"/>
  <c r="E46" i="39"/>
  <c r="E47" i="39"/>
  <c r="E48" i="39"/>
  <c r="E49" i="39"/>
  <c r="E50" i="39"/>
  <c r="E51" i="39"/>
  <c r="E52" i="39"/>
  <c r="E53" i="39"/>
  <c r="E54" i="39"/>
  <c r="D7" i="39"/>
  <c r="D8" i="39"/>
  <c r="D9" i="39"/>
  <c r="D10" i="39"/>
  <c r="D11" i="39"/>
  <c r="D12" i="39"/>
  <c r="D13" i="39"/>
  <c r="D14" i="39"/>
  <c r="D15" i="39"/>
  <c r="D16" i="39"/>
  <c r="D17" i="39"/>
  <c r="D18" i="39"/>
  <c r="D19" i="39"/>
  <c r="D20" i="39"/>
  <c r="D21" i="39"/>
  <c r="D22" i="39"/>
  <c r="D23" i="39"/>
  <c r="D24" i="39"/>
  <c r="D25" i="39"/>
  <c r="D26" i="39"/>
  <c r="D27" i="39"/>
  <c r="D28" i="39"/>
  <c r="D29" i="39"/>
  <c r="D30" i="39"/>
  <c r="D31" i="39"/>
  <c r="D32" i="39"/>
  <c r="D33" i="39"/>
  <c r="D34" i="39"/>
  <c r="D35" i="39"/>
  <c r="D36" i="39"/>
  <c r="D37" i="39"/>
  <c r="D38" i="39"/>
  <c r="D39" i="39"/>
  <c r="D40" i="39"/>
  <c r="D41" i="39"/>
  <c r="D42" i="39"/>
  <c r="D43" i="39"/>
  <c r="D44" i="39"/>
  <c r="D45" i="39"/>
  <c r="D46" i="39"/>
  <c r="D47" i="39"/>
  <c r="D48" i="39"/>
  <c r="D49" i="39"/>
  <c r="D50" i="39"/>
  <c r="D51" i="39"/>
  <c r="D52" i="39"/>
  <c r="D53" i="39"/>
  <c r="D54" i="39"/>
  <c r="D55" i="39"/>
  <c r="D6" i="39"/>
  <c r="L110" i="4"/>
  <c r="K110" i="4"/>
  <c r="J110" i="4"/>
  <c r="I110" i="4"/>
  <c r="H110" i="4"/>
  <c r="G110" i="4"/>
  <c r="F110" i="4"/>
  <c r="E110" i="4"/>
  <c r="D110" i="4"/>
  <c r="C110" i="4"/>
  <c r="A110" i="4"/>
  <c r="B109" i="4"/>
  <c r="A109" i="4"/>
  <c r="B108" i="4"/>
  <c r="A108" i="4"/>
  <c r="C49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A68" i="4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76" i="4"/>
  <c r="B76" i="4"/>
  <c r="A77" i="4"/>
  <c r="B77" i="4"/>
  <c r="A78" i="4"/>
  <c r="B78" i="4"/>
  <c r="A79" i="4"/>
  <c r="B79" i="4"/>
  <c r="A80" i="4"/>
  <c r="B80" i="4"/>
  <c r="A81" i="4"/>
  <c r="B81" i="4"/>
  <c r="A82" i="4"/>
  <c r="B82" i="4"/>
  <c r="A83" i="4"/>
  <c r="B83" i="4"/>
  <c r="A84" i="4"/>
  <c r="B84" i="4"/>
  <c r="A85" i="4"/>
  <c r="B85" i="4"/>
  <c r="A86" i="4"/>
  <c r="B86" i="4"/>
  <c r="A87" i="4"/>
  <c r="B87" i="4"/>
  <c r="A88" i="4"/>
  <c r="B88" i="4"/>
  <c r="A89" i="4"/>
  <c r="B89" i="4"/>
  <c r="A90" i="4"/>
  <c r="B90" i="4"/>
  <c r="A91" i="4"/>
  <c r="B91" i="4"/>
  <c r="A92" i="4"/>
  <c r="B92" i="4"/>
  <c r="A93" i="4"/>
  <c r="B93" i="4"/>
  <c r="A94" i="4"/>
  <c r="B94" i="4"/>
  <c r="A95" i="4"/>
  <c r="B95" i="4"/>
  <c r="A96" i="4"/>
  <c r="B96" i="4"/>
  <c r="A97" i="4"/>
  <c r="B97" i="4"/>
  <c r="A98" i="4"/>
  <c r="B98" i="4"/>
  <c r="A99" i="4"/>
  <c r="B99" i="4"/>
  <c r="A100" i="4"/>
  <c r="B100" i="4"/>
  <c r="A101" i="4"/>
  <c r="B101" i="4"/>
  <c r="A102" i="4"/>
  <c r="B102" i="4"/>
  <c r="A103" i="4"/>
  <c r="B103" i="4"/>
  <c r="A104" i="4"/>
  <c r="B104" i="4"/>
  <c r="A105" i="4"/>
  <c r="B105" i="4"/>
  <c r="A106" i="4"/>
  <c r="B106" i="4"/>
  <c r="A107" i="4"/>
  <c r="B107" i="4"/>
  <c r="B60" i="4"/>
  <c r="B59" i="4"/>
  <c r="A59" i="4"/>
  <c r="M57" i="4"/>
  <c r="D57" i="4"/>
  <c r="C5" i="5" s="1"/>
  <c r="AD1" i="55" l="1"/>
  <c r="AC60" i="55"/>
  <c r="AC91" i="55" s="1"/>
  <c r="AC117" i="55" s="1"/>
  <c r="D57" i="3"/>
  <c r="M57" i="3"/>
  <c r="D110" i="3"/>
  <c r="E110" i="3"/>
  <c r="F110" i="3"/>
  <c r="G110" i="3"/>
  <c r="H110" i="3"/>
  <c r="I110" i="3"/>
  <c r="J110" i="3"/>
  <c r="K110" i="3"/>
  <c r="C110" i="3"/>
  <c r="C55" i="3"/>
  <c r="A90" i="3"/>
  <c r="B90" i="3"/>
  <c r="A91" i="3"/>
  <c r="B91" i="3"/>
  <c r="A92" i="3"/>
  <c r="B92" i="3"/>
  <c r="A93" i="3"/>
  <c r="B93" i="3"/>
  <c r="A94" i="3"/>
  <c r="B94" i="3"/>
  <c r="A95" i="3"/>
  <c r="B95" i="3"/>
  <c r="A96" i="3"/>
  <c r="B96" i="3"/>
  <c r="A97" i="3"/>
  <c r="B97" i="3"/>
  <c r="A98" i="3"/>
  <c r="B98" i="3"/>
  <c r="A99" i="3"/>
  <c r="B99" i="3"/>
  <c r="A100" i="3"/>
  <c r="B100" i="3"/>
  <c r="A101" i="3"/>
  <c r="B101" i="3"/>
  <c r="A102" i="3"/>
  <c r="B102" i="3"/>
  <c r="A103" i="3"/>
  <c r="B103" i="3"/>
  <c r="A104" i="3"/>
  <c r="B104" i="3"/>
  <c r="A105" i="3"/>
  <c r="B105" i="3"/>
  <c r="A106" i="3"/>
  <c r="B106" i="3"/>
  <c r="A107" i="3"/>
  <c r="B107" i="3"/>
  <c r="A108" i="3"/>
  <c r="B108" i="3"/>
  <c r="A109" i="3"/>
  <c r="B109" i="3"/>
  <c r="L110" i="3"/>
  <c r="A11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87" i="3"/>
  <c r="B87" i="3"/>
  <c r="A88" i="3"/>
  <c r="B88" i="3"/>
  <c r="A89" i="3"/>
  <c r="B89" i="3"/>
  <c r="B60" i="3"/>
  <c r="A60" i="3"/>
  <c r="B59" i="3"/>
  <c r="A59" i="3"/>
  <c r="C54" i="4"/>
  <c r="AD60" i="55" l="1"/>
  <c r="AD91" i="55" s="1"/>
  <c r="AD117" i="55" s="1"/>
  <c r="AE1" i="55"/>
  <c r="C7" i="39"/>
  <c r="C8" i="39"/>
  <c r="C9" i="39"/>
  <c r="C10" i="39"/>
  <c r="C11" i="39"/>
  <c r="C12" i="39"/>
  <c r="C13" i="39"/>
  <c r="C14" i="39"/>
  <c r="C15" i="39"/>
  <c r="C16" i="39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11" i="17"/>
  <c r="C12" i="17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AE60" i="55" l="1"/>
  <c r="AE91" i="55" s="1"/>
  <c r="AE117" i="55" s="1"/>
  <c r="AF1" i="55"/>
  <c r="P6" i="39"/>
  <c r="P7" i="39"/>
  <c r="P8" i="39"/>
  <c r="P9" i="39"/>
  <c r="P10" i="39"/>
  <c r="P11" i="39"/>
  <c r="P12" i="39"/>
  <c r="P13" i="39"/>
  <c r="P14" i="39"/>
  <c r="P15" i="39"/>
  <c r="C55" i="32"/>
  <c r="A63" i="32"/>
  <c r="B63" i="32"/>
  <c r="A64" i="32"/>
  <c r="B64" i="32"/>
  <c r="A65" i="32"/>
  <c r="B65" i="32"/>
  <c r="A66" i="32"/>
  <c r="B66" i="32"/>
  <c r="A67" i="32"/>
  <c r="B67" i="32"/>
  <c r="A68" i="32"/>
  <c r="B68" i="32"/>
  <c r="C8" i="10"/>
  <c r="C42" i="21"/>
  <c r="C43" i="21"/>
  <c r="C44" i="21"/>
  <c r="C45" i="21"/>
  <c r="C46" i="21"/>
  <c r="C45" i="23"/>
  <c r="C46" i="23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AF60" i="55" l="1"/>
  <c r="AF91" i="55" s="1"/>
  <c r="AF117" i="55" s="1"/>
  <c r="AG1" i="55"/>
  <c r="AG60" i="55" l="1"/>
  <c r="AG91" i="55" s="1"/>
  <c r="AG117" i="55" s="1"/>
  <c r="AH1" i="55"/>
  <c r="AH60" i="55" l="1"/>
  <c r="AH91" i="55" s="1"/>
  <c r="AH117" i="55" s="1"/>
  <c r="AI1" i="55"/>
  <c r="C10" i="24"/>
  <c r="C47" i="23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50" i="4"/>
  <c r="C51" i="4"/>
  <c r="AI60" i="55" l="1"/>
  <c r="AI91" i="55" s="1"/>
  <c r="AI117" i="55" s="1"/>
  <c r="AJ1" i="5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0" i="34"/>
  <c r="C51" i="34"/>
  <c r="C52" i="34"/>
  <c r="C53" i="34"/>
  <c r="C54" i="34"/>
  <c r="C45" i="30"/>
  <c r="C46" i="30"/>
  <c r="C47" i="30"/>
  <c r="C48" i="30"/>
  <c r="C49" i="30"/>
  <c r="C50" i="30"/>
  <c r="C51" i="30"/>
  <c r="C52" i="30"/>
  <c r="C53" i="30"/>
  <c r="C54" i="30"/>
  <c r="C48" i="23"/>
  <c r="C49" i="23"/>
  <c r="C50" i="23"/>
  <c r="C51" i="23"/>
  <c r="C52" i="23"/>
  <c r="C53" i="23"/>
  <c r="C54" i="23"/>
  <c r="C47" i="21"/>
  <c r="C48" i="21"/>
  <c r="C49" i="21"/>
  <c r="C50" i="21"/>
  <c r="C51" i="21"/>
  <c r="C52" i="21"/>
  <c r="C53" i="21"/>
  <c r="C54" i="21"/>
  <c r="C49" i="14"/>
  <c r="C50" i="14"/>
  <c r="C39" i="37"/>
  <c r="C40" i="37"/>
  <c r="C41" i="37"/>
  <c r="C42" i="37"/>
  <c r="AJ60" i="55" l="1"/>
  <c r="AJ91" i="55" s="1"/>
  <c r="AJ117" i="55" s="1"/>
  <c r="AK1" i="55"/>
  <c r="C47" i="28"/>
  <c r="C48" i="28"/>
  <c r="C11" i="24"/>
  <c r="C12" i="24"/>
  <c r="C13" i="24"/>
  <c r="C14" i="24"/>
  <c r="C15" i="24"/>
  <c r="C16" i="24"/>
  <c r="C17" i="24"/>
  <c r="C18" i="24"/>
  <c r="AK60" i="55" l="1"/>
  <c r="AK91" i="55" s="1"/>
  <c r="AK117" i="55" s="1"/>
  <c r="AL1" i="55"/>
  <c r="AL60" i="55" l="1"/>
  <c r="AL91" i="55" s="1"/>
  <c r="AL117" i="55" s="1"/>
  <c r="AM1" i="55"/>
  <c r="G36" i="46"/>
  <c r="F36" i="46"/>
  <c r="AM60" i="55" l="1"/>
  <c r="AM91" i="55" s="1"/>
  <c r="AM117" i="55" s="1"/>
  <c r="AN1" i="55"/>
  <c r="AN60" i="55" l="1"/>
  <c r="AN91" i="55" s="1"/>
  <c r="AN117" i="55" s="1"/>
  <c r="AO1" i="55"/>
  <c r="AP1" i="55" l="1"/>
  <c r="AO60" i="55"/>
  <c r="AO91" i="55" s="1"/>
  <c r="AO117" i="55" s="1"/>
  <c r="F6" i="46"/>
  <c r="AQ1" i="55" l="1"/>
  <c r="AP60" i="55"/>
  <c r="AP91" i="55" s="1"/>
  <c r="AP117" i="55" s="1"/>
  <c r="AR1" i="55" l="1"/>
  <c r="AQ60" i="55"/>
  <c r="AQ91" i="55" s="1"/>
  <c r="AQ117" i="55" s="1"/>
  <c r="C49" i="28"/>
  <c r="C50" i="28"/>
  <c r="C51" i="28"/>
  <c r="C52" i="28"/>
  <c r="C53" i="28"/>
  <c r="C54" i="28"/>
  <c r="AS1" i="55" l="1"/>
  <c r="AR60" i="55"/>
  <c r="AR91" i="55" s="1"/>
  <c r="AR117" i="55" s="1"/>
  <c r="C24" i="38"/>
  <c r="C25" i="38"/>
  <c r="C26" i="38"/>
  <c r="C27" i="38"/>
  <c r="C28" i="38"/>
  <c r="C29" i="38"/>
  <c r="C30" i="38"/>
  <c r="C31" i="38"/>
  <c r="C32" i="38"/>
  <c r="C33" i="38"/>
  <c r="C34" i="38"/>
  <c r="C35" i="38"/>
  <c r="C36" i="38"/>
  <c r="C37" i="38"/>
  <c r="C38" i="38"/>
  <c r="C39" i="38"/>
  <c r="C40" i="38"/>
  <c r="C41" i="38"/>
  <c r="C42" i="38"/>
  <c r="C43" i="38"/>
  <c r="C44" i="38"/>
  <c r="C45" i="38"/>
  <c r="C46" i="38"/>
  <c r="C47" i="38"/>
  <c r="C48" i="38"/>
  <c r="C49" i="38"/>
  <c r="C50" i="38"/>
  <c r="C51" i="38"/>
  <c r="C52" i="38"/>
  <c r="C53" i="38"/>
  <c r="C54" i="38"/>
  <c r="C18" i="33"/>
  <c r="C19" i="33"/>
  <c r="C20" i="33"/>
  <c r="C21" i="33"/>
  <c r="C27" i="31"/>
  <c r="C28" i="31"/>
  <c r="C29" i="31"/>
  <c r="C30" i="31"/>
  <c r="C43" i="17"/>
  <c r="C44" i="17"/>
  <c r="AT1" i="55" l="1"/>
  <c r="AS60" i="55"/>
  <c r="AS91" i="55" s="1"/>
  <c r="AS117" i="55" s="1"/>
  <c r="C31" i="31"/>
  <c r="C32" i="31"/>
  <c r="AU1" i="55" l="1"/>
  <c r="AT60" i="55"/>
  <c r="AT91" i="55" s="1"/>
  <c r="AT117" i="55" s="1"/>
  <c r="AV1" i="55" l="1"/>
  <c r="AU60" i="55"/>
  <c r="AU91" i="55" s="1"/>
  <c r="AU117" i="55" s="1"/>
  <c r="AW1" i="55" l="1"/>
  <c r="AV60" i="55"/>
  <c r="AV91" i="55" s="1"/>
  <c r="AV117" i="55" s="1"/>
  <c r="C23" i="19"/>
  <c r="C24" i="19"/>
  <c r="C25" i="19"/>
  <c r="C26" i="19"/>
  <c r="C51" i="14"/>
  <c r="C52" i="14"/>
  <c r="C53" i="14"/>
  <c r="C54" i="14"/>
  <c r="D57" i="30"/>
  <c r="M57" i="30"/>
  <c r="AX1" i="55" l="1"/>
  <c r="AW60" i="55"/>
  <c r="AW91" i="55" s="1"/>
  <c r="AW117" i="55" s="1"/>
  <c r="B11" i="39"/>
  <c r="AX60" i="55" l="1"/>
  <c r="AX91" i="55" s="1"/>
  <c r="AX117" i="55" s="1"/>
  <c r="AY1" i="55"/>
  <c r="AY60" i="55" l="1"/>
  <c r="AY91" i="55" s="1"/>
  <c r="AY117" i="55" s="1"/>
  <c r="AZ1" i="55"/>
  <c r="AZ60" i="55" l="1"/>
  <c r="AZ91" i="55" s="1"/>
  <c r="AZ117" i="55" s="1"/>
  <c r="BA1" i="55"/>
  <c r="BA60" i="55" l="1"/>
  <c r="BA91" i="55" s="1"/>
  <c r="BA117" i="55" s="1"/>
  <c r="BB1" i="55"/>
  <c r="BB60" i="55" l="1"/>
  <c r="BB91" i="55" s="1"/>
  <c r="BB117" i="55" s="1"/>
  <c r="BC1" i="55"/>
  <c r="BC60" i="55" s="1"/>
  <c r="BC91" i="55" s="1"/>
  <c r="BC117" i="55" s="1"/>
  <c r="K6" i="39"/>
  <c r="B6" i="39"/>
  <c r="B7" i="39"/>
  <c r="B8" i="39"/>
  <c r="B9" i="39"/>
  <c r="B10" i="39"/>
  <c r="B12" i="39"/>
  <c r="B13" i="39"/>
  <c r="B14" i="39"/>
  <c r="B15" i="39"/>
  <c r="B16" i="39"/>
  <c r="B17" i="39"/>
  <c r="B18" i="39"/>
  <c r="G6" i="39"/>
  <c r="C43" i="37"/>
  <c r="C44" i="37"/>
  <c r="C9" i="10" l="1"/>
  <c r="C10" i="10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L6" i="46" l="1"/>
  <c r="C52" i="4" l="1"/>
  <c r="C53" i="4"/>
  <c r="Y15" i="5" l="1"/>
  <c r="Y8" i="5"/>
  <c r="C3" i="59" l="1"/>
  <c r="D3" i="59" s="1"/>
  <c r="C4" i="59"/>
  <c r="C45" i="37"/>
  <c r="C46" i="37"/>
  <c r="C47" i="37"/>
  <c r="C48" i="37"/>
  <c r="C49" i="37"/>
  <c r="C50" i="37"/>
  <c r="C11" i="10"/>
  <c r="C12" i="10"/>
  <c r="C14" i="10"/>
  <c r="C15" i="10"/>
  <c r="C16" i="10"/>
  <c r="C17" i="10"/>
  <c r="C18" i="10"/>
  <c r="C19" i="10"/>
  <c r="C20" i="10"/>
  <c r="D4" i="59" l="1"/>
  <c r="C51" i="37"/>
  <c r="C52" i="37"/>
  <c r="C53" i="37"/>
  <c r="C54" i="37"/>
  <c r="Z8" i="5"/>
  <c r="K110" i="11"/>
  <c r="J50" i="5" s="1"/>
  <c r="K2" i="11"/>
  <c r="K3" i="11" s="1"/>
  <c r="K56" i="11" s="1"/>
  <c r="K57" i="11" s="1"/>
  <c r="J9" i="5" s="1"/>
  <c r="K110" i="38"/>
  <c r="K2" i="38"/>
  <c r="K3" i="38" s="1"/>
  <c r="K56" i="38" s="1"/>
  <c r="K110" i="37"/>
  <c r="K2" i="37"/>
  <c r="K3" i="37" s="1"/>
  <c r="K56" i="37" s="1"/>
  <c r="K110" i="36"/>
  <c r="K2" i="36"/>
  <c r="K3" i="36" s="1"/>
  <c r="K56" i="36" s="1"/>
  <c r="K110" i="35"/>
  <c r="K2" i="35"/>
  <c r="K3" i="35" s="1"/>
  <c r="K56" i="35" s="1"/>
  <c r="K110" i="34"/>
  <c r="K2" i="34"/>
  <c r="K3" i="34" s="1"/>
  <c r="K56" i="34" s="1"/>
  <c r="K110" i="33"/>
  <c r="K2" i="33"/>
  <c r="K3" i="33" s="1"/>
  <c r="K56" i="33" s="1"/>
  <c r="K110" i="32"/>
  <c r="K2" i="32"/>
  <c r="K3" i="32" s="1"/>
  <c r="K56" i="32" s="1"/>
  <c r="K2" i="31"/>
  <c r="K3" i="31" s="1"/>
  <c r="K56" i="31" s="1"/>
  <c r="K110" i="30"/>
  <c r="J69" i="5" s="1"/>
  <c r="K2" i="30"/>
  <c r="K3" i="30" s="1"/>
  <c r="K56" i="30" s="1"/>
  <c r="K57" i="30" s="1"/>
  <c r="K110" i="29"/>
  <c r="J68" i="5" s="1"/>
  <c r="K2" i="29"/>
  <c r="K3" i="29" s="1"/>
  <c r="K56" i="29" s="1"/>
  <c r="K57" i="29" s="1"/>
  <c r="J27" i="5" s="1"/>
  <c r="K110" i="28"/>
  <c r="J67" i="5" s="1"/>
  <c r="K2" i="28"/>
  <c r="K3" i="28" s="1"/>
  <c r="K56" i="28" s="1"/>
  <c r="K110" i="27"/>
  <c r="J66" i="5" s="1"/>
  <c r="K2" i="27"/>
  <c r="K3" i="27" s="1"/>
  <c r="K56" i="27" s="1"/>
  <c r="K110" i="26"/>
  <c r="J65" i="5" s="1"/>
  <c r="K2" i="26"/>
  <c r="K3" i="26" s="1"/>
  <c r="K56" i="26" s="1"/>
  <c r="K57" i="26" s="1"/>
  <c r="J24" i="5" s="1"/>
  <c r="K110" i="25"/>
  <c r="J64" i="5" s="1"/>
  <c r="K2" i="25"/>
  <c r="K3" i="25" s="1"/>
  <c r="K56" i="25" s="1"/>
  <c r="K57" i="25" s="1"/>
  <c r="J23" i="5" s="1"/>
  <c r="K110" i="24"/>
  <c r="J63" i="5" s="1"/>
  <c r="K2" i="24"/>
  <c r="K3" i="24" s="1"/>
  <c r="K56" i="24" s="1"/>
  <c r="K57" i="24" s="1"/>
  <c r="J22" i="5" s="1"/>
  <c r="K110" i="23"/>
  <c r="J62" i="5" s="1"/>
  <c r="K2" i="23"/>
  <c r="K3" i="23" s="1"/>
  <c r="K56" i="23" s="1"/>
  <c r="K110" i="22"/>
  <c r="J61" i="5" s="1"/>
  <c r="K2" i="22"/>
  <c r="K3" i="22" s="1"/>
  <c r="K56" i="22" s="1"/>
  <c r="K57" i="22" s="1"/>
  <c r="J20" i="5" s="1"/>
  <c r="K110" i="21"/>
  <c r="J60" i="5" s="1"/>
  <c r="K2" i="21"/>
  <c r="K3" i="21" s="1"/>
  <c r="K56" i="21" s="1"/>
  <c r="K110" i="20"/>
  <c r="J59" i="5" s="1"/>
  <c r="K2" i="20"/>
  <c r="K3" i="20" s="1"/>
  <c r="K56" i="20" s="1"/>
  <c r="K110" i="19"/>
  <c r="J58" i="5" s="1"/>
  <c r="K2" i="19"/>
  <c r="K3" i="19" s="1"/>
  <c r="K56" i="19" s="1"/>
  <c r="K57" i="19" s="1"/>
  <c r="J17" i="5" s="1"/>
  <c r="K110" i="18"/>
  <c r="J57" i="5" s="1"/>
  <c r="K2" i="18"/>
  <c r="K3" i="18" s="1"/>
  <c r="K56" i="18" s="1"/>
  <c r="K57" i="18" s="1"/>
  <c r="J16" i="5" s="1"/>
  <c r="K110" i="17"/>
  <c r="J56" i="5" s="1"/>
  <c r="K2" i="17"/>
  <c r="K3" i="17" s="1"/>
  <c r="K56" i="17" s="1"/>
  <c r="K110" i="16"/>
  <c r="J55" i="5" s="1"/>
  <c r="K2" i="16"/>
  <c r="K3" i="16" s="1"/>
  <c r="K56" i="16" s="1"/>
  <c r="K110" i="15"/>
  <c r="J54" i="5" s="1"/>
  <c r="K2" i="15"/>
  <c r="K3" i="15" s="1"/>
  <c r="K56" i="15" s="1"/>
  <c r="K57" i="15" s="1"/>
  <c r="J13" i="5" s="1"/>
  <c r="L2" i="14"/>
  <c r="L3" i="14" s="1"/>
  <c r="L56" i="14" s="1"/>
  <c r="L57" i="14" s="1"/>
  <c r="K110" i="14"/>
  <c r="J53" i="5" s="1"/>
  <c r="K2" i="14"/>
  <c r="K3" i="14" s="1"/>
  <c r="K56" i="14" s="1"/>
  <c r="J52" i="5"/>
  <c r="K2" i="13"/>
  <c r="K3" i="13" s="1"/>
  <c r="K56" i="13" s="1"/>
  <c r="K57" i="13" s="1"/>
  <c r="K110" i="12"/>
  <c r="J51" i="5" s="1"/>
  <c r="K2" i="12"/>
  <c r="K3" i="12" s="1"/>
  <c r="K56" i="12" s="1"/>
  <c r="K57" i="12" s="1"/>
  <c r="J10" i="5" s="1"/>
  <c r="K110" i="10"/>
  <c r="J49" i="5" s="1"/>
  <c r="K2" i="10"/>
  <c r="K3" i="10" s="1"/>
  <c r="K56" i="10" s="1"/>
  <c r="K57" i="10" s="1"/>
  <c r="J8" i="5" s="1"/>
  <c r="K110" i="9"/>
  <c r="J48" i="5" s="1"/>
  <c r="K2" i="9"/>
  <c r="K3" i="9" s="1"/>
  <c r="K56" i="9" s="1"/>
  <c r="K110" i="7"/>
  <c r="J47" i="5" s="1"/>
  <c r="K2" i="7"/>
  <c r="K3" i="7" s="1"/>
  <c r="K56" i="7" s="1"/>
  <c r="J46" i="5"/>
  <c r="K2" i="4"/>
  <c r="K3" i="4" s="1"/>
  <c r="K56" i="4" s="1"/>
  <c r="K57" i="4" s="1"/>
  <c r="J5" i="5" s="1"/>
  <c r="J45" i="5"/>
  <c r="K2" i="3"/>
  <c r="K3" i="3" s="1"/>
  <c r="K56" i="3" s="1"/>
  <c r="K57" i="3" s="1"/>
  <c r="K2" i="2"/>
  <c r="K3" i="2" s="1"/>
  <c r="K56" i="2" s="1"/>
  <c r="K57" i="2" s="1"/>
  <c r="J3" i="5" s="1"/>
  <c r="K110" i="2"/>
  <c r="J44" i="5" s="1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2" i="1"/>
  <c r="C2" i="54" s="1"/>
  <c r="C3" i="60" l="1"/>
  <c r="D3" i="60" s="1"/>
  <c r="C3" i="54"/>
  <c r="C56" i="54" s="1"/>
  <c r="N2" i="54"/>
  <c r="K57" i="36"/>
  <c r="J34" i="5" s="1"/>
  <c r="J113" i="5"/>
  <c r="K57" i="37"/>
  <c r="J35" i="5" s="1"/>
  <c r="J114" i="5"/>
  <c r="K57" i="38"/>
  <c r="J36" i="5" s="1"/>
  <c r="J115" i="5"/>
  <c r="K57" i="31"/>
  <c r="J108" i="5"/>
  <c r="K57" i="32"/>
  <c r="J30" i="5" s="1"/>
  <c r="J109" i="5"/>
  <c r="K57" i="33"/>
  <c r="J31" i="5" s="1"/>
  <c r="J110" i="5"/>
  <c r="K57" i="34"/>
  <c r="J32" i="5" s="1"/>
  <c r="J111" i="5"/>
  <c r="K57" i="35"/>
  <c r="J33" i="5" s="1"/>
  <c r="J112" i="5"/>
  <c r="J88" i="5"/>
  <c r="J87" i="5"/>
  <c r="J82" i="5"/>
  <c r="J106" i="5"/>
  <c r="J103" i="5"/>
  <c r="J102" i="5"/>
  <c r="J101" i="5"/>
  <c r="J99" i="5"/>
  <c r="J96" i="5"/>
  <c r="J95" i="5"/>
  <c r="J92" i="5"/>
  <c r="J89" i="5"/>
  <c r="K57" i="7"/>
  <c r="J6" i="5" s="1"/>
  <c r="J85" i="5"/>
  <c r="J28" i="5"/>
  <c r="J107" i="5"/>
  <c r="K57" i="28"/>
  <c r="J26" i="5" s="1"/>
  <c r="J105" i="5"/>
  <c r="K57" i="27"/>
  <c r="J25" i="5" s="1"/>
  <c r="J104" i="5"/>
  <c r="K57" i="23"/>
  <c r="J21" i="5" s="1"/>
  <c r="J100" i="5"/>
  <c r="K57" i="21"/>
  <c r="J19" i="5" s="1"/>
  <c r="J98" i="5"/>
  <c r="K57" i="20"/>
  <c r="J18" i="5" s="1"/>
  <c r="J97" i="5"/>
  <c r="K57" i="16"/>
  <c r="J14" i="5" s="1"/>
  <c r="J93" i="5"/>
  <c r="K57" i="17"/>
  <c r="J15" i="5" s="1"/>
  <c r="J94" i="5"/>
  <c r="K57" i="14"/>
  <c r="J12" i="5" s="1"/>
  <c r="J91" i="5"/>
  <c r="J11" i="5"/>
  <c r="J90" i="5"/>
  <c r="K57" i="9"/>
  <c r="J7" i="5" s="1"/>
  <c r="J86" i="5"/>
  <c r="J84" i="5"/>
  <c r="J4" i="5"/>
  <c r="J83" i="5"/>
  <c r="G31" i="46"/>
  <c r="F31" i="46"/>
  <c r="N56" i="54" l="1"/>
  <c r="C57" i="54"/>
  <c r="B37" i="5" s="1"/>
  <c r="J29" i="5"/>
  <c r="K110" i="31"/>
  <c r="J70" i="5" s="1"/>
  <c r="N57" i="54" l="1"/>
  <c r="N58" i="54"/>
  <c r="W6" i="39"/>
  <c r="O11" i="39"/>
  <c r="O12" i="39"/>
  <c r="O13" i="39"/>
  <c r="O14" i="39"/>
  <c r="O15" i="39"/>
  <c r="O16" i="39"/>
  <c r="O17" i="39"/>
  <c r="O18" i="39"/>
  <c r="O19" i="39"/>
  <c r="C27" i="19"/>
  <c r="C28" i="19"/>
  <c r="C29" i="19"/>
  <c r="C30" i="19"/>
  <c r="A97" i="30" l="1"/>
  <c r="A98" i="30"/>
  <c r="A99" i="30"/>
  <c r="A100" i="30"/>
  <c r="A101" i="30"/>
  <c r="A102" i="30"/>
  <c r="A103" i="30"/>
  <c r="A104" i="30"/>
  <c r="A105" i="30"/>
  <c r="A106" i="30"/>
  <c r="A107" i="30"/>
  <c r="A108" i="30"/>
  <c r="A109" i="30"/>
  <c r="V36" i="5" l="1"/>
  <c r="C7" i="62" s="1"/>
  <c r="U36" i="5"/>
  <c r="U29" i="5"/>
  <c r="O37" i="5"/>
  <c r="C55" i="29"/>
  <c r="C36" i="12" l="1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13" i="10"/>
  <c r="A78" i="15"/>
  <c r="C52" i="12" l="1"/>
  <c r="C53" i="12"/>
  <c r="C54" i="12"/>
  <c r="F35" i="46" l="1"/>
  <c r="G35" i="46"/>
  <c r="K35" i="46"/>
  <c r="L35" i="46" l="1"/>
  <c r="J37" i="46"/>
  <c r="I37" i="46"/>
  <c r="E37" i="46"/>
  <c r="D37" i="46"/>
  <c r="L34" i="46"/>
  <c r="K34" i="46"/>
  <c r="G34" i="46"/>
  <c r="F34" i="46"/>
  <c r="L33" i="46"/>
  <c r="K33" i="46"/>
  <c r="G33" i="46"/>
  <c r="F33" i="46"/>
  <c r="L32" i="46"/>
  <c r="K32" i="46"/>
  <c r="G32" i="46"/>
  <c r="F32" i="46"/>
  <c r="L31" i="46"/>
  <c r="K31" i="46"/>
  <c r="L30" i="46"/>
  <c r="K30" i="46"/>
  <c r="G30" i="46"/>
  <c r="F30" i="46"/>
  <c r="L29" i="46"/>
  <c r="K29" i="46"/>
  <c r="G29" i="46"/>
  <c r="F29" i="46"/>
  <c r="L28" i="46"/>
  <c r="K28" i="46"/>
  <c r="G28" i="46"/>
  <c r="F28" i="46"/>
  <c r="L27" i="46"/>
  <c r="K27" i="46"/>
  <c r="G27" i="46"/>
  <c r="F27" i="46"/>
  <c r="L26" i="46"/>
  <c r="K26" i="46"/>
  <c r="G26" i="46"/>
  <c r="F26" i="46"/>
  <c r="L25" i="46"/>
  <c r="K25" i="46"/>
  <c r="G25" i="46"/>
  <c r="F25" i="46"/>
  <c r="L24" i="46"/>
  <c r="K24" i="46"/>
  <c r="G24" i="46"/>
  <c r="F24" i="46"/>
  <c r="L23" i="46"/>
  <c r="K23" i="46"/>
  <c r="G23" i="46"/>
  <c r="F23" i="46"/>
  <c r="L22" i="46"/>
  <c r="K22" i="46"/>
  <c r="G22" i="46"/>
  <c r="F22" i="46"/>
  <c r="L21" i="46"/>
  <c r="K21" i="46"/>
  <c r="G21" i="46"/>
  <c r="F21" i="46"/>
  <c r="L20" i="46"/>
  <c r="K20" i="46"/>
  <c r="G20" i="46"/>
  <c r="F20" i="46"/>
  <c r="L19" i="46"/>
  <c r="K19" i="46"/>
  <c r="G19" i="46"/>
  <c r="F19" i="46"/>
  <c r="L18" i="46"/>
  <c r="K18" i="46"/>
  <c r="G18" i="46"/>
  <c r="F18" i="46"/>
  <c r="L17" i="46"/>
  <c r="K17" i="46"/>
  <c r="G17" i="46"/>
  <c r="F17" i="46"/>
  <c r="L16" i="46"/>
  <c r="K16" i="46"/>
  <c r="G16" i="46"/>
  <c r="F16" i="46"/>
  <c r="L15" i="46"/>
  <c r="K15" i="46"/>
  <c r="G15" i="46"/>
  <c r="F15" i="46"/>
  <c r="L14" i="46"/>
  <c r="K14" i="46"/>
  <c r="G14" i="46"/>
  <c r="F14" i="46"/>
  <c r="L13" i="46"/>
  <c r="K13" i="46"/>
  <c r="G13" i="46"/>
  <c r="F13" i="46"/>
  <c r="L12" i="46"/>
  <c r="K12" i="46"/>
  <c r="G12" i="46"/>
  <c r="F12" i="46"/>
  <c r="L11" i="46"/>
  <c r="K11" i="46"/>
  <c r="G11" i="46"/>
  <c r="F11" i="46"/>
  <c r="L10" i="46"/>
  <c r="K10" i="46"/>
  <c r="G10" i="46"/>
  <c r="F10" i="46"/>
  <c r="L9" i="46"/>
  <c r="K9" i="46"/>
  <c r="G9" i="46"/>
  <c r="F9" i="46"/>
  <c r="L8" i="46"/>
  <c r="K8" i="46"/>
  <c r="G8" i="46"/>
  <c r="F8" i="46"/>
  <c r="L7" i="46"/>
  <c r="K7" i="46"/>
  <c r="G7" i="46"/>
  <c r="F7" i="46"/>
  <c r="K6" i="46"/>
  <c r="G6" i="46"/>
  <c r="K37" i="46" l="1"/>
  <c r="F37" i="46"/>
  <c r="G37" i="46"/>
  <c r="L37" i="46"/>
  <c r="AJ7" i="39" l="1"/>
  <c r="AJ8" i="39"/>
  <c r="AJ9" i="39"/>
  <c r="AJ10" i="39"/>
  <c r="AJ11" i="39"/>
  <c r="AJ12" i="39"/>
  <c r="AJ13" i="39"/>
  <c r="AJ14" i="39"/>
  <c r="AJ15" i="39"/>
  <c r="AJ16" i="39"/>
  <c r="AJ17" i="39"/>
  <c r="AJ18" i="39"/>
  <c r="AJ19" i="39"/>
  <c r="AJ20" i="39"/>
  <c r="AJ21" i="39"/>
  <c r="AJ22" i="39"/>
  <c r="AJ23" i="39"/>
  <c r="AJ24" i="39"/>
  <c r="AJ25" i="39"/>
  <c r="AJ26" i="39"/>
  <c r="AJ27" i="39"/>
  <c r="AJ28" i="39"/>
  <c r="AJ29" i="39"/>
  <c r="AJ30" i="39"/>
  <c r="AJ31" i="39"/>
  <c r="AJ32" i="39"/>
  <c r="AJ33" i="39"/>
  <c r="AJ34" i="39"/>
  <c r="AJ35" i="39"/>
  <c r="AJ36" i="39"/>
  <c r="AJ37" i="39"/>
  <c r="AJ38" i="39"/>
  <c r="AJ39" i="39"/>
  <c r="AJ40" i="39"/>
  <c r="AJ41" i="39"/>
  <c r="AJ42" i="39"/>
  <c r="AJ43" i="39"/>
  <c r="AJ44" i="39"/>
  <c r="AJ45" i="39"/>
  <c r="AJ46" i="39"/>
  <c r="AJ47" i="39"/>
  <c r="AJ48" i="39"/>
  <c r="AJ49" i="39"/>
  <c r="AJ50" i="39"/>
  <c r="AJ51" i="39"/>
  <c r="AJ52" i="39"/>
  <c r="AJ53" i="39"/>
  <c r="AJ54" i="39"/>
  <c r="AJ55" i="39"/>
  <c r="AJ6" i="39"/>
  <c r="AI7" i="39"/>
  <c r="AI8" i="39"/>
  <c r="AI9" i="39"/>
  <c r="AI10" i="39"/>
  <c r="AI11" i="39"/>
  <c r="AI12" i="39"/>
  <c r="AI13" i="39"/>
  <c r="AI14" i="39"/>
  <c r="AI15" i="39"/>
  <c r="AI16" i="39"/>
  <c r="AI17" i="39"/>
  <c r="AI18" i="39"/>
  <c r="AI19" i="39"/>
  <c r="AI20" i="39"/>
  <c r="AI21" i="39"/>
  <c r="AI22" i="39"/>
  <c r="AI23" i="39"/>
  <c r="AI24" i="39"/>
  <c r="AI25" i="39"/>
  <c r="AI26" i="39"/>
  <c r="AI27" i="39"/>
  <c r="AI28" i="39"/>
  <c r="AI29" i="39"/>
  <c r="AI30" i="39"/>
  <c r="AI31" i="39"/>
  <c r="AI32" i="39"/>
  <c r="AI33" i="39"/>
  <c r="AI34" i="39"/>
  <c r="AI35" i="39"/>
  <c r="AI36" i="39"/>
  <c r="AI37" i="39"/>
  <c r="AI38" i="39"/>
  <c r="AI39" i="39"/>
  <c r="AI40" i="39"/>
  <c r="AI41" i="39"/>
  <c r="AI42" i="39"/>
  <c r="AI43" i="39"/>
  <c r="AI44" i="39"/>
  <c r="AI45" i="39"/>
  <c r="AI46" i="39"/>
  <c r="AI47" i="39"/>
  <c r="AI48" i="39"/>
  <c r="AI49" i="39"/>
  <c r="AI50" i="39"/>
  <c r="AI51" i="39"/>
  <c r="AI52" i="39"/>
  <c r="AI53" i="39"/>
  <c r="AI54" i="39"/>
  <c r="AI55" i="39"/>
  <c r="AI6" i="39"/>
  <c r="AH7" i="39"/>
  <c r="AH8" i="39"/>
  <c r="AH9" i="39"/>
  <c r="AH10" i="39"/>
  <c r="AH11" i="39"/>
  <c r="AH12" i="39"/>
  <c r="AH13" i="39"/>
  <c r="AH14" i="39"/>
  <c r="AH15" i="39"/>
  <c r="AH16" i="39"/>
  <c r="AH17" i="39"/>
  <c r="AH18" i="39"/>
  <c r="AH19" i="39"/>
  <c r="AH20" i="39"/>
  <c r="AH21" i="39"/>
  <c r="AH22" i="39"/>
  <c r="AH23" i="39"/>
  <c r="AH24" i="39"/>
  <c r="AH25" i="39"/>
  <c r="AH26" i="39"/>
  <c r="AH27" i="39"/>
  <c r="AH28" i="39"/>
  <c r="AH29" i="39"/>
  <c r="AH30" i="39"/>
  <c r="AH31" i="39"/>
  <c r="AH32" i="39"/>
  <c r="AH33" i="39"/>
  <c r="AH34" i="39"/>
  <c r="AH35" i="39"/>
  <c r="AH36" i="39"/>
  <c r="AH37" i="39"/>
  <c r="AH38" i="39"/>
  <c r="AH39" i="39"/>
  <c r="AH40" i="39"/>
  <c r="AH41" i="39"/>
  <c r="AH42" i="39"/>
  <c r="AH43" i="39"/>
  <c r="AH44" i="39"/>
  <c r="AH45" i="39"/>
  <c r="AH46" i="39"/>
  <c r="AH47" i="39"/>
  <c r="AH48" i="39"/>
  <c r="AH49" i="39"/>
  <c r="AH50" i="39"/>
  <c r="AH51" i="39"/>
  <c r="AH52" i="39"/>
  <c r="AH53" i="39"/>
  <c r="AH54" i="39"/>
  <c r="AH55" i="39"/>
  <c r="AH6" i="39"/>
  <c r="AG7" i="39"/>
  <c r="AG8" i="39"/>
  <c r="AG9" i="39"/>
  <c r="AG10" i="39"/>
  <c r="AG11" i="39"/>
  <c r="AG12" i="39"/>
  <c r="AG13" i="39"/>
  <c r="AG14" i="39"/>
  <c r="AG15" i="39"/>
  <c r="AG16" i="39"/>
  <c r="AG17" i="39"/>
  <c r="AG18" i="39"/>
  <c r="AG19" i="39"/>
  <c r="AG20" i="39"/>
  <c r="AG21" i="39"/>
  <c r="AG22" i="39"/>
  <c r="AG23" i="39"/>
  <c r="AG24" i="39"/>
  <c r="AG25" i="39"/>
  <c r="AG26" i="39"/>
  <c r="AG27" i="39"/>
  <c r="AG28" i="39"/>
  <c r="AG29" i="39"/>
  <c r="AG30" i="39"/>
  <c r="AG31" i="39"/>
  <c r="AG32" i="39"/>
  <c r="AG33" i="39"/>
  <c r="AG34" i="39"/>
  <c r="AG35" i="39"/>
  <c r="AG36" i="39"/>
  <c r="AG37" i="39"/>
  <c r="AG38" i="39"/>
  <c r="AG39" i="39"/>
  <c r="AG40" i="39"/>
  <c r="AG41" i="39"/>
  <c r="AG42" i="39"/>
  <c r="AG43" i="39"/>
  <c r="AG44" i="39"/>
  <c r="AG45" i="39"/>
  <c r="AG46" i="39"/>
  <c r="AG47" i="39"/>
  <c r="AG48" i="39"/>
  <c r="AG49" i="39"/>
  <c r="AG50" i="39"/>
  <c r="AG51" i="39"/>
  <c r="AG52" i="39"/>
  <c r="AG53" i="39"/>
  <c r="AG54" i="39"/>
  <c r="AG55" i="39"/>
  <c r="AG6" i="39"/>
  <c r="AF7" i="39"/>
  <c r="AF8" i="39"/>
  <c r="AF9" i="39"/>
  <c r="AF10" i="39"/>
  <c r="AF11" i="39"/>
  <c r="AF12" i="39"/>
  <c r="AF13" i="39"/>
  <c r="AF14" i="39"/>
  <c r="AF15" i="39"/>
  <c r="AF16" i="39"/>
  <c r="AF17" i="39"/>
  <c r="AF18" i="39"/>
  <c r="AF19" i="39"/>
  <c r="AF20" i="39"/>
  <c r="AF21" i="39"/>
  <c r="AF22" i="39"/>
  <c r="AF23" i="39"/>
  <c r="AF24" i="39"/>
  <c r="AF25" i="39"/>
  <c r="AF26" i="39"/>
  <c r="AF27" i="39"/>
  <c r="AF28" i="39"/>
  <c r="AF29" i="39"/>
  <c r="AF30" i="39"/>
  <c r="AF31" i="39"/>
  <c r="AF32" i="39"/>
  <c r="AF33" i="39"/>
  <c r="AF34" i="39"/>
  <c r="AF35" i="39"/>
  <c r="AF36" i="39"/>
  <c r="AF37" i="39"/>
  <c r="AF38" i="39"/>
  <c r="AF39" i="39"/>
  <c r="AF40" i="39"/>
  <c r="AF41" i="39"/>
  <c r="AF42" i="39"/>
  <c r="AF43" i="39"/>
  <c r="AF44" i="39"/>
  <c r="AF45" i="39"/>
  <c r="AF46" i="39"/>
  <c r="AF47" i="39"/>
  <c r="AF48" i="39"/>
  <c r="AF49" i="39"/>
  <c r="AF50" i="39"/>
  <c r="AF51" i="39"/>
  <c r="AF52" i="39"/>
  <c r="AF53" i="39"/>
  <c r="AF54" i="39"/>
  <c r="AF55" i="39"/>
  <c r="AF6" i="39"/>
  <c r="AE7" i="39"/>
  <c r="AE8" i="39"/>
  <c r="AE9" i="39"/>
  <c r="AE10" i="39"/>
  <c r="AE11" i="39"/>
  <c r="AE12" i="39"/>
  <c r="AE13" i="39"/>
  <c r="AE14" i="39"/>
  <c r="AE15" i="39"/>
  <c r="AE16" i="39"/>
  <c r="AE17" i="39"/>
  <c r="AE18" i="39"/>
  <c r="AE19" i="39"/>
  <c r="AE20" i="39"/>
  <c r="AE21" i="39"/>
  <c r="AE22" i="39"/>
  <c r="AE23" i="39"/>
  <c r="AE24" i="39"/>
  <c r="AE25" i="39"/>
  <c r="AE26" i="39"/>
  <c r="AE27" i="39"/>
  <c r="AE28" i="39"/>
  <c r="AE29" i="39"/>
  <c r="AE30" i="39"/>
  <c r="AE31" i="39"/>
  <c r="AE32" i="39"/>
  <c r="AE33" i="39"/>
  <c r="AE34" i="39"/>
  <c r="AE35" i="39"/>
  <c r="AE36" i="39"/>
  <c r="AE37" i="39"/>
  <c r="AE38" i="39"/>
  <c r="AE39" i="39"/>
  <c r="AE40" i="39"/>
  <c r="AE41" i="39"/>
  <c r="AE42" i="39"/>
  <c r="AE43" i="39"/>
  <c r="AE44" i="39"/>
  <c r="AE45" i="39"/>
  <c r="AE46" i="39"/>
  <c r="AE47" i="39"/>
  <c r="AE48" i="39"/>
  <c r="AE49" i="39"/>
  <c r="AE50" i="39"/>
  <c r="AE51" i="39"/>
  <c r="AE52" i="39"/>
  <c r="AE53" i="39"/>
  <c r="AE54" i="39"/>
  <c r="AE55" i="39"/>
  <c r="AE6" i="39"/>
  <c r="AD7" i="39"/>
  <c r="AD8" i="39"/>
  <c r="AD9" i="39"/>
  <c r="AD10" i="39"/>
  <c r="AD11" i="39"/>
  <c r="AD12" i="39"/>
  <c r="AD13" i="39"/>
  <c r="AD14" i="39"/>
  <c r="AD15" i="39"/>
  <c r="AD16" i="39"/>
  <c r="AD17" i="39"/>
  <c r="AD18" i="39"/>
  <c r="AD19" i="39"/>
  <c r="AD20" i="39"/>
  <c r="AD21" i="39"/>
  <c r="AD22" i="39"/>
  <c r="AD23" i="39"/>
  <c r="AD24" i="39"/>
  <c r="AD25" i="39"/>
  <c r="AD26" i="39"/>
  <c r="AD27" i="39"/>
  <c r="AD28" i="39"/>
  <c r="AD29" i="39"/>
  <c r="AD30" i="39"/>
  <c r="AD31" i="39"/>
  <c r="AD32" i="39"/>
  <c r="AD33" i="39"/>
  <c r="AD34" i="39"/>
  <c r="AD35" i="39"/>
  <c r="AD36" i="39"/>
  <c r="AD37" i="39"/>
  <c r="AD38" i="39"/>
  <c r="AD39" i="39"/>
  <c r="AD40" i="39"/>
  <c r="AD41" i="39"/>
  <c r="AD42" i="39"/>
  <c r="AD43" i="39"/>
  <c r="AD44" i="39"/>
  <c r="AD45" i="39"/>
  <c r="AD46" i="39"/>
  <c r="AD47" i="39"/>
  <c r="AD48" i="39"/>
  <c r="AD49" i="39"/>
  <c r="AD50" i="39"/>
  <c r="AD51" i="39"/>
  <c r="AD52" i="39"/>
  <c r="AD53" i="39"/>
  <c r="AD54" i="39"/>
  <c r="AD55" i="39"/>
  <c r="AD6" i="39"/>
  <c r="AC21" i="39"/>
  <c r="AC22" i="39"/>
  <c r="AC23" i="39"/>
  <c r="AC24" i="39"/>
  <c r="AC25" i="39"/>
  <c r="AC26" i="39"/>
  <c r="AC33" i="39"/>
  <c r="AC35" i="39"/>
  <c r="AC37" i="39"/>
  <c r="AC38" i="39"/>
  <c r="AC41" i="39"/>
  <c r="AC42" i="39"/>
  <c r="AC45" i="39"/>
  <c r="AC47" i="39"/>
  <c r="AC49" i="39"/>
  <c r="AC51" i="39"/>
  <c r="AC53" i="39"/>
  <c r="AC54" i="39"/>
  <c r="AB7" i="39"/>
  <c r="AB8" i="39"/>
  <c r="AB9" i="39"/>
  <c r="AB10" i="39"/>
  <c r="AB11" i="39"/>
  <c r="AB12" i="39"/>
  <c r="AB13" i="39"/>
  <c r="AB14" i="39"/>
  <c r="AB15" i="39"/>
  <c r="AB16" i="39"/>
  <c r="AB17" i="39"/>
  <c r="AB18" i="39"/>
  <c r="AB19" i="39"/>
  <c r="AB20" i="39"/>
  <c r="AB21" i="39"/>
  <c r="AB22" i="39"/>
  <c r="AB23" i="39"/>
  <c r="AB24" i="39"/>
  <c r="AB25" i="39"/>
  <c r="AB26" i="39"/>
  <c r="AB27" i="39"/>
  <c r="AB28" i="39"/>
  <c r="AB29" i="39"/>
  <c r="AB30" i="39"/>
  <c r="AB31" i="39"/>
  <c r="AB32" i="39"/>
  <c r="AB33" i="39"/>
  <c r="AB34" i="39"/>
  <c r="AB35" i="39"/>
  <c r="AB36" i="39"/>
  <c r="AB37" i="39"/>
  <c r="AB38" i="39"/>
  <c r="AB39" i="39"/>
  <c r="AB40" i="39"/>
  <c r="AB41" i="39"/>
  <c r="AB42" i="39"/>
  <c r="AB43" i="39"/>
  <c r="AB44" i="39"/>
  <c r="AB45" i="39"/>
  <c r="AB46" i="39"/>
  <c r="AB47" i="39"/>
  <c r="AB48" i="39"/>
  <c r="AB49" i="39"/>
  <c r="AB50" i="39"/>
  <c r="AB51" i="39"/>
  <c r="AB52" i="39"/>
  <c r="AB53" i="39"/>
  <c r="AB54" i="39"/>
  <c r="AB55" i="39"/>
  <c r="AB6" i="39"/>
  <c r="AA7" i="39"/>
  <c r="AA8" i="39"/>
  <c r="AA9" i="39"/>
  <c r="AA10" i="39"/>
  <c r="AA11" i="39"/>
  <c r="AA12" i="39"/>
  <c r="AA13" i="39"/>
  <c r="AA14" i="39"/>
  <c r="AA15" i="39"/>
  <c r="AA16" i="39"/>
  <c r="AA17" i="39"/>
  <c r="AA18" i="39"/>
  <c r="AA19" i="39"/>
  <c r="AA20" i="39"/>
  <c r="AA21" i="39"/>
  <c r="AA22" i="39"/>
  <c r="AA23" i="39"/>
  <c r="AA24" i="39"/>
  <c r="AA25" i="39"/>
  <c r="AA26" i="39"/>
  <c r="AA27" i="39"/>
  <c r="AA28" i="39"/>
  <c r="AA29" i="39"/>
  <c r="AA30" i="39"/>
  <c r="AA31" i="39"/>
  <c r="AA32" i="39"/>
  <c r="AA33" i="39"/>
  <c r="AA34" i="39"/>
  <c r="AA35" i="39"/>
  <c r="AA36" i="39"/>
  <c r="AA37" i="39"/>
  <c r="AA38" i="39"/>
  <c r="AA39" i="39"/>
  <c r="AA40" i="39"/>
  <c r="AA41" i="39"/>
  <c r="AA42" i="39"/>
  <c r="AA43" i="39"/>
  <c r="AA44" i="39"/>
  <c r="AA45" i="39"/>
  <c r="AA46" i="39"/>
  <c r="AA47" i="39"/>
  <c r="AA48" i="39"/>
  <c r="AA49" i="39"/>
  <c r="AA50" i="39"/>
  <c r="AA51" i="39"/>
  <c r="AA52" i="39"/>
  <c r="AA53" i="39"/>
  <c r="AA54" i="39"/>
  <c r="AA55" i="39"/>
  <c r="AA6" i="39"/>
  <c r="Z7" i="39"/>
  <c r="Z8" i="39"/>
  <c r="Z9" i="39"/>
  <c r="Z10" i="39"/>
  <c r="Z11" i="39"/>
  <c r="Z12" i="39"/>
  <c r="Z13" i="39"/>
  <c r="Z14" i="39"/>
  <c r="Z15" i="39"/>
  <c r="Z16" i="39"/>
  <c r="Z17" i="39"/>
  <c r="Z18" i="39"/>
  <c r="Z19" i="39"/>
  <c r="Z20" i="39"/>
  <c r="Z21" i="39"/>
  <c r="Z22" i="39"/>
  <c r="Z23" i="39"/>
  <c r="Z24" i="39"/>
  <c r="Z25" i="39"/>
  <c r="Z26" i="39"/>
  <c r="Z27" i="39"/>
  <c r="Z28" i="39"/>
  <c r="Z29" i="39"/>
  <c r="Z30" i="39"/>
  <c r="Z31" i="39"/>
  <c r="Z32" i="39"/>
  <c r="Z33" i="39"/>
  <c r="Z34" i="39"/>
  <c r="Z35" i="39"/>
  <c r="Z36" i="39"/>
  <c r="Z37" i="39"/>
  <c r="Z38" i="39"/>
  <c r="Z39" i="39"/>
  <c r="Z40" i="39"/>
  <c r="Z41" i="39"/>
  <c r="Z42" i="39"/>
  <c r="Z43" i="39"/>
  <c r="Z44" i="39"/>
  <c r="Z45" i="39"/>
  <c r="Z46" i="39"/>
  <c r="Z47" i="39"/>
  <c r="Z48" i="39"/>
  <c r="Z49" i="39"/>
  <c r="Z50" i="39"/>
  <c r="Z51" i="39"/>
  <c r="Z52" i="39"/>
  <c r="Z53" i="39"/>
  <c r="Z54" i="39"/>
  <c r="Z55" i="39"/>
  <c r="Z6" i="39"/>
  <c r="Y6" i="39"/>
  <c r="X7" i="39"/>
  <c r="X8" i="39"/>
  <c r="X9" i="39"/>
  <c r="X10" i="39"/>
  <c r="X11" i="39"/>
  <c r="X12" i="39"/>
  <c r="X13" i="39"/>
  <c r="X14" i="39"/>
  <c r="X15" i="39"/>
  <c r="X16" i="39"/>
  <c r="X17" i="39"/>
  <c r="X18" i="39"/>
  <c r="X19" i="39"/>
  <c r="X20" i="39"/>
  <c r="X21" i="39"/>
  <c r="X22" i="39"/>
  <c r="X23" i="39"/>
  <c r="X24" i="39"/>
  <c r="X25" i="39"/>
  <c r="X26" i="39"/>
  <c r="X27" i="39"/>
  <c r="X28" i="39"/>
  <c r="X29" i="39"/>
  <c r="X30" i="39"/>
  <c r="X31" i="39"/>
  <c r="X32" i="39"/>
  <c r="X33" i="39"/>
  <c r="X34" i="39"/>
  <c r="X35" i="39"/>
  <c r="X36" i="39"/>
  <c r="X37" i="39"/>
  <c r="X38" i="39"/>
  <c r="X39" i="39"/>
  <c r="X40" i="39"/>
  <c r="X41" i="39"/>
  <c r="X42" i="39"/>
  <c r="X43" i="39"/>
  <c r="X44" i="39"/>
  <c r="X45" i="39"/>
  <c r="X46" i="39"/>
  <c r="X47" i="39"/>
  <c r="X48" i="39"/>
  <c r="X49" i="39"/>
  <c r="X50" i="39"/>
  <c r="X51" i="39"/>
  <c r="X52" i="39"/>
  <c r="X53" i="39"/>
  <c r="X54" i="39"/>
  <c r="X55" i="39"/>
  <c r="X6" i="39"/>
  <c r="W7" i="39"/>
  <c r="W8" i="39"/>
  <c r="W9" i="39"/>
  <c r="W10" i="39"/>
  <c r="W11" i="39"/>
  <c r="W12" i="39"/>
  <c r="W13" i="39"/>
  <c r="W14" i="39"/>
  <c r="W15" i="39"/>
  <c r="W16" i="39"/>
  <c r="W17" i="39"/>
  <c r="W18" i="39"/>
  <c r="W19" i="39"/>
  <c r="W20" i="39"/>
  <c r="W21" i="39"/>
  <c r="W22" i="39"/>
  <c r="W23" i="39"/>
  <c r="W24" i="39"/>
  <c r="W25" i="39"/>
  <c r="W26" i="39"/>
  <c r="W27" i="39"/>
  <c r="W28" i="39"/>
  <c r="W29" i="39"/>
  <c r="W30" i="39"/>
  <c r="W31" i="39"/>
  <c r="W32" i="39"/>
  <c r="W33" i="39"/>
  <c r="W34" i="39"/>
  <c r="W35" i="39"/>
  <c r="W36" i="39"/>
  <c r="W37" i="39"/>
  <c r="W38" i="39"/>
  <c r="W39" i="39"/>
  <c r="W40" i="39"/>
  <c r="W41" i="39"/>
  <c r="W42" i="39"/>
  <c r="W43" i="39"/>
  <c r="W44" i="39"/>
  <c r="W45" i="39"/>
  <c r="W46" i="39"/>
  <c r="W47" i="39"/>
  <c r="W48" i="39"/>
  <c r="W49" i="39"/>
  <c r="W50" i="39"/>
  <c r="W51" i="39"/>
  <c r="W52" i="39"/>
  <c r="W53" i="39"/>
  <c r="W54" i="39"/>
  <c r="W55" i="39"/>
  <c r="V7" i="39"/>
  <c r="V8" i="39"/>
  <c r="V9" i="39"/>
  <c r="V10" i="39"/>
  <c r="V11" i="39"/>
  <c r="V12" i="39"/>
  <c r="V13" i="39"/>
  <c r="V14" i="39"/>
  <c r="V15" i="39"/>
  <c r="V16" i="39"/>
  <c r="V17" i="39"/>
  <c r="V18" i="39"/>
  <c r="V19" i="39"/>
  <c r="V20" i="39"/>
  <c r="V21" i="39"/>
  <c r="V22" i="39"/>
  <c r="V23" i="39"/>
  <c r="V24" i="39"/>
  <c r="V25" i="39"/>
  <c r="V26" i="39"/>
  <c r="V27" i="39"/>
  <c r="V28" i="39"/>
  <c r="V29" i="39"/>
  <c r="V30" i="39"/>
  <c r="V31" i="39"/>
  <c r="V32" i="39"/>
  <c r="V33" i="39"/>
  <c r="V34" i="39"/>
  <c r="V35" i="39"/>
  <c r="V36" i="39"/>
  <c r="V37" i="39"/>
  <c r="V38" i="39"/>
  <c r="V39" i="39"/>
  <c r="V40" i="39"/>
  <c r="V41" i="39"/>
  <c r="V42" i="39"/>
  <c r="V43" i="39"/>
  <c r="V44" i="39"/>
  <c r="V45" i="39"/>
  <c r="V46" i="39"/>
  <c r="V47" i="39"/>
  <c r="V48" i="39"/>
  <c r="V49" i="39"/>
  <c r="V50" i="39"/>
  <c r="V51" i="39"/>
  <c r="V52" i="39"/>
  <c r="V53" i="39"/>
  <c r="V54" i="39"/>
  <c r="V55" i="39"/>
  <c r="V6" i="39"/>
  <c r="U7" i="39"/>
  <c r="U8" i="39"/>
  <c r="U9" i="39"/>
  <c r="U10" i="39"/>
  <c r="U11" i="39"/>
  <c r="U12" i="39"/>
  <c r="U13" i="39"/>
  <c r="U14" i="39"/>
  <c r="U15" i="39"/>
  <c r="U16" i="39"/>
  <c r="U17" i="39"/>
  <c r="U18" i="39"/>
  <c r="U19" i="39"/>
  <c r="U20" i="39"/>
  <c r="U21" i="39"/>
  <c r="U22" i="39"/>
  <c r="U23" i="39"/>
  <c r="U24" i="39"/>
  <c r="U25" i="39"/>
  <c r="U26" i="39"/>
  <c r="U27" i="39"/>
  <c r="U28" i="39"/>
  <c r="U29" i="39"/>
  <c r="U30" i="39"/>
  <c r="U31" i="39"/>
  <c r="U32" i="39"/>
  <c r="U33" i="39"/>
  <c r="U34" i="39"/>
  <c r="U35" i="39"/>
  <c r="U36" i="39"/>
  <c r="U37" i="39"/>
  <c r="U38" i="39"/>
  <c r="U39" i="39"/>
  <c r="U40" i="39"/>
  <c r="U41" i="39"/>
  <c r="U42" i="39"/>
  <c r="U43" i="39"/>
  <c r="U44" i="39"/>
  <c r="U45" i="39"/>
  <c r="U46" i="39"/>
  <c r="U47" i="39"/>
  <c r="U48" i="39"/>
  <c r="U49" i="39"/>
  <c r="U50" i="39"/>
  <c r="U51" i="39"/>
  <c r="U52" i="39"/>
  <c r="U53" i="39"/>
  <c r="U54" i="39"/>
  <c r="U55" i="39"/>
  <c r="U6" i="39"/>
  <c r="T7" i="39"/>
  <c r="T8" i="39"/>
  <c r="T9" i="39"/>
  <c r="T10" i="39"/>
  <c r="T11" i="39"/>
  <c r="T12" i="39"/>
  <c r="T13" i="39"/>
  <c r="T14" i="39"/>
  <c r="T15" i="39"/>
  <c r="T16" i="39"/>
  <c r="T17" i="39"/>
  <c r="T18" i="39"/>
  <c r="T19" i="39"/>
  <c r="T20" i="39"/>
  <c r="T21" i="39"/>
  <c r="T22" i="39"/>
  <c r="T23" i="39"/>
  <c r="T24" i="39"/>
  <c r="T25" i="39"/>
  <c r="T26" i="39"/>
  <c r="T27" i="39"/>
  <c r="T28" i="39"/>
  <c r="T29" i="39"/>
  <c r="T30" i="39"/>
  <c r="T31" i="39"/>
  <c r="T32" i="39"/>
  <c r="T33" i="39"/>
  <c r="T34" i="39"/>
  <c r="T35" i="39"/>
  <c r="T36" i="39"/>
  <c r="T37" i="39"/>
  <c r="T38" i="39"/>
  <c r="T39" i="39"/>
  <c r="T40" i="39"/>
  <c r="T41" i="39"/>
  <c r="T42" i="39"/>
  <c r="T43" i="39"/>
  <c r="T44" i="39"/>
  <c r="T45" i="39"/>
  <c r="T46" i="39"/>
  <c r="T47" i="39"/>
  <c r="T48" i="39"/>
  <c r="T49" i="39"/>
  <c r="T50" i="39"/>
  <c r="T51" i="39"/>
  <c r="T52" i="39"/>
  <c r="T53" i="39"/>
  <c r="T54" i="39"/>
  <c r="T55" i="39"/>
  <c r="T6" i="39"/>
  <c r="S7" i="39"/>
  <c r="S8" i="39"/>
  <c r="S9" i="39"/>
  <c r="S10" i="39"/>
  <c r="S11" i="39"/>
  <c r="S12" i="39"/>
  <c r="S13" i="39"/>
  <c r="S14" i="39"/>
  <c r="S15" i="39"/>
  <c r="S16" i="39"/>
  <c r="S17" i="39"/>
  <c r="S18" i="39"/>
  <c r="S19" i="39"/>
  <c r="S20" i="39"/>
  <c r="S21" i="39"/>
  <c r="S22" i="39"/>
  <c r="S23" i="39"/>
  <c r="S24" i="39"/>
  <c r="S25" i="39"/>
  <c r="S26" i="39"/>
  <c r="S27" i="39"/>
  <c r="S28" i="39"/>
  <c r="S29" i="39"/>
  <c r="S30" i="39"/>
  <c r="S31" i="39"/>
  <c r="S32" i="39"/>
  <c r="S33" i="39"/>
  <c r="S34" i="39"/>
  <c r="S35" i="39"/>
  <c r="S36" i="39"/>
  <c r="S37" i="39"/>
  <c r="S38" i="39"/>
  <c r="S39" i="39"/>
  <c r="S40" i="39"/>
  <c r="S41" i="39"/>
  <c r="S42" i="39"/>
  <c r="S43" i="39"/>
  <c r="S44" i="39"/>
  <c r="S45" i="39"/>
  <c r="S46" i="39"/>
  <c r="S47" i="39"/>
  <c r="S48" i="39"/>
  <c r="S49" i="39"/>
  <c r="S50" i="39"/>
  <c r="S51" i="39"/>
  <c r="S52" i="39"/>
  <c r="S53" i="39"/>
  <c r="S54" i="39"/>
  <c r="S55" i="39"/>
  <c r="S6" i="39"/>
  <c r="R7" i="39"/>
  <c r="R8" i="39"/>
  <c r="R9" i="39"/>
  <c r="R10" i="39"/>
  <c r="R11" i="39"/>
  <c r="R12" i="39"/>
  <c r="R13" i="39"/>
  <c r="R14" i="39"/>
  <c r="R15" i="39"/>
  <c r="R16" i="39"/>
  <c r="R17" i="39"/>
  <c r="R18" i="39"/>
  <c r="R19" i="39"/>
  <c r="R20" i="39"/>
  <c r="R21" i="39"/>
  <c r="R22" i="39"/>
  <c r="R23" i="39"/>
  <c r="R24" i="39"/>
  <c r="R25" i="39"/>
  <c r="R26" i="39"/>
  <c r="R27" i="39"/>
  <c r="R28" i="39"/>
  <c r="R29" i="39"/>
  <c r="R30" i="39"/>
  <c r="R31" i="39"/>
  <c r="R32" i="39"/>
  <c r="R33" i="39"/>
  <c r="R34" i="39"/>
  <c r="R35" i="39"/>
  <c r="R36" i="39"/>
  <c r="R37" i="39"/>
  <c r="R38" i="39"/>
  <c r="R39" i="39"/>
  <c r="R40" i="39"/>
  <c r="R41" i="39"/>
  <c r="R42" i="39"/>
  <c r="R43" i="39"/>
  <c r="R44" i="39"/>
  <c r="R45" i="39"/>
  <c r="R46" i="39"/>
  <c r="R47" i="39"/>
  <c r="R48" i="39"/>
  <c r="R49" i="39"/>
  <c r="R50" i="39"/>
  <c r="R51" i="39"/>
  <c r="R52" i="39"/>
  <c r="R53" i="39"/>
  <c r="R54" i="39"/>
  <c r="R55" i="39"/>
  <c r="R6" i="39"/>
  <c r="Q7" i="39"/>
  <c r="Q8" i="39"/>
  <c r="Q9" i="39"/>
  <c r="Q10" i="39"/>
  <c r="Q11" i="39"/>
  <c r="Q12" i="39"/>
  <c r="Q13" i="39"/>
  <c r="Q14" i="39"/>
  <c r="Q15" i="39"/>
  <c r="Q16" i="39"/>
  <c r="Q17" i="39"/>
  <c r="Q18" i="39"/>
  <c r="Q19" i="39"/>
  <c r="Q20" i="39"/>
  <c r="Q21" i="39"/>
  <c r="Q22" i="39"/>
  <c r="Q23" i="39"/>
  <c r="Q24" i="39"/>
  <c r="Q25" i="39"/>
  <c r="Q26" i="39"/>
  <c r="Q27" i="39"/>
  <c r="Q28" i="39"/>
  <c r="Q29" i="39"/>
  <c r="Q30" i="39"/>
  <c r="Q31" i="39"/>
  <c r="Q32" i="39"/>
  <c r="Q33" i="39"/>
  <c r="Q34" i="39"/>
  <c r="Q35" i="39"/>
  <c r="Q36" i="39"/>
  <c r="Q37" i="39"/>
  <c r="Q38" i="39"/>
  <c r="Q39" i="39"/>
  <c r="Q40" i="39"/>
  <c r="Q41" i="39"/>
  <c r="Q42" i="39"/>
  <c r="Q43" i="39"/>
  <c r="Q44" i="39"/>
  <c r="Q45" i="39"/>
  <c r="Q46" i="39"/>
  <c r="Q47" i="39"/>
  <c r="Q48" i="39"/>
  <c r="Q49" i="39"/>
  <c r="Q50" i="39"/>
  <c r="Q51" i="39"/>
  <c r="Q52" i="39"/>
  <c r="Q53" i="39"/>
  <c r="Q54" i="39"/>
  <c r="Q55" i="39"/>
  <c r="Q6" i="39"/>
  <c r="P16" i="39"/>
  <c r="P17" i="39"/>
  <c r="P18" i="39"/>
  <c r="P19" i="39"/>
  <c r="P20" i="39"/>
  <c r="P21" i="39"/>
  <c r="P22" i="39"/>
  <c r="P23" i="39"/>
  <c r="P24" i="39"/>
  <c r="P25" i="39"/>
  <c r="P26" i="39"/>
  <c r="P27" i="39"/>
  <c r="P28" i="39"/>
  <c r="P29" i="39"/>
  <c r="P30" i="39"/>
  <c r="P31" i="39"/>
  <c r="P32" i="39"/>
  <c r="P33" i="39"/>
  <c r="P34" i="39"/>
  <c r="P35" i="39"/>
  <c r="P36" i="39"/>
  <c r="P37" i="39"/>
  <c r="P38" i="39"/>
  <c r="P39" i="39"/>
  <c r="P40" i="39"/>
  <c r="P41" i="39"/>
  <c r="P42" i="39"/>
  <c r="P43" i="39"/>
  <c r="P44" i="39"/>
  <c r="P45" i="39"/>
  <c r="P46" i="39"/>
  <c r="P47" i="39"/>
  <c r="P48" i="39"/>
  <c r="P49" i="39"/>
  <c r="P50" i="39"/>
  <c r="P51" i="39"/>
  <c r="P52" i="39"/>
  <c r="P53" i="39"/>
  <c r="P54" i="39"/>
  <c r="P55" i="39"/>
  <c r="O7" i="39"/>
  <c r="O8" i="39"/>
  <c r="O9" i="39"/>
  <c r="O10" i="39"/>
  <c r="O20" i="39"/>
  <c r="O21" i="39"/>
  <c r="O22" i="39"/>
  <c r="O23" i="39"/>
  <c r="O24" i="39"/>
  <c r="O25" i="39"/>
  <c r="O26" i="39"/>
  <c r="O27" i="39"/>
  <c r="O28" i="39"/>
  <c r="O29" i="39"/>
  <c r="O30" i="39"/>
  <c r="O31" i="39"/>
  <c r="O32" i="39"/>
  <c r="O33" i="39"/>
  <c r="O34" i="39"/>
  <c r="O35" i="39"/>
  <c r="O36" i="39"/>
  <c r="O37" i="39"/>
  <c r="O38" i="39"/>
  <c r="O39" i="39"/>
  <c r="O40" i="39"/>
  <c r="O41" i="39"/>
  <c r="O42" i="39"/>
  <c r="O43" i="39"/>
  <c r="O44" i="39"/>
  <c r="O45" i="39"/>
  <c r="O46" i="39"/>
  <c r="O47" i="39"/>
  <c r="O48" i="39"/>
  <c r="O49" i="39"/>
  <c r="O50" i="39"/>
  <c r="O51" i="39"/>
  <c r="O52" i="39"/>
  <c r="O53" i="39"/>
  <c r="O54" i="39"/>
  <c r="O55" i="39"/>
  <c r="O6" i="39"/>
  <c r="N7" i="39"/>
  <c r="N8" i="39"/>
  <c r="N9" i="39"/>
  <c r="N10" i="39"/>
  <c r="N11" i="39"/>
  <c r="N12" i="39"/>
  <c r="N13" i="39"/>
  <c r="N14" i="39"/>
  <c r="N15" i="39"/>
  <c r="N16" i="39"/>
  <c r="N17" i="39"/>
  <c r="N18" i="39"/>
  <c r="N19" i="39"/>
  <c r="N20" i="39"/>
  <c r="N21" i="39"/>
  <c r="N22" i="39"/>
  <c r="N23" i="39"/>
  <c r="N24" i="39"/>
  <c r="N25" i="39"/>
  <c r="N26" i="39"/>
  <c r="N27" i="39"/>
  <c r="N28" i="39"/>
  <c r="N29" i="39"/>
  <c r="N30" i="39"/>
  <c r="N31" i="39"/>
  <c r="N32" i="39"/>
  <c r="N33" i="39"/>
  <c r="N34" i="39"/>
  <c r="N35" i="39"/>
  <c r="N36" i="39"/>
  <c r="N37" i="39"/>
  <c r="N38" i="39"/>
  <c r="N39" i="39"/>
  <c r="N40" i="39"/>
  <c r="N41" i="39"/>
  <c r="N42" i="39"/>
  <c r="N43" i="39"/>
  <c r="N44" i="39"/>
  <c r="N45" i="39"/>
  <c r="N46" i="39"/>
  <c r="N47" i="39"/>
  <c r="N48" i="39"/>
  <c r="N49" i="39"/>
  <c r="N50" i="39"/>
  <c r="N51" i="39"/>
  <c r="N52" i="39"/>
  <c r="N53" i="39"/>
  <c r="N54" i="39"/>
  <c r="N55" i="39"/>
  <c r="N6" i="39"/>
  <c r="L19" i="39"/>
  <c r="L20" i="39"/>
  <c r="L21" i="39"/>
  <c r="L22" i="39"/>
  <c r="L23" i="39"/>
  <c r="L24" i="39"/>
  <c r="L25" i="39"/>
  <c r="L26" i="39"/>
  <c r="L27" i="39"/>
  <c r="L28" i="39"/>
  <c r="L29" i="39"/>
  <c r="L30" i="39"/>
  <c r="L31" i="39"/>
  <c r="L32" i="39"/>
  <c r="L33" i="39"/>
  <c r="L34" i="39"/>
  <c r="L35" i="39"/>
  <c r="L36" i="39"/>
  <c r="L37" i="39"/>
  <c r="L38" i="39"/>
  <c r="L39" i="39"/>
  <c r="L40" i="39"/>
  <c r="L41" i="39"/>
  <c r="L42" i="39"/>
  <c r="L43" i="39"/>
  <c r="L44" i="39"/>
  <c r="L45" i="39"/>
  <c r="L46" i="39"/>
  <c r="L47" i="39"/>
  <c r="L48" i="39"/>
  <c r="L49" i="39"/>
  <c r="L50" i="39"/>
  <c r="L51" i="39"/>
  <c r="L52" i="39"/>
  <c r="L53" i="39"/>
  <c r="L54" i="39"/>
  <c r="L55" i="39"/>
  <c r="L6" i="39"/>
  <c r="K49" i="39"/>
  <c r="K50" i="39"/>
  <c r="K51" i="39"/>
  <c r="K52" i="39"/>
  <c r="K53" i="39"/>
  <c r="K54" i="39"/>
  <c r="K55" i="39"/>
  <c r="J36" i="39"/>
  <c r="J37" i="39"/>
  <c r="J38" i="39"/>
  <c r="J39" i="39"/>
  <c r="J40" i="39"/>
  <c r="J41" i="39"/>
  <c r="J42" i="39"/>
  <c r="J43" i="39"/>
  <c r="J44" i="39"/>
  <c r="J45" i="39"/>
  <c r="J46" i="39"/>
  <c r="J47" i="39"/>
  <c r="J48" i="39"/>
  <c r="J49" i="39"/>
  <c r="J50" i="39"/>
  <c r="J51" i="39"/>
  <c r="J52" i="39"/>
  <c r="J53" i="39"/>
  <c r="J54" i="39"/>
  <c r="J55" i="39"/>
  <c r="J6" i="39"/>
  <c r="I33" i="39"/>
  <c r="I34" i="39"/>
  <c r="I35" i="39"/>
  <c r="I36" i="39"/>
  <c r="I37" i="39"/>
  <c r="I38" i="39"/>
  <c r="I39" i="39"/>
  <c r="I40" i="39"/>
  <c r="I41" i="39"/>
  <c r="I42" i="39"/>
  <c r="I43" i="39"/>
  <c r="I44" i="39"/>
  <c r="I45" i="39"/>
  <c r="I46" i="39"/>
  <c r="I47" i="39"/>
  <c r="I48" i="39"/>
  <c r="I49" i="39"/>
  <c r="I50" i="39"/>
  <c r="I51" i="39"/>
  <c r="I52" i="39"/>
  <c r="I53" i="39"/>
  <c r="I54" i="39"/>
  <c r="I55" i="39"/>
  <c r="I6" i="39"/>
  <c r="H7" i="39"/>
  <c r="H8" i="39"/>
  <c r="H9" i="39"/>
  <c r="H10" i="39"/>
  <c r="H11" i="39"/>
  <c r="H12" i="39"/>
  <c r="H13" i="39"/>
  <c r="H14" i="39"/>
  <c r="H15" i="39"/>
  <c r="H16" i="39"/>
  <c r="H17" i="39"/>
  <c r="H18" i="39"/>
  <c r="H19" i="39"/>
  <c r="H20" i="39"/>
  <c r="H21" i="39"/>
  <c r="H22" i="39"/>
  <c r="H23" i="39"/>
  <c r="H24" i="39"/>
  <c r="H25" i="39"/>
  <c r="H26" i="39"/>
  <c r="H27" i="39"/>
  <c r="H28" i="39"/>
  <c r="H29" i="39"/>
  <c r="H30" i="39"/>
  <c r="H31" i="39"/>
  <c r="H32" i="39"/>
  <c r="H33" i="39"/>
  <c r="H34" i="39"/>
  <c r="H35" i="39"/>
  <c r="H36" i="39"/>
  <c r="H37" i="39"/>
  <c r="H38" i="39"/>
  <c r="H39" i="39"/>
  <c r="H40" i="39"/>
  <c r="H41" i="39"/>
  <c r="H42" i="39"/>
  <c r="H43" i="39"/>
  <c r="H44" i="39"/>
  <c r="H45" i="39"/>
  <c r="H46" i="39"/>
  <c r="H47" i="39"/>
  <c r="H48" i="39"/>
  <c r="H49" i="39"/>
  <c r="H50" i="39"/>
  <c r="H51" i="39"/>
  <c r="H52" i="39"/>
  <c r="H53" i="39"/>
  <c r="H54" i="39"/>
  <c r="H55" i="39"/>
  <c r="H6" i="39"/>
  <c r="G7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G20" i="39"/>
  <c r="G21" i="39"/>
  <c r="G22" i="39"/>
  <c r="G23" i="39"/>
  <c r="G24" i="39"/>
  <c r="G25" i="39"/>
  <c r="G26" i="39"/>
  <c r="G27" i="39"/>
  <c r="G28" i="39"/>
  <c r="G29" i="39"/>
  <c r="G30" i="39"/>
  <c r="G31" i="39"/>
  <c r="G32" i="39"/>
  <c r="G33" i="39"/>
  <c r="G34" i="39"/>
  <c r="G35" i="39"/>
  <c r="G36" i="39"/>
  <c r="G37" i="39"/>
  <c r="G38" i="39"/>
  <c r="G39" i="39"/>
  <c r="G40" i="39"/>
  <c r="G41" i="39"/>
  <c r="G42" i="39"/>
  <c r="G43" i="39"/>
  <c r="G44" i="39"/>
  <c r="G45" i="39"/>
  <c r="G46" i="39"/>
  <c r="G47" i="39"/>
  <c r="G48" i="39"/>
  <c r="G49" i="39"/>
  <c r="G50" i="39"/>
  <c r="G51" i="39"/>
  <c r="G52" i="39"/>
  <c r="G53" i="39"/>
  <c r="G54" i="39"/>
  <c r="G55" i="39"/>
  <c r="F7" i="39"/>
  <c r="F8" i="39"/>
  <c r="F9" i="39"/>
  <c r="F10" i="39"/>
  <c r="F11" i="39"/>
  <c r="F12" i="39"/>
  <c r="F13" i="39"/>
  <c r="F14" i="39"/>
  <c r="F15" i="39"/>
  <c r="F16" i="39"/>
  <c r="F17" i="39"/>
  <c r="F18" i="39"/>
  <c r="F19" i="39"/>
  <c r="F20" i="39"/>
  <c r="F21" i="39"/>
  <c r="F22" i="39"/>
  <c r="F23" i="39"/>
  <c r="F24" i="39"/>
  <c r="F25" i="39"/>
  <c r="F26" i="39"/>
  <c r="F27" i="39"/>
  <c r="F28" i="39"/>
  <c r="F29" i="39"/>
  <c r="F30" i="39"/>
  <c r="F31" i="39"/>
  <c r="F32" i="39"/>
  <c r="F33" i="39"/>
  <c r="F34" i="39"/>
  <c r="F35" i="39"/>
  <c r="F36" i="39"/>
  <c r="F37" i="39"/>
  <c r="F38" i="39"/>
  <c r="F39" i="39"/>
  <c r="F40" i="39"/>
  <c r="F41" i="39"/>
  <c r="F42" i="39"/>
  <c r="F43" i="39"/>
  <c r="F44" i="39"/>
  <c r="F45" i="39"/>
  <c r="F46" i="39"/>
  <c r="F47" i="39"/>
  <c r="F48" i="39"/>
  <c r="F49" i="39"/>
  <c r="F50" i="39"/>
  <c r="F51" i="39"/>
  <c r="F52" i="39"/>
  <c r="F53" i="39"/>
  <c r="F54" i="39"/>
  <c r="F55" i="39"/>
  <c r="F6" i="39"/>
  <c r="E55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C29" i="39"/>
  <c r="C30" i="39"/>
  <c r="C31" i="39"/>
  <c r="C32" i="39"/>
  <c r="C33" i="39"/>
  <c r="C34" i="39"/>
  <c r="C35" i="39"/>
  <c r="C36" i="39"/>
  <c r="C37" i="39"/>
  <c r="C38" i="39"/>
  <c r="C39" i="39"/>
  <c r="C40" i="39"/>
  <c r="C41" i="39"/>
  <c r="C42" i="39"/>
  <c r="C43" i="39"/>
  <c r="C44" i="39"/>
  <c r="C45" i="39"/>
  <c r="C46" i="39"/>
  <c r="C47" i="39"/>
  <c r="C48" i="39"/>
  <c r="C49" i="39"/>
  <c r="C50" i="39"/>
  <c r="C51" i="39"/>
  <c r="C52" i="39"/>
  <c r="C53" i="39"/>
  <c r="C54" i="39"/>
  <c r="C55" i="39"/>
  <c r="C6" i="39"/>
  <c r="B19" i="39"/>
  <c r="B20" i="39"/>
  <c r="B21" i="39"/>
  <c r="B22" i="39"/>
  <c r="B23" i="39"/>
  <c r="B24" i="39"/>
  <c r="B25" i="39"/>
  <c r="B26" i="39"/>
  <c r="B27" i="39"/>
  <c r="B28" i="39"/>
  <c r="B29" i="39"/>
  <c r="B30" i="39"/>
  <c r="B31" i="39"/>
  <c r="B32" i="39"/>
  <c r="B33" i="39"/>
  <c r="B34" i="39"/>
  <c r="B35" i="39"/>
  <c r="B36" i="39"/>
  <c r="B37" i="39"/>
  <c r="B38" i="39"/>
  <c r="B39" i="39"/>
  <c r="B40" i="39"/>
  <c r="B41" i="39"/>
  <c r="B42" i="39"/>
  <c r="B43" i="39"/>
  <c r="B44" i="39"/>
  <c r="B45" i="39"/>
  <c r="B46" i="39"/>
  <c r="B47" i="39"/>
  <c r="B48" i="39"/>
  <c r="B49" i="39"/>
  <c r="B50" i="39"/>
  <c r="B51" i="39"/>
  <c r="B52" i="39"/>
  <c r="B53" i="39"/>
  <c r="B54" i="39"/>
  <c r="B55" i="39"/>
  <c r="B4" i="39"/>
  <c r="C4" i="39" s="1"/>
  <c r="D4" i="39" s="1"/>
  <c r="E4" i="39" s="1"/>
  <c r="F4" i="39" s="1"/>
  <c r="G4" i="39" s="1"/>
  <c r="H4" i="39" s="1"/>
  <c r="I4" i="39" s="1"/>
  <c r="J4" i="39" s="1"/>
  <c r="K4" i="39" s="1"/>
  <c r="L4" i="39" s="1"/>
  <c r="M4" i="39" s="1"/>
  <c r="N4" i="39" s="1"/>
  <c r="O4" i="39" s="1"/>
  <c r="P4" i="39" s="1"/>
  <c r="Q4" i="39" s="1"/>
  <c r="R4" i="39" s="1"/>
  <c r="S4" i="39" s="1"/>
  <c r="T4" i="39" s="1"/>
  <c r="U4" i="39" s="1"/>
  <c r="V4" i="39" s="1"/>
  <c r="W4" i="39" s="1"/>
  <c r="X4" i="39" s="1"/>
  <c r="Y4" i="39" s="1"/>
  <c r="Z4" i="39" s="1"/>
  <c r="AA4" i="39" s="1"/>
  <c r="AB4" i="39" s="1"/>
  <c r="AC4" i="39" s="1"/>
  <c r="AD4" i="39" s="1"/>
  <c r="AE4" i="39" s="1"/>
  <c r="AF4" i="39" s="1"/>
  <c r="AG4" i="39" s="1"/>
  <c r="AH4" i="39" s="1"/>
  <c r="AI4" i="39" s="1"/>
  <c r="AJ4" i="39" s="1"/>
  <c r="L2" i="22" l="1"/>
  <c r="J2" i="22"/>
  <c r="J3" i="22" s="1"/>
  <c r="J56" i="22" s="1"/>
  <c r="J57" i="22" s="1"/>
  <c r="I20" i="5" s="1"/>
  <c r="I2" i="22"/>
  <c r="I3" i="22" s="1"/>
  <c r="I56" i="22" s="1"/>
  <c r="I57" i="22" s="1"/>
  <c r="H20" i="5" s="1"/>
  <c r="H2" i="22"/>
  <c r="H3" i="22" s="1"/>
  <c r="H56" i="22" s="1"/>
  <c r="H57" i="22" s="1"/>
  <c r="G20" i="5" s="1"/>
  <c r="G2" i="22"/>
  <c r="G3" i="22" s="1"/>
  <c r="G56" i="22" s="1"/>
  <c r="G57" i="22" s="1"/>
  <c r="F20" i="5" s="1"/>
  <c r="F2" i="22"/>
  <c r="F3" i="22" s="1"/>
  <c r="F56" i="22" s="1"/>
  <c r="F57" i="22" s="1"/>
  <c r="E20" i="5" s="1"/>
  <c r="E2" i="22"/>
  <c r="E3" i="22" s="1"/>
  <c r="E56" i="22" s="1"/>
  <c r="E57" i="22" s="1"/>
  <c r="D20" i="5" s="1"/>
  <c r="L2" i="21"/>
  <c r="L3" i="21" s="1"/>
  <c r="L56" i="21" s="1"/>
  <c r="L57" i="21" s="1"/>
  <c r="J2" i="21"/>
  <c r="J3" i="21" s="1"/>
  <c r="J56" i="21" s="1"/>
  <c r="J57" i="21" s="1"/>
  <c r="I19" i="5" s="1"/>
  <c r="I2" i="21"/>
  <c r="I3" i="21" s="1"/>
  <c r="I56" i="21" s="1"/>
  <c r="H98" i="5" s="1"/>
  <c r="H2" i="21"/>
  <c r="H3" i="21" s="1"/>
  <c r="H56" i="21" s="1"/>
  <c r="G98" i="5" s="1"/>
  <c r="G2" i="21"/>
  <c r="G3" i="21" s="1"/>
  <c r="G56" i="21" s="1"/>
  <c r="G57" i="21" s="1"/>
  <c r="F19" i="5" s="1"/>
  <c r="F2" i="21"/>
  <c r="F3" i="21" s="1"/>
  <c r="F56" i="21" s="1"/>
  <c r="F57" i="21" s="1"/>
  <c r="E19" i="5" s="1"/>
  <c r="E2" i="21"/>
  <c r="E3" i="21" s="1"/>
  <c r="E56" i="21" s="1"/>
  <c r="E57" i="21" s="1"/>
  <c r="D19" i="5" s="1"/>
  <c r="L2" i="20"/>
  <c r="L3" i="20" s="1"/>
  <c r="L56" i="20" s="1"/>
  <c r="L57" i="20" s="1"/>
  <c r="J2" i="20"/>
  <c r="J3" i="20" s="1"/>
  <c r="J56" i="20" s="1"/>
  <c r="I2" i="20"/>
  <c r="I3" i="20" s="1"/>
  <c r="I56" i="20" s="1"/>
  <c r="I57" i="20" s="1"/>
  <c r="H18" i="5" s="1"/>
  <c r="H2" i="20"/>
  <c r="H3" i="20" s="1"/>
  <c r="H56" i="20" s="1"/>
  <c r="H57" i="20" s="1"/>
  <c r="G18" i="5" s="1"/>
  <c r="G2" i="20"/>
  <c r="F2" i="20"/>
  <c r="F3" i="20" s="1"/>
  <c r="F56" i="20" s="1"/>
  <c r="F57" i="20" s="1"/>
  <c r="E18" i="5" s="1"/>
  <c r="E2" i="20"/>
  <c r="E3" i="20" s="1"/>
  <c r="E56" i="20" s="1"/>
  <c r="E57" i="20" s="1"/>
  <c r="D18" i="5" s="1"/>
  <c r="L2" i="19"/>
  <c r="J2" i="19"/>
  <c r="J3" i="19" s="1"/>
  <c r="J56" i="19" s="1"/>
  <c r="J57" i="19" s="1"/>
  <c r="I17" i="5" s="1"/>
  <c r="I2" i="19"/>
  <c r="I3" i="19" s="1"/>
  <c r="I56" i="19" s="1"/>
  <c r="I57" i="19" s="1"/>
  <c r="H17" i="5" s="1"/>
  <c r="H2" i="19"/>
  <c r="H3" i="19" s="1"/>
  <c r="H56" i="19" s="1"/>
  <c r="H57" i="19" s="1"/>
  <c r="G17" i="5" s="1"/>
  <c r="G2" i="19"/>
  <c r="G3" i="19" s="1"/>
  <c r="G56" i="19" s="1"/>
  <c r="G57" i="19" s="1"/>
  <c r="F17" i="5" s="1"/>
  <c r="F2" i="19"/>
  <c r="F3" i="19" s="1"/>
  <c r="F56" i="19" s="1"/>
  <c r="F57" i="19" s="1"/>
  <c r="E17" i="5" s="1"/>
  <c r="E2" i="19"/>
  <c r="E3" i="19" s="1"/>
  <c r="E56" i="19" s="1"/>
  <c r="E57" i="19" s="1"/>
  <c r="D17" i="5" s="1"/>
  <c r="L2" i="18"/>
  <c r="L3" i="18" s="1"/>
  <c r="L56" i="18" s="1"/>
  <c r="L57" i="18" s="1"/>
  <c r="J2" i="18"/>
  <c r="J3" i="18" s="1"/>
  <c r="J56" i="18" s="1"/>
  <c r="J57" i="18" s="1"/>
  <c r="I16" i="5" s="1"/>
  <c r="I2" i="18"/>
  <c r="I3" i="18" s="1"/>
  <c r="I56" i="18" s="1"/>
  <c r="H95" i="5" s="1"/>
  <c r="H2" i="18"/>
  <c r="G2" i="18"/>
  <c r="G3" i="18" s="1"/>
  <c r="G56" i="18" s="1"/>
  <c r="G57" i="18" s="1"/>
  <c r="F16" i="5" s="1"/>
  <c r="F2" i="18"/>
  <c r="F3" i="18" s="1"/>
  <c r="F56" i="18" s="1"/>
  <c r="F57" i="18" s="1"/>
  <c r="E16" i="5" s="1"/>
  <c r="E2" i="18"/>
  <c r="E3" i="18" s="1"/>
  <c r="E56" i="18" s="1"/>
  <c r="D95" i="5" s="1"/>
  <c r="L2" i="17"/>
  <c r="L3" i="17" s="1"/>
  <c r="L56" i="17" s="1"/>
  <c r="L57" i="17" s="1"/>
  <c r="J2" i="17"/>
  <c r="J3" i="17" s="1"/>
  <c r="J56" i="17" s="1"/>
  <c r="J57" i="17" s="1"/>
  <c r="I15" i="5" s="1"/>
  <c r="I2" i="17"/>
  <c r="I3" i="17" s="1"/>
  <c r="I56" i="17" s="1"/>
  <c r="I57" i="17" s="1"/>
  <c r="H15" i="5" s="1"/>
  <c r="H2" i="17"/>
  <c r="H3" i="17" s="1"/>
  <c r="H56" i="17" s="1"/>
  <c r="H57" i="17" s="1"/>
  <c r="G15" i="5" s="1"/>
  <c r="G2" i="17"/>
  <c r="F2" i="17"/>
  <c r="F3" i="17" s="1"/>
  <c r="F56" i="17" s="1"/>
  <c r="E94" i="5" s="1"/>
  <c r="E2" i="17"/>
  <c r="E3" i="17" s="1"/>
  <c r="E56" i="17" s="1"/>
  <c r="D94" i="5" s="1"/>
  <c r="L2" i="16"/>
  <c r="L3" i="16" s="1"/>
  <c r="L56" i="16" s="1"/>
  <c r="L57" i="16" s="1"/>
  <c r="J2" i="16"/>
  <c r="J3" i="16" s="1"/>
  <c r="J56" i="16" s="1"/>
  <c r="J57" i="16" s="1"/>
  <c r="I14" i="5" s="1"/>
  <c r="I2" i="16"/>
  <c r="I3" i="16" s="1"/>
  <c r="I56" i="16" s="1"/>
  <c r="H93" i="5" s="1"/>
  <c r="H2" i="16"/>
  <c r="H3" i="16" s="1"/>
  <c r="H56" i="16" s="1"/>
  <c r="H57" i="16" s="1"/>
  <c r="G14" i="5" s="1"/>
  <c r="G2" i="16"/>
  <c r="G3" i="16" s="1"/>
  <c r="G56" i="16" s="1"/>
  <c r="F2" i="16"/>
  <c r="F3" i="16" s="1"/>
  <c r="F56" i="16" s="1"/>
  <c r="E93" i="5" s="1"/>
  <c r="E2" i="16"/>
  <c r="E3" i="16" s="1"/>
  <c r="E56" i="16" s="1"/>
  <c r="L2" i="15"/>
  <c r="L3" i="15" s="1"/>
  <c r="L56" i="15" s="1"/>
  <c r="L57" i="15" s="1"/>
  <c r="J2" i="15"/>
  <c r="J3" i="15" s="1"/>
  <c r="J56" i="15" s="1"/>
  <c r="J57" i="15" s="1"/>
  <c r="I13" i="5" s="1"/>
  <c r="I2" i="15"/>
  <c r="I3" i="15" s="1"/>
  <c r="I56" i="15" s="1"/>
  <c r="H92" i="5" s="1"/>
  <c r="H2" i="15"/>
  <c r="H3" i="15" s="1"/>
  <c r="H56" i="15" s="1"/>
  <c r="G2" i="15"/>
  <c r="G3" i="15" s="1"/>
  <c r="G56" i="15" s="1"/>
  <c r="F2" i="15"/>
  <c r="E2" i="15"/>
  <c r="E3" i="15" s="1"/>
  <c r="E56" i="15" s="1"/>
  <c r="D92" i="5" s="1"/>
  <c r="J2" i="14"/>
  <c r="J3" i="14" s="1"/>
  <c r="J56" i="14" s="1"/>
  <c r="J57" i="14" s="1"/>
  <c r="I12" i="5" s="1"/>
  <c r="I2" i="14"/>
  <c r="I3" i="14" s="1"/>
  <c r="I56" i="14" s="1"/>
  <c r="H91" i="5" s="1"/>
  <c r="H2" i="14"/>
  <c r="H3" i="14" s="1"/>
  <c r="H56" i="14" s="1"/>
  <c r="H57" i="14" s="1"/>
  <c r="G12" i="5" s="1"/>
  <c r="G2" i="14"/>
  <c r="F2" i="14"/>
  <c r="F3" i="14" s="1"/>
  <c r="F56" i="14" s="1"/>
  <c r="F57" i="14" s="1"/>
  <c r="E12" i="5" s="1"/>
  <c r="E2" i="14"/>
  <c r="E3" i="14" s="1"/>
  <c r="E56" i="14" s="1"/>
  <c r="D91" i="5" s="1"/>
  <c r="L2" i="13"/>
  <c r="L3" i="13" s="1"/>
  <c r="L56" i="13" s="1"/>
  <c r="L57" i="13" s="1"/>
  <c r="J2" i="13"/>
  <c r="J3" i="13" s="1"/>
  <c r="J56" i="13" s="1"/>
  <c r="I2" i="13"/>
  <c r="I3" i="13" s="1"/>
  <c r="I56" i="13" s="1"/>
  <c r="H2" i="13"/>
  <c r="H3" i="13" s="1"/>
  <c r="H56" i="13" s="1"/>
  <c r="G2" i="13"/>
  <c r="G3" i="13" s="1"/>
  <c r="G56" i="13" s="1"/>
  <c r="F2" i="13"/>
  <c r="F3" i="13" s="1"/>
  <c r="F56" i="13" s="1"/>
  <c r="E2" i="13"/>
  <c r="E3" i="13" s="1"/>
  <c r="E56" i="13" s="1"/>
  <c r="L2" i="12"/>
  <c r="L3" i="12" s="1"/>
  <c r="L56" i="12" s="1"/>
  <c r="L57" i="12" s="1"/>
  <c r="J2" i="12"/>
  <c r="J3" i="12" s="1"/>
  <c r="J56" i="12" s="1"/>
  <c r="I2" i="12"/>
  <c r="I3" i="12" s="1"/>
  <c r="I56" i="12" s="1"/>
  <c r="I57" i="12" s="1"/>
  <c r="H10" i="5" s="1"/>
  <c r="H2" i="12"/>
  <c r="H3" i="12" s="1"/>
  <c r="H56" i="12" s="1"/>
  <c r="H57" i="12" s="1"/>
  <c r="G10" i="5" s="1"/>
  <c r="G2" i="12"/>
  <c r="G3" i="12" s="1"/>
  <c r="G56" i="12" s="1"/>
  <c r="F2" i="12"/>
  <c r="F3" i="12" s="1"/>
  <c r="F56" i="12" s="1"/>
  <c r="F57" i="12" s="1"/>
  <c r="E10" i="5" s="1"/>
  <c r="E2" i="12"/>
  <c r="E3" i="12" s="1"/>
  <c r="E56" i="12" s="1"/>
  <c r="E57" i="12" s="1"/>
  <c r="D10" i="5" s="1"/>
  <c r="L2" i="11"/>
  <c r="L3" i="11" s="1"/>
  <c r="L56" i="11" s="1"/>
  <c r="L57" i="11" s="1"/>
  <c r="J2" i="11"/>
  <c r="J3" i="11" s="1"/>
  <c r="J56" i="11" s="1"/>
  <c r="I2" i="11"/>
  <c r="I3" i="11" s="1"/>
  <c r="I56" i="11" s="1"/>
  <c r="I57" i="11" s="1"/>
  <c r="H9" i="5" s="1"/>
  <c r="H2" i="11"/>
  <c r="H3" i="11" s="1"/>
  <c r="H56" i="11" s="1"/>
  <c r="H57" i="11" s="1"/>
  <c r="G9" i="5" s="1"/>
  <c r="G2" i="11"/>
  <c r="G3" i="11" s="1"/>
  <c r="G56" i="11" s="1"/>
  <c r="G57" i="11" s="1"/>
  <c r="F9" i="5" s="1"/>
  <c r="F2" i="11"/>
  <c r="F3" i="11" s="1"/>
  <c r="F56" i="11" s="1"/>
  <c r="E88" i="5" s="1"/>
  <c r="E2" i="11"/>
  <c r="E3" i="11" s="1"/>
  <c r="E56" i="11" s="1"/>
  <c r="E57" i="11" s="1"/>
  <c r="D9" i="5" s="1"/>
  <c r="L2" i="10"/>
  <c r="L3" i="10" s="1"/>
  <c r="J2" i="10"/>
  <c r="J3" i="10" s="1"/>
  <c r="J56" i="10" s="1"/>
  <c r="J57" i="10" s="1"/>
  <c r="I8" i="5" s="1"/>
  <c r="I2" i="10"/>
  <c r="I3" i="10" s="1"/>
  <c r="I56" i="10" s="1"/>
  <c r="I57" i="10" s="1"/>
  <c r="H8" i="5" s="1"/>
  <c r="H2" i="10"/>
  <c r="H3" i="10" s="1"/>
  <c r="H56" i="10" s="1"/>
  <c r="H57" i="10" s="1"/>
  <c r="G8" i="5" s="1"/>
  <c r="G2" i="10"/>
  <c r="G3" i="10" s="1"/>
  <c r="G56" i="10" s="1"/>
  <c r="G57" i="10" s="1"/>
  <c r="F8" i="5" s="1"/>
  <c r="F2" i="10"/>
  <c r="F3" i="10" s="1"/>
  <c r="F56" i="10" s="1"/>
  <c r="E2" i="10"/>
  <c r="E3" i="10" s="1"/>
  <c r="E56" i="10" s="1"/>
  <c r="E57" i="10" s="1"/>
  <c r="D8" i="5" s="1"/>
  <c r="L2" i="9"/>
  <c r="L3" i="9" s="1"/>
  <c r="L56" i="9" s="1"/>
  <c r="L57" i="9" s="1"/>
  <c r="J2" i="9"/>
  <c r="J3" i="9" s="1"/>
  <c r="J56" i="9" s="1"/>
  <c r="J57" i="9" s="1"/>
  <c r="I7" i="5" s="1"/>
  <c r="I2" i="9"/>
  <c r="I3" i="9" s="1"/>
  <c r="H2" i="9"/>
  <c r="H3" i="9" s="1"/>
  <c r="H56" i="9" s="1"/>
  <c r="H57" i="9" s="1"/>
  <c r="G7" i="5" s="1"/>
  <c r="G2" i="9"/>
  <c r="G3" i="9" s="1"/>
  <c r="G56" i="9" s="1"/>
  <c r="G57" i="9" s="1"/>
  <c r="F7" i="5" s="1"/>
  <c r="F2" i="9"/>
  <c r="F3" i="9" s="1"/>
  <c r="F56" i="9" s="1"/>
  <c r="F57" i="9" s="1"/>
  <c r="E7" i="5" s="1"/>
  <c r="E2" i="9"/>
  <c r="E3" i="9" s="1"/>
  <c r="E56" i="9" s="1"/>
  <c r="E57" i="9" s="1"/>
  <c r="D7" i="5" s="1"/>
  <c r="L2" i="7"/>
  <c r="L3" i="7" s="1"/>
  <c r="J2" i="7"/>
  <c r="J3" i="7" s="1"/>
  <c r="J56" i="7" s="1"/>
  <c r="J57" i="7" s="1"/>
  <c r="I6" i="5" s="1"/>
  <c r="I2" i="7"/>
  <c r="I3" i="7" s="1"/>
  <c r="I56" i="7" s="1"/>
  <c r="I57" i="7" s="1"/>
  <c r="H6" i="5" s="1"/>
  <c r="H2" i="7"/>
  <c r="H3" i="7" s="1"/>
  <c r="H56" i="7" s="1"/>
  <c r="H57" i="7" s="1"/>
  <c r="G6" i="5" s="1"/>
  <c r="G2" i="7"/>
  <c r="G3" i="7" s="1"/>
  <c r="G56" i="7" s="1"/>
  <c r="G57" i="7" s="1"/>
  <c r="F6" i="5" s="1"/>
  <c r="F2" i="7"/>
  <c r="F3" i="7" s="1"/>
  <c r="F56" i="7" s="1"/>
  <c r="F57" i="7" s="1"/>
  <c r="E6" i="5" s="1"/>
  <c r="E2" i="7"/>
  <c r="E3" i="7" s="1"/>
  <c r="E56" i="7" s="1"/>
  <c r="E57" i="7" s="1"/>
  <c r="D6" i="5" s="1"/>
  <c r="L2" i="4"/>
  <c r="L3" i="4" s="1"/>
  <c r="L56" i="4" s="1"/>
  <c r="L57" i="4" s="1"/>
  <c r="J2" i="4"/>
  <c r="J3" i="4" s="1"/>
  <c r="J56" i="4" s="1"/>
  <c r="J57" i="4" s="1"/>
  <c r="I5" i="5" s="1"/>
  <c r="I2" i="4"/>
  <c r="I3" i="4" s="1"/>
  <c r="I56" i="4" s="1"/>
  <c r="I57" i="4" s="1"/>
  <c r="H5" i="5" s="1"/>
  <c r="H2" i="4"/>
  <c r="H3" i="4" s="1"/>
  <c r="H56" i="4" s="1"/>
  <c r="H57" i="4" s="1"/>
  <c r="G5" i="5" s="1"/>
  <c r="G2" i="4"/>
  <c r="G3" i="4" s="1"/>
  <c r="G56" i="4" s="1"/>
  <c r="G57" i="4" s="1"/>
  <c r="F5" i="5" s="1"/>
  <c r="F2" i="4"/>
  <c r="F3" i="4" s="1"/>
  <c r="F56" i="4" s="1"/>
  <c r="F57" i="4" s="1"/>
  <c r="E5" i="5" s="1"/>
  <c r="E2" i="4"/>
  <c r="E3" i="4" s="1"/>
  <c r="E56" i="4" s="1"/>
  <c r="E57" i="4" s="1"/>
  <c r="D5" i="5" s="1"/>
  <c r="L2" i="3"/>
  <c r="L3" i="3" s="1"/>
  <c r="J2" i="3"/>
  <c r="J3" i="3" s="1"/>
  <c r="J56" i="3" s="1"/>
  <c r="J57" i="3" s="1"/>
  <c r="I2" i="3"/>
  <c r="I3" i="3" s="1"/>
  <c r="I56" i="3" s="1"/>
  <c r="I57" i="3" s="1"/>
  <c r="H2" i="3"/>
  <c r="H3" i="3" s="1"/>
  <c r="H56" i="3" s="1"/>
  <c r="H57" i="3" s="1"/>
  <c r="G2" i="3"/>
  <c r="G3" i="3" s="1"/>
  <c r="G56" i="3" s="1"/>
  <c r="G57" i="3" s="1"/>
  <c r="F2" i="3"/>
  <c r="F3" i="3" s="1"/>
  <c r="F56" i="3" s="1"/>
  <c r="F57" i="3" s="1"/>
  <c r="E2" i="3"/>
  <c r="E3" i="3" s="1"/>
  <c r="E56" i="3" s="1"/>
  <c r="E57" i="3" s="1"/>
  <c r="E2" i="2"/>
  <c r="F2" i="2"/>
  <c r="G2" i="2"/>
  <c r="H2" i="2"/>
  <c r="I2" i="2"/>
  <c r="J2" i="2"/>
  <c r="L2" i="2"/>
  <c r="L2" i="38"/>
  <c r="L3" i="38" s="1"/>
  <c r="L56" i="38" s="1"/>
  <c r="L57" i="38" s="1"/>
  <c r="J2" i="38"/>
  <c r="J3" i="38" s="1"/>
  <c r="J56" i="38" s="1"/>
  <c r="J57" i="38" s="1"/>
  <c r="I36" i="5" s="1"/>
  <c r="I2" i="38"/>
  <c r="I3" i="38" s="1"/>
  <c r="I56" i="38" s="1"/>
  <c r="I57" i="38" s="1"/>
  <c r="H36" i="5" s="1"/>
  <c r="H2" i="38"/>
  <c r="H3" i="38" s="1"/>
  <c r="H56" i="38" s="1"/>
  <c r="H57" i="38" s="1"/>
  <c r="G36" i="5" s="1"/>
  <c r="G2" i="38"/>
  <c r="G3" i="38" s="1"/>
  <c r="G56" i="38" s="1"/>
  <c r="G57" i="38" s="1"/>
  <c r="F36" i="5" s="1"/>
  <c r="F2" i="38"/>
  <c r="F3" i="38" s="1"/>
  <c r="F56" i="38" s="1"/>
  <c r="E2" i="38"/>
  <c r="E3" i="38" s="1"/>
  <c r="E56" i="38" s="1"/>
  <c r="L2" i="37"/>
  <c r="L3" i="37" s="1"/>
  <c r="L56" i="37" s="1"/>
  <c r="L57" i="37" s="1"/>
  <c r="J2" i="37"/>
  <c r="J3" i="37" s="1"/>
  <c r="J56" i="37" s="1"/>
  <c r="J57" i="37" s="1"/>
  <c r="I35" i="5" s="1"/>
  <c r="I2" i="37"/>
  <c r="I3" i="37" s="1"/>
  <c r="I56" i="37" s="1"/>
  <c r="I57" i="37" s="1"/>
  <c r="H35" i="5" s="1"/>
  <c r="H2" i="37"/>
  <c r="H3" i="37" s="1"/>
  <c r="H56" i="37" s="1"/>
  <c r="H57" i="37" s="1"/>
  <c r="G35" i="5" s="1"/>
  <c r="G2" i="37"/>
  <c r="F2" i="37"/>
  <c r="F3" i="37" s="1"/>
  <c r="F56" i="37" s="1"/>
  <c r="F57" i="37" s="1"/>
  <c r="E35" i="5" s="1"/>
  <c r="E2" i="37"/>
  <c r="E3" i="37" s="1"/>
  <c r="E56" i="37" s="1"/>
  <c r="E57" i="37" s="1"/>
  <c r="D35" i="5" s="1"/>
  <c r="L2" i="36"/>
  <c r="L3" i="36" s="1"/>
  <c r="L56" i="36" s="1"/>
  <c r="L57" i="36" s="1"/>
  <c r="J2" i="36"/>
  <c r="J3" i="36" s="1"/>
  <c r="J56" i="36" s="1"/>
  <c r="J57" i="36" s="1"/>
  <c r="I34" i="5" s="1"/>
  <c r="I2" i="36"/>
  <c r="I3" i="36" s="1"/>
  <c r="I56" i="36" s="1"/>
  <c r="H113" i="5" s="1"/>
  <c r="H2" i="36"/>
  <c r="H3" i="36" s="1"/>
  <c r="H56" i="36" s="1"/>
  <c r="H57" i="36" s="1"/>
  <c r="G34" i="5" s="1"/>
  <c r="G2" i="36"/>
  <c r="G3" i="36" s="1"/>
  <c r="G56" i="36" s="1"/>
  <c r="F113" i="5" s="1"/>
  <c r="F2" i="36"/>
  <c r="F3" i="36" s="1"/>
  <c r="F56" i="36" s="1"/>
  <c r="E2" i="36"/>
  <c r="E3" i="36" s="1"/>
  <c r="E56" i="36" s="1"/>
  <c r="D113" i="5" s="1"/>
  <c r="L2" i="35"/>
  <c r="L3" i="35" s="1"/>
  <c r="L56" i="35" s="1"/>
  <c r="L57" i="35" s="1"/>
  <c r="J2" i="35"/>
  <c r="J3" i="35" s="1"/>
  <c r="J56" i="35" s="1"/>
  <c r="J57" i="35" s="1"/>
  <c r="I33" i="5" s="1"/>
  <c r="I2" i="35"/>
  <c r="I3" i="35" s="1"/>
  <c r="I56" i="35" s="1"/>
  <c r="H112" i="5" s="1"/>
  <c r="H2" i="35"/>
  <c r="H3" i="35" s="1"/>
  <c r="H56" i="35" s="1"/>
  <c r="G2" i="35"/>
  <c r="G3" i="35" s="1"/>
  <c r="G56" i="35" s="1"/>
  <c r="G57" i="35" s="1"/>
  <c r="F33" i="5" s="1"/>
  <c r="F2" i="35"/>
  <c r="F3" i="35" s="1"/>
  <c r="F56" i="35" s="1"/>
  <c r="F57" i="35" s="1"/>
  <c r="E33" i="5" s="1"/>
  <c r="E2" i="35"/>
  <c r="E3" i="35" s="1"/>
  <c r="E56" i="35" s="1"/>
  <c r="E57" i="35" s="1"/>
  <c r="D33" i="5" s="1"/>
  <c r="L2" i="34"/>
  <c r="L3" i="34" s="1"/>
  <c r="L56" i="34" s="1"/>
  <c r="L57" i="34" s="1"/>
  <c r="J2" i="34"/>
  <c r="J3" i="34" s="1"/>
  <c r="J56" i="34" s="1"/>
  <c r="I2" i="34"/>
  <c r="I3" i="34" s="1"/>
  <c r="I56" i="34" s="1"/>
  <c r="I57" i="34" s="1"/>
  <c r="H32" i="5" s="1"/>
  <c r="H2" i="34"/>
  <c r="H3" i="34" s="1"/>
  <c r="H56" i="34" s="1"/>
  <c r="G2" i="34"/>
  <c r="G3" i="34" s="1"/>
  <c r="G56" i="34" s="1"/>
  <c r="G57" i="34" s="1"/>
  <c r="F32" i="5" s="1"/>
  <c r="F2" i="34"/>
  <c r="F3" i="34" s="1"/>
  <c r="F56" i="34" s="1"/>
  <c r="F57" i="34" s="1"/>
  <c r="E32" i="5" s="1"/>
  <c r="E2" i="34"/>
  <c r="E3" i="34" s="1"/>
  <c r="E56" i="34" s="1"/>
  <c r="L2" i="33"/>
  <c r="L3" i="33" s="1"/>
  <c r="L56" i="33" s="1"/>
  <c r="L57" i="33" s="1"/>
  <c r="J2" i="33"/>
  <c r="J3" i="33" s="1"/>
  <c r="J56" i="33" s="1"/>
  <c r="J57" i="33" s="1"/>
  <c r="I31" i="5" s="1"/>
  <c r="I2" i="33"/>
  <c r="I3" i="33" s="1"/>
  <c r="I56" i="33" s="1"/>
  <c r="H2" i="33"/>
  <c r="H3" i="33" s="1"/>
  <c r="H56" i="33" s="1"/>
  <c r="H57" i="33" s="1"/>
  <c r="G31" i="5" s="1"/>
  <c r="G2" i="33"/>
  <c r="G3" i="33" s="1"/>
  <c r="G56" i="33" s="1"/>
  <c r="F2" i="33"/>
  <c r="F3" i="33" s="1"/>
  <c r="F56" i="33" s="1"/>
  <c r="F57" i="33" s="1"/>
  <c r="E31" i="5" s="1"/>
  <c r="E2" i="33"/>
  <c r="E3" i="33" s="1"/>
  <c r="E56" i="33" s="1"/>
  <c r="D110" i="5" s="1"/>
  <c r="L2" i="32"/>
  <c r="L3" i="32" s="1"/>
  <c r="L56" i="32" s="1"/>
  <c r="L57" i="32" s="1"/>
  <c r="J2" i="32"/>
  <c r="J3" i="32" s="1"/>
  <c r="J56" i="32" s="1"/>
  <c r="J57" i="32" s="1"/>
  <c r="I30" i="5" s="1"/>
  <c r="I2" i="32"/>
  <c r="I3" i="32" s="1"/>
  <c r="I56" i="32" s="1"/>
  <c r="H2" i="32"/>
  <c r="H3" i="32" s="1"/>
  <c r="H56" i="32" s="1"/>
  <c r="H57" i="32" s="1"/>
  <c r="G30" i="5" s="1"/>
  <c r="G2" i="32"/>
  <c r="G3" i="32" s="1"/>
  <c r="G56" i="32" s="1"/>
  <c r="G57" i="32" s="1"/>
  <c r="F30" i="5" s="1"/>
  <c r="F2" i="32"/>
  <c r="F3" i="32" s="1"/>
  <c r="F56" i="32" s="1"/>
  <c r="F57" i="32" s="1"/>
  <c r="E30" i="5" s="1"/>
  <c r="E2" i="32"/>
  <c r="E3" i="32" s="1"/>
  <c r="E56" i="32" s="1"/>
  <c r="D109" i="5" s="1"/>
  <c r="L2" i="31"/>
  <c r="L3" i="31" s="1"/>
  <c r="L56" i="31" s="1"/>
  <c r="L57" i="31" s="1"/>
  <c r="J2" i="31"/>
  <c r="J3" i="31" s="1"/>
  <c r="J56" i="31" s="1"/>
  <c r="J57" i="31" s="1"/>
  <c r="I29" i="5" s="1"/>
  <c r="I2" i="31"/>
  <c r="I3" i="31" s="1"/>
  <c r="I56" i="31" s="1"/>
  <c r="I57" i="31" s="1"/>
  <c r="H29" i="5" s="1"/>
  <c r="H2" i="31"/>
  <c r="H3" i="31" s="1"/>
  <c r="H56" i="31" s="1"/>
  <c r="H57" i="31" s="1"/>
  <c r="G29" i="5" s="1"/>
  <c r="G2" i="31"/>
  <c r="G3" i="31" s="1"/>
  <c r="G56" i="31" s="1"/>
  <c r="G57" i="31" s="1"/>
  <c r="F29" i="5" s="1"/>
  <c r="F2" i="31"/>
  <c r="F3" i="31" s="1"/>
  <c r="F56" i="31" s="1"/>
  <c r="E2" i="31"/>
  <c r="E3" i="31" s="1"/>
  <c r="L2" i="30"/>
  <c r="L3" i="30" s="1"/>
  <c r="L56" i="30" s="1"/>
  <c r="L57" i="30" s="1"/>
  <c r="K28" i="5" s="1"/>
  <c r="J2" i="30"/>
  <c r="J3" i="30" s="1"/>
  <c r="J56" i="30" s="1"/>
  <c r="I2" i="30"/>
  <c r="I3" i="30" s="1"/>
  <c r="I56" i="30" s="1"/>
  <c r="I57" i="30" s="1"/>
  <c r="H2" i="30"/>
  <c r="H3" i="30" s="1"/>
  <c r="H56" i="30" s="1"/>
  <c r="G2" i="30"/>
  <c r="G3" i="30" s="1"/>
  <c r="G56" i="30" s="1"/>
  <c r="F2" i="30"/>
  <c r="F3" i="30" s="1"/>
  <c r="F56" i="30" s="1"/>
  <c r="E2" i="30"/>
  <c r="E3" i="30" s="1"/>
  <c r="E56" i="30" s="1"/>
  <c r="J2" i="29"/>
  <c r="J3" i="29" s="1"/>
  <c r="I2" i="29"/>
  <c r="I3" i="29" s="1"/>
  <c r="H2" i="29"/>
  <c r="H3" i="29" s="1"/>
  <c r="H57" i="29" s="1"/>
  <c r="G27" i="5" s="1"/>
  <c r="G2" i="29"/>
  <c r="G3" i="29" s="1"/>
  <c r="F2" i="29"/>
  <c r="F3" i="29" s="1"/>
  <c r="E2" i="29"/>
  <c r="E3" i="29" s="1"/>
  <c r="E56" i="29" s="1"/>
  <c r="D106" i="5" s="1"/>
  <c r="J2" i="28"/>
  <c r="J3" i="28" s="1"/>
  <c r="J56" i="28" s="1"/>
  <c r="I105" i="5" s="1"/>
  <c r="I2" i="28"/>
  <c r="I3" i="28" s="1"/>
  <c r="I56" i="28" s="1"/>
  <c r="I57" i="28" s="1"/>
  <c r="H26" i="5" s="1"/>
  <c r="H2" i="28"/>
  <c r="H3" i="28" s="1"/>
  <c r="H56" i="28" s="1"/>
  <c r="H57" i="28" s="1"/>
  <c r="G26" i="5" s="1"/>
  <c r="G2" i="28"/>
  <c r="F2" i="28"/>
  <c r="F3" i="28" s="1"/>
  <c r="F56" i="28" s="1"/>
  <c r="E105" i="5" s="1"/>
  <c r="E2" i="28"/>
  <c r="E3" i="28" s="1"/>
  <c r="E56" i="28" s="1"/>
  <c r="D105" i="5" s="1"/>
  <c r="J2" i="27"/>
  <c r="J3" i="27" s="1"/>
  <c r="J56" i="27" s="1"/>
  <c r="J57" i="27" s="1"/>
  <c r="I25" i="5" s="1"/>
  <c r="I2" i="27"/>
  <c r="I3" i="27" s="1"/>
  <c r="I56" i="27" s="1"/>
  <c r="I57" i="27" s="1"/>
  <c r="H25" i="5" s="1"/>
  <c r="E2" i="27"/>
  <c r="E3" i="27" s="1"/>
  <c r="E56" i="27" s="1"/>
  <c r="J2" i="26"/>
  <c r="J3" i="26" s="1"/>
  <c r="J56" i="26" s="1"/>
  <c r="J57" i="26" s="1"/>
  <c r="I24" i="5" s="1"/>
  <c r="I2" i="26"/>
  <c r="I3" i="26" s="1"/>
  <c r="I56" i="26" s="1"/>
  <c r="I57" i="26" s="1"/>
  <c r="H24" i="5" s="1"/>
  <c r="E2" i="26"/>
  <c r="E3" i="26" s="1"/>
  <c r="E56" i="26" s="1"/>
  <c r="E57" i="26" s="1"/>
  <c r="D24" i="5" s="1"/>
  <c r="J2" i="25"/>
  <c r="J3" i="25" s="1"/>
  <c r="J56" i="25" s="1"/>
  <c r="J57" i="25" s="1"/>
  <c r="I23" i="5" s="1"/>
  <c r="I2" i="25"/>
  <c r="I3" i="25" s="1"/>
  <c r="I56" i="25" s="1"/>
  <c r="E2" i="25"/>
  <c r="E3" i="25" s="1"/>
  <c r="E56" i="25" s="1"/>
  <c r="E57" i="25" s="1"/>
  <c r="D23" i="5" s="1"/>
  <c r="J2" i="24"/>
  <c r="J3" i="24" s="1"/>
  <c r="J56" i="24" s="1"/>
  <c r="J57" i="24" s="1"/>
  <c r="I22" i="5" s="1"/>
  <c r="I2" i="24"/>
  <c r="I3" i="24" s="1"/>
  <c r="I56" i="24" s="1"/>
  <c r="E2" i="24"/>
  <c r="E3" i="24" s="1"/>
  <c r="E56" i="24" s="1"/>
  <c r="J2" i="23"/>
  <c r="J3" i="23" s="1"/>
  <c r="J56" i="23" s="1"/>
  <c r="J57" i="23" s="1"/>
  <c r="I21" i="5" s="1"/>
  <c r="I2" i="23"/>
  <c r="I3" i="23" s="1"/>
  <c r="I56" i="23" s="1"/>
  <c r="H100" i="5" s="1"/>
  <c r="E2" i="23"/>
  <c r="E3" i="23" s="1"/>
  <c r="E56" i="23" s="1"/>
  <c r="E57" i="23" s="1"/>
  <c r="D21" i="5" s="1"/>
  <c r="L3" i="1"/>
  <c r="L56" i="1" s="1"/>
  <c r="L57" i="1" s="1"/>
  <c r="K2" i="5" s="1"/>
  <c r="K3" i="1"/>
  <c r="K56" i="1" s="1"/>
  <c r="J3" i="1"/>
  <c r="J56" i="1" s="1"/>
  <c r="J57" i="1" s="1"/>
  <c r="I2" i="5" s="1"/>
  <c r="I3" i="1"/>
  <c r="I56" i="1" s="1"/>
  <c r="I57" i="1" s="1"/>
  <c r="H2" i="5" s="1"/>
  <c r="H3" i="1"/>
  <c r="H56" i="1" s="1"/>
  <c r="H57" i="1" s="1"/>
  <c r="G2" i="5" s="1"/>
  <c r="G3" i="1"/>
  <c r="G56" i="1" s="1"/>
  <c r="G57" i="1" s="1"/>
  <c r="F2" i="5" s="1"/>
  <c r="F3" i="1"/>
  <c r="F56" i="1" s="1"/>
  <c r="F57" i="1" s="1"/>
  <c r="E2" i="5" s="1"/>
  <c r="E3" i="1"/>
  <c r="E56" i="1" s="1"/>
  <c r="E57" i="1" s="1"/>
  <c r="D2" i="5" s="1"/>
  <c r="L3" i="29"/>
  <c r="L57" i="29" s="1"/>
  <c r="L3" i="28"/>
  <c r="L56" i="28" s="1"/>
  <c r="L57" i="28" s="1"/>
  <c r="G3" i="28"/>
  <c r="G56" i="28" s="1"/>
  <c r="G57" i="28" s="1"/>
  <c r="F26" i="5" s="1"/>
  <c r="L3" i="27"/>
  <c r="L56" i="27" s="1"/>
  <c r="L57" i="27" s="1"/>
  <c r="H3" i="27"/>
  <c r="H56" i="27" s="1"/>
  <c r="G3" i="27"/>
  <c r="G56" i="27" s="1"/>
  <c r="G57" i="27" s="1"/>
  <c r="F25" i="5" s="1"/>
  <c r="F3" i="27"/>
  <c r="F56" i="27" s="1"/>
  <c r="E104" i="5" s="1"/>
  <c r="L3" i="26"/>
  <c r="L56" i="26" s="1"/>
  <c r="L57" i="26" s="1"/>
  <c r="H3" i="26"/>
  <c r="H56" i="26" s="1"/>
  <c r="G103" i="5" s="1"/>
  <c r="G3" i="26"/>
  <c r="G56" i="26" s="1"/>
  <c r="G57" i="26" s="1"/>
  <c r="F24" i="5" s="1"/>
  <c r="F3" i="26"/>
  <c r="F56" i="26" s="1"/>
  <c r="F57" i="26" s="1"/>
  <c r="E24" i="5" s="1"/>
  <c r="L3" i="25"/>
  <c r="L56" i="25" s="1"/>
  <c r="L57" i="25" s="1"/>
  <c r="H3" i="25"/>
  <c r="H56" i="25" s="1"/>
  <c r="G3" i="25"/>
  <c r="G56" i="25" s="1"/>
  <c r="F102" i="5" s="1"/>
  <c r="F3" i="25"/>
  <c r="F56" i="25" s="1"/>
  <c r="E102" i="5" s="1"/>
  <c r="L3" i="24"/>
  <c r="L56" i="24" s="1"/>
  <c r="L57" i="24" s="1"/>
  <c r="H3" i="24"/>
  <c r="H56" i="24" s="1"/>
  <c r="H57" i="24" s="1"/>
  <c r="G22" i="5" s="1"/>
  <c r="G3" i="24"/>
  <c r="G56" i="24" s="1"/>
  <c r="G57" i="24" s="1"/>
  <c r="F22" i="5" s="1"/>
  <c r="F3" i="24"/>
  <c r="F56" i="24" s="1"/>
  <c r="F57" i="24" s="1"/>
  <c r="E22" i="5" s="1"/>
  <c r="L3" i="23"/>
  <c r="L56" i="23" s="1"/>
  <c r="L57" i="23" s="1"/>
  <c r="H3" i="23"/>
  <c r="H56" i="23" s="1"/>
  <c r="H57" i="23" s="1"/>
  <c r="G21" i="5" s="1"/>
  <c r="G3" i="23"/>
  <c r="G56" i="23" s="1"/>
  <c r="F3" i="23"/>
  <c r="F56" i="23" s="1"/>
  <c r="F57" i="23" s="1"/>
  <c r="E21" i="5" s="1"/>
  <c r="L3" i="22"/>
  <c r="L56" i="22" s="1"/>
  <c r="L57" i="22" s="1"/>
  <c r="G3" i="20"/>
  <c r="G56" i="20" s="1"/>
  <c r="G57" i="20" s="1"/>
  <c r="F18" i="5" s="1"/>
  <c r="L3" i="19"/>
  <c r="L56" i="19" s="1"/>
  <c r="L57" i="19" s="1"/>
  <c r="H3" i="18"/>
  <c r="H56" i="18" s="1"/>
  <c r="H57" i="18" s="1"/>
  <c r="G16" i="5" s="1"/>
  <c r="G3" i="17"/>
  <c r="G56" i="17" s="1"/>
  <c r="G57" i="17" s="1"/>
  <c r="F15" i="5" s="1"/>
  <c r="F3" i="15"/>
  <c r="F56" i="15" s="1"/>
  <c r="F57" i="15" s="1"/>
  <c r="E13" i="5" s="1"/>
  <c r="G3" i="14"/>
  <c r="G56" i="14" s="1"/>
  <c r="G57" i="14" s="1"/>
  <c r="F12" i="5" s="1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J110" i="38"/>
  <c r="I77" i="5" s="1"/>
  <c r="I110" i="38"/>
  <c r="H77" i="5" s="1"/>
  <c r="H110" i="38"/>
  <c r="G77" i="5" s="1"/>
  <c r="G110" i="38"/>
  <c r="F77" i="5" s="1"/>
  <c r="F110" i="38"/>
  <c r="E77" i="5" s="1"/>
  <c r="E110" i="38"/>
  <c r="D77" i="5" s="1"/>
  <c r="D110" i="38"/>
  <c r="C77" i="5" s="1"/>
  <c r="C110" i="38"/>
  <c r="B77" i="5" s="1"/>
  <c r="B109" i="38"/>
  <c r="A109" i="38"/>
  <c r="B108" i="38"/>
  <c r="A108" i="38"/>
  <c r="B107" i="38"/>
  <c r="A107" i="38"/>
  <c r="B106" i="38"/>
  <c r="A106" i="38"/>
  <c r="B105" i="38"/>
  <c r="A105" i="38"/>
  <c r="B104" i="38"/>
  <c r="A104" i="38"/>
  <c r="B103" i="38"/>
  <c r="A103" i="38"/>
  <c r="B102" i="38"/>
  <c r="A102" i="38"/>
  <c r="B101" i="38"/>
  <c r="A101" i="38"/>
  <c r="B100" i="38"/>
  <c r="A100" i="38"/>
  <c r="B99" i="38"/>
  <c r="A99" i="38"/>
  <c r="B98" i="38"/>
  <c r="A98" i="38"/>
  <c r="B97" i="38"/>
  <c r="A97" i="38"/>
  <c r="B96" i="38"/>
  <c r="A96" i="38"/>
  <c r="B95" i="38"/>
  <c r="A95" i="38"/>
  <c r="B94" i="38"/>
  <c r="A94" i="38"/>
  <c r="B93" i="38"/>
  <c r="A93" i="38"/>
  <c r="B92" i="38"/>
  <c r="A92" i="38"/>
  <c r="B91" i="38"/>
  <c r="A91" i="38"/>
  <c r="B90" i="38"/>
  <c r="A90" i="38"/>
  <c r="B89" i="38"/>
  <c r="A89" i="38"/>
  <c r="B88" i="38"/>
  <c r="A88" i="38"/>
  <c r="B87" i="38"/>
  <c r="A87" i="38"/>
  <c r="B86" i="38"/>
  <c r="A86" i="38"/>
  <c r="B85" i="38"/>
  <c r="A85" i="38"/>
  <c r="B84" i="38"/>
  <c r="A84" i="38"/>
  <c r="B83" i="38"/>
  <c r="A83" i="38"/>
  <c r="B82" i="38"/>
  <c r="A82" i="38"/>
  <c r="B81" i="38"/>
  <c r="A81" i="38"/>
  <c r="B80" i="38"/>
  <c r="A80" i="38"/>
  <c r="B79" i="38"/>
  <c r="A79" i="38"/>
  <c r="B78" i="38"/>
  <c r="A78" i="38"/>
  <c r="B77" i="38"/>
  <c r="A77" i="38"/>
  <c r="B76" i="38"/>
  <c r="A76" i="38"/>
  <c r="B75" i="38"/>
  <c r="A75" i="38"/>
  <c r="B74" i="38"/>
  <c r="A74" i="38"/>
  <c r="B73" i="38"/>
  <c r="A73" i="38"/>
  <c r="B72" i="38"/>
  <c r="A72" i="38"/>
  <c r="B71" i="38"/>
  <c r="A71" i="38"/>
  <c r="B70" i="38"/>
  <c r="A70" i="38"/>
  <c r="B69" i="38"/>
  <c r="A69" i="38"/>
  <c r="B68" i="38"/>
  <c r="A68" i="38"/>
  <c r="B67" i="38"/>
  <c r="A67" i="38"/>
  <c r="B66" i="38"/>
  <c r="A66" i="38"/>
  <c r="B65" i="38"/>
  <c r="A65" i="38"/>
  <c r="B64" i="38"/>
  <c r="A64" i="38"/>
  <c r="B63" i="38"/>
  <c r="A63" i="38"/>
  <c r="B62" i="38"/>
  <c r="A62" i="38"/>
  <c r="B61" i="38"/>
  <c r="A61" i="38"/>
  <c r="B60" i="38"/>
  <c r="A60" i="38"/>
  <c r="M57" i="38"/>
  <c r="D57" i="38"/>
  <c r="C36" i="5" s="1"/>
  <c r="C55" i="38"/>
  <c r="J110" i="37"/>
  <c r="I76" i="5" s="1"/>
  <c r="I110" i="37"/>
  <c r="H76" i="5" s="1"/>
  <c r="H110" i="37"/>
  <c r="G76" i="5" s="1"/>
  <c r="G110" i="37"/>
  <c r="F76" i="5" s="1"/>
  <c r="F110" i="37"/>
  <c r="E76" i="5" s="1"/>
  <c r="E110" i="37"/>
  <c r="D76" i="5" s="1"/>
  <c r="D110" i="37"/>
  <c r="C76" i="5" s="1"/>
  <c r="C110" i="37"/>
  <c r="B76" i="5" s="1"/>
  <c r="B109" i="37"/>
  <c r="A109" i="37"/>
  <c r="B108" i="37"/>
  <c r="A108" i="37"/>
  <c r="B107" i="37"/>
  <c r="A107" i="37"/>
  <c r="B106" i="37"/>
  <c r="A106" i="37"/>
  <c r="B105" i="37"/>
  <c r="A105" i="37"/>
  <c r="B104" i="37"/>
  <c r="A104" i="37"/>
  <c r="B103" i="37"/>
  <c r="A103" i="37"/>
  <c r="B102" i="37"/>
  <c r="A102" i="37"/>
  <c r="B101" i="37"/>
  <c r="A101" i="37"/>
  <c r="B100" i="37"/>
  <c r="A100" i="37"/>
  <c r="B99" i="37"/>
  <c r="A99" i="37"/>
  <c r="B98" i="37"/>
  <c r="A98" i="37"/>
  <c r="B97" i="37"/>
  <c r="A97" i="37"/>
  <c r="B96" i="37"/>
  <c r="A96" i="37"/>
  <c r="B95" i="37"/>
  <c r="A95" i="37"/>
  <c r="B94" i="37"/>
  <c r="A94" i="37"/>
  <c r="B93" i="37"/>
  <c r="A93" i="37"/>
  <c r="B92" i="37"/>
  <c r="A92" i="37"/>
  <c r="B91" i="37"/>
  <c r="A91" i="37"/>
  <c r="B90" i="37"/>
  <c r="A90" i="37"/>
  <c r="B89" i="37"/>
  <c r="A89" i="37"/>
  <c r="B88" i="37"/>
  <c r="A88" i="37"/>
  <c r="B87" i="37"/>
  <c r="A87" i="37"/>
  <c r="B86" i="37"/>
  <c r="A86" i="37"/>
  <c r="B85" i="37"/>
  <c r="A85" i="37"/>
  <c r="B84" i="37"/>
  <c r="A84" i="37"/>
  <c r="B83" i="37"/>
  <c r="A83" i="37"/>
  <c r="B82" i="37"/>
  <c r="A82" i="37"/>
  <c r="B81" i="37"/>
  <c r="A81" i="37"/>
  <c r="B80" i="37"/>
  <c r="A80" i="37"/>
  <c r="B79" i="37"/>
  <c r="A79" i="37"/>
  <c r="B78" i="37"/>
  <c r="A78" i="37"/>
  <c r="B77" i="37"/>
  <c r="A77" i="37"/>
  <c r="B76" i="37"/>
  <c r="A76" i="37"/>
  <c r="B75" i="37"/>
  <c r="A75" i="37"/>
  <c r="B74" i="37"/>
  <c r="A74" i="37"/>
  <c r="B73" i="37"/>
  <c r="A73" i="37"/>
  <c r="B72" i="37"/>
  <c r="A72" i="37"/>
  <c r="B71" i="37"/>
  <c r="A71" i="37"/>
  <c r="B70" i="37"/>
  <c r="A70" i="37"/>
  <c r="B69" i="37"/>
  <c r="A69" i="37"/>
  <c r="B68" i="37"/>
  <c r="A68" i="37"/>
  <c r="B67" i="37"/>
  <c r="A67" i="37"/>
  <c r="B66" i="37"/>
  <c r="A66" i="37"/>
  <c r="B65" i="37"/>
  <c r="A65" i="37"/>
  <c r="B64" i="37"/>
  <c r="A64" i="37"/>
  <c r="B63" i="37"/>
  <c r="A63" i="37"/>
  <c r="B62" i="37"/>
  <c r="A62" i="37"/>
  <c r="B61" i="37"/>
  <c r="A61" i="37"/>
  <c r="B60" i="37"/>
  <c r="A60" i="37"/>
  <c r="M57" i="37"/>
  <c r="D57" i="37"/>
  <c r="C35" i="5" s="1"/>
  <c r="C55" i="37"/>
  <c r="J110" i="36"/>
  <c r="I75" i="5" s="1"/>
  <c r="I110" i="36"/>
  <c r="H75" i="5" s="1"/>
  <c r="H110" i="36"/>
  <c r="G75" i="5" s="1"/>
  <c r="G110" i="36"/>
  <c r="F75" i="5" s="1"/>
  <c r="F110" i="36"/>
  <c r="E75" i="5" s="1"/>
  <c r="E110" i="36"/>
  <c r="D75" i="5" s="1"/>
  <c r="D110" i="36"/>
  <c r="C75" i="5" s="1"/>
  <c r="C110" i="36"/>
  <c r="B75" i="5" s="1"/>
  <c r="B109" i="36"/>
  <c r="A109" i="36"/>
  <c r="B108" i="36"/>
  <c r="A108" i="36"/>
  <c r="B107" i="36"/>
  <c r="A107" i="36"/>
  <c r="B106" i="36"/>
  <c r="A106" i="36"/>
  <c r="B105" i="36"/>
  <c r="A105" i="36"/>
  <c r="B104" i="36"/>
  <c r="A104" i="36"/>
  <c r="B103" i="36"/>
  <c r="A103" i="36"/>
  <c r="B102" i="36"/>
  <c r="A102" i="36"/>
  <c r="B101" i="36"/>
  <c r="A101" i="36"/>
  <c r="B100" i="36"/>
  <c r="A100" i="36"/>
  <c r="B99" i="36"/>
  <c r="A99" i="36"/>
  <c r="B98" i="36"/>
  <c r="A98" i="36"/>
  <c r="B97" i="36"/>
  <c r="A97" i="36"/>
  <c r="B96" i="36"/>
  <c r="A96" i="36"/>
  <c r="B95" i="36"/>
  <c r="A95" i="36"/>
  <c r="B94" i="36"/>
  <c r="A94" i="36"/>
  <c r="B93" i="36"/>
  <c r="A93" i="36"/>
  <c r="B92" i="36"/>
  <c r="A92" i="36"/>
  <c r="B91" i="36"/>
  <c r="A91" i="36"/>
  <c r="B90" i="36"/>
  <c r="A90" i="36"/>
  <c r="B89" i="36"/>
  <c r="A89" i="36"/>
  <c r="B88" i="36"/>
  <c r="A88" i="36"/>
  <c r="B87" i="36"/>
  <c r="A87" i="36"/>
  <c r="B86" i="36"/>
  <c r="A86" i="36"/>
  <c r="B85" i="36"/>
  <c r="A85" i="36"/>
  <c r="B84" i="36"/>
  <c r="A84" i="36"/>
  <c r="B83" i="36"/>
  <c r="A83" i="36"/>
  <c r="B82" i="36"/>
  <c r="A82" i="36"/>
  <c r="B81" i="36"/>
  <c r="A81" i="36"/>
  <c r="B80" i="36"/>
  <c r="A80" i="36"/>
  <c r="B79" i="36"/>
  <c r="A79" i="36"/>
  <c r="B78" i="36"/>
  <c r="A78" i="36"/>
  <c r="B77" i="36"/>
  <c r="A77" i="36"/>
  <c r="B76" i="36"/>
  <c r="A76" i="36"/>
  <c r="B75" i="36"/>
  <c r="A75" i="36"/>
  <c r="B74" i="36"/>
  <c r="A74" i="36"/>
  <c r="B73" i="36"/>
  <c r="A73" i="36"/>
  <c r="B72" i="36"/>
  <c r="A72" i="36"/>
  <c r="B71" i="36"/>
  <c r="A71" i="36"/>
  <c r="B70" i="36"/>
  <c r="A70" i="36"/>
  <c r="B69" i="36"/>
  <c r="A69" i="36"/>
  <c r="B68" i="36"/>
  <c r="A68" i="36"/>
  <c r="B67" i="36"/>
  <c r="A67" i="36"/>
  <c r="B66" i="36"/>
  <c r="A66" i="36"/>
  <c r="B65" i="36"/>
  <c r="A65" i="36"/>
  <c r="B64" i="36"/>
  <c r="A64" i="36"/>
  <c r="B63" i="36"/>
  <c r="A63" i="36"/>
  <c r="B62" i="36"/>
  <c r="A62" i="36"/>
  <c r="B61" i="36"/>
  <c r="A61" i="36"/>
  <c r="B60" i="36"/>
  <c r="A60" i="36"/>
  <c r="M57" i="36"/>
  <c r="D57" i="36"/>
  <c r="C34" i="5" s="1"/>
  <c r="C55" i="36"/>
  <c r="J110" i="35"/>
  <c r="I74" i="5" s="1"/>
  <c r="I110" i="35"/>
  <c r="H74" i="5" s="1"/>
  <c r="H110" i="35"/>
  <c r="G74" i="5" s="1"/>
  <c r="G110" i="35"/>
  <c r="F74" i="5" s="1"/>
  <c r="F110" i="35"/>
  <c r="E74" i="5" s="1"/>
  <c r="E110" i="35"/>
  <c r="D74" i="5" s="1"/>
  <c r="D110" i="35"/>
  <c r="C74" i="5" s="1"/>
  <c r="C110" i="35"/>
  <c r="B74" i="5" s="1"/>
  <c r="B109" i="35"/>
  <c r="A109" i="35"/>
  <c r="B108" i="35"/>
  <c r="A108" i="35"/>
  <c r="B107" i="35"/>
  <c r="A107" i="35"/>
  <c r="B106" i="35"/>
  <c r="A106" i="35"/>
  <c r="B105" i="35"/>
  <c r="A105" i="35"/>
  <c r="B104" i="35"/>
  <c r="A104" i="35"/>
  <c r="B103" i="35"/>
  <c r="A103" i="35"/>
  <c r="B102" i="35"/>
  <c r="A102" i="35"/>
  <c r="B101" i="35"/>
  <c r="A101" i="35"/>
  <c r="B100" i="35"/>
  <c r="A100" i="35"/>
  <c r="B99" i="35"/>
  <c r="A99" i="35"/>
  <c r="B98" i="35"/>
  <c r="A98" i="35"/>
  <c r="B97" i="35"/>
  <c r="A97" i="35"/>
  <c r="B96" i="35"/>
  <c r="A96" i="35"/>
  <c r="B95" i="35"/>
  <c r="A95" i="35"/>
  <c r="B94" i="35"/>
  <c r="A94" i="35"/>
  <c r="B93" i="35"/>
  <c r="A93" i="35"/>
  <c r="B92" i="35"/>
  <c r="A92" i="35"/>
  <c r="B91" i="35"/>
  <c r="A91" i="35"/>
  <c r="B90" i="35"/>
  <c r="A90" i="35"/>
  <c r="B89" i="35"/>
  <c r="A89" i="35"/>
  <c r="B88" i="35"/>
  <c r="A88" i="35"/>
  <c r="B87" i="35"/>
  <c r="A87" i="35"/>
  <c r="B86" i="35"/>
  <c r="A86" i="35"/>
  <c r="B85" i="35"/>
  <c r="A85" i="35"/>
  <c r="B84" i="35"/>
  <c r="A84" i="35"/>
  <c r="B83" i="35"/>
  <c r="A83" i="35"/>
  <c r="B82" i="35"/>
  <c r="A82" i="35"/>
  <c r="B81" i="35"/>
  <c r="A81" i="35"/>
  <c r="B80" i="35"/>
  <c r="A80" i="35"/>
  <c r="B79" i="35"/>
  <c r="A79" i="35"/>
  <c r="B78" i="35"/>
  <c r="A78" i="35"/>
  <c r="B77" i="35"/>
  <c r="A77" i="35"/>
  <c r="B76" i="35"/>
  <c r="A76" i="35"/>
  <c r="B75" i="35"/>
  <c r="A75" i="35"/>
  <c r="B74" i="35"/>
  <c r="A74" i="35"/>
  <c r="B73" i="35"/>
  <c r="A73" i="35"/>
  <c r="B72" i="35"/>
  <c r="A72" i="35"/>
  <c r="B71" i="35"/>
  <c r="A71" i="35"/>
  <c r="B70" i="35"/>
  <c r="A70" i="35"/>
  <c r="B69" i="35"/>
  <c r="A69" i="35"/>
  <c r="B68" i="35"/>
  <c r="A68" i="35"/>
  <c r="B67" i="35"/>
  <c r="A67" i="35"/>
  <c r="B66" i="35"/>
  <c r="A66" i="35"/>
  <c r="B65" i="35"/>
  <c r="A65" i="35"/>
  <c r="B64" i="35"/>
  <c r="A64" i="35"/>
  <c r="B63" i="35"/>
  <c r="A63" i="35"/>
  <c r="B62" i="35"/>
  <c r="A62" i="35"/>
  <c r="B61" i="35"/>
  <c r="A61" i="35"/>
  <c r="B60" i="35"/>
  <c r="A60" i="35"/>
  <c r="M57" i="35"/>
  <c r="D57" i="35"/>
  <c r="C33" i="5" s="1"/>
  <c r="C55" i="35"/>
  <c r="J110" i="34"/>
  <c r="I73" i="5" s="1"/>
  <c r="I110" i="34"/>
  <c r="H73" i="5" s="1"/>
  <c r="H110" i="34"/>
  <c r="G73" i="5" s="1"/>
  <c r="G110" i="34"/>
  <c r="F73" i="5" s="1"/>
  <c r="F110" i="34"/>
  <c r="E73" i="5" s="1"/>
  <c r="E110" i="34"/>
  <c r="D73" i="5" s="1"/>
  <c r="D110" i="34"/>
  <c r="C73" i="5" s="1"/>
  <c r="C110" i="34"/>
  <c r="B73" i="5" s="1"/>
  <c r="B109" i="34"/>
  <c r="A109" i="34"/>
  <c r="B108" i="34"/>
  <c r="A108" i="34"/>
  <c r="B107" i="34"/>
  <c r="A107" i="34"/>
  <c r="B106" i="34"/>
  <c r="A106" i="34"/>
  <c r="B105" i="34"/>
  <c r="A105" i="34"/>
  <c r="B104" i="34"/>
  <c r="A104" i="34"/>
  <c r="B103" i="34"/>
  <c r="A103" i="34"/>
  <c r="B102" i="34"/>
  <c r="A102" i="34"/>
  <c r="B101" i="34"/>
  <c r="A101" i="34"/>
  <c r="B100" i="34"/>
  <c r="A100" i="34"/>
  <c r="B99" i="34"/>
  <c r="A99" i="34"/>
  <c r="B98" i="34"/>
  <c r="A98" i="34"/>
  <c r="B97" i="34"/>
  <c r="A97" i="34"/>
  <c r="B96" i="34"/>
  <c r="A96" i="34"/>
  <c r="B95" i="34"/>
  <c r="A95" i="34"/>
  <c r="B94" i="34"/>
  <c r="A94" i="34"/>
  <c r="B93" i="34"/>
  <c r="A93" i="34"/>
  <c r="B92" i="34"/>
  <c r="A92" i="34"/>
  <c r="B91" i="34"/>
  <c r="A91" i="34"/>
  <c r="B90" i="34"/>
  <c r="A90" i="34"/>
  <c r="B89" i="34"/>
  <c r="A89" i="34"/>
  <c r="B88" i="34"/>
  <c r="A88" i="34"/>
  <c r="B87" i="34"/>
  <c r="A87" i="34"/>
  <c r="B86" i="34"/>
  <c r="A86" i="34"/>
  <c r="B85" i="34"/>
  <c r="A85" i="34"/>
  <c r="B84" i="34"/>
  <c r="A84" i="34"/>
  <c r="B83" i="34"/>
  <c r="A83" i="34"/>
  <c r="B82" i="34"/>
  <c r="A82" i="34"/>
  <c r="B81" i="34"/>
  <c r="A81" i="34"/>
  <c r="B80" i="34"/>
  <c r="A80" i="34"/>
  <c r="B79" i="34"/>
  <c r="A79" i="34"/>
  <c r="B78" i="34"/>
  <c r="A78" i="34"/>
  <c r="B77" i="34"/>
  <c r="A77" i="34"/>
  <c r="B76" i="34"/>
  <c r="A76" i="34"/>
  <c r="B75" i="34"/>
  <c r="A75" i="34"/>
  <c r="B74" i="34"/>
  <c r="A74" i="34"/>
  <c r="B73" i="34"/>
  <c r="A73" i="34"/>
  <c r="B72" i="34"/>
  <c r="A72" i="34"/>
  <c r="B71" i="34"/>
  <c r="A71" i="34"/>
  <c r="B70" i="34"/>
  <c r="A70" i="34"/>
  <c r="B69" i="34"/>
  <c r="A69" i="34"/>
  <c r="B68" i="34"/>
  <c r="A68" i="34"/>
  <c r="B67" i="34"/>
  <c r="A67" i="34"/>
  <c r="B66" i="34"/>
  <c r="A66" i="34"/>
  <c r="B65" i="34"/>
  <c r="A65" i="34"/>
  <c r="B64" i="34"/>
  <c r="A64" i="34"/>
  <c r="B63" i="34"/>
  <c r="A63" i="34"/>
  <c r="B62" i="34"/>
  <c r="A62" i="34"/>
  <c r="B61" i="34"/>
  <c r="A61" i="34"/>
  <c r="B60" i="34"/>
  <c r="A60" i="34"/>
  <c r="M57" i="34"/>
  <c r="D57" i="34"/>
  <c r="C32" i="5" s="1"/>
  <c r="C55" i="34"/>
  <c r="J110" i="33"/>
  <c r="I72" i="5" s="1"/>
  <c r="I110" i="33"/>
  <c r="H72" i="5" s="1"/>
  <c r="H110" i="33"/>
  <c r="G72" i="5" s="1"/>
  <c r="G110" i="33"/>
  <c r="F72" i="5" s="1"/>
  <c r="F110" i="33"/>
  <c r="E72" i="5" s="1"/>
  <c r="E110" i="33"/>
  <c r="D72" i="5" s="1"/>
  <c r="D110" i="33"/>
  <c r="C72" i="5" s="1"/>
  <c r="C110" i="33"/>
  <c r="B72" i="5" s="1"/>
  <c r="B109" i="33"/>
  <c r="A109" i="33"/>
  <c r="B108" i="33"/>
  <c r="A108" i="33"/>
  <c r="B107" i="33"/>
  <c r="A107" i="33"/>
  <c r="B106" i="33"/>
  <c r="A106" i="33"/>
  <c r="B105" i="33"/>
  <c r="A105" i="33"/>
  <c r="B104" i="33"/>
  <c r="A104" i="33"/>
  <c r="B103" i="33"/>
  <c r="A103" i="33"/>
  <c r="B102" i="33"/>
  <c r="A102" i="33"/>
  <c r="B101" i="33"/>
  <c r="A101" i="33"/>
  <c r="B100" i="33"/>
  <c r="A100" i="33"/>
  <c r="B99" i="33"/>
  <c r="A99" i="33"/>
  <c r="B98" i="33"/>
  <c r="A98" i="33"/>
  <c r="B97" i="33"/>
  <c r="A97" i="33"/>
  <c r="B96" i="33"/>
  <c r="A96" i="33"/>
  <c r="B95" i="33"/>
  <c r="A95" i="33"/>
  <c r="B94" i="33"/>
  <c r="A94" i="33"/>
  <c r="B93" i="33"/>
  <c r="A93" i="33"/>
  <c r="B92" i="33"/>
  <c r="A92" i="33"/>
  <c r="B91" i="33"/>
  <c r="A91" i="33"/>
  <c r="B90" i="33"/>
  <c r="A90" i="33"/>
  <c r="B89" i="33"/>
  <c r="A89" i="33"/>
  <c r="B88" i="33"/>
  <c r="A88" i="33"/>
  <c r="B87" i="33"/>
  <c r="A87" i="33"/>
  <c r="B86" i="33"/>
  <c r="A86" i="33"/>
  <c r="B85" i="33"/>
  <c r="A85" i="33"/>
  <c r="B84" i="33"/>
  <c r="A84" i="33"/>
  <c r="B83" i="33"/>
  <c r="A83" i="33"/>
  <c r="B82" i="33"/>
  <c r="A82" i="33"/>
  <c r="B81" i="33"/>
  <c r="A81" i="33"/>
  <c r="B80" i="33"/>
  <c r="A80" i="33"/>
  <c r="B79" i="33"/>
  <c r="A79" i="33"/>
  <c r="B78" i="33"/>
  <c r="A78" i="33"/>
  <c r="B77" i="33"/>
  <c r="A77" i="33"/>
  <c r="B76" i="33"/>
  <c r="A76" i="33"/>
  <c r="B75" i="33"/>
  <c r="A75" i="33"/>
  <c r="B74" i="33"/>
  <c r="A74" i="33"/>
  <c r="B73" i="33"/>
  <c r="A73" i="33"/>
  <c r="B72" i="33"/>
  <c r="A72" i="33"/>
  <c r="B71" i="33"/>
  <c r="A71" i="33"/>
  <c r="B70" i="33"/>
  <c r="A70" i="33"/>
  <c r="B69" i="33"/>
  <c r="A69" i="33"/>
  <c r="B68" i="33"/>
  <c r="A68" i="33"/>
  <c r="B67" i="33"/>
  <c r="A67" i="33"/>
  <c r="B66" i="33"/>
  <c r="A66" i="33"/>
  <c r="B65" i="33"/>
  <c r="A65" i="33"/>
  <c r="B64" i="33"/>
  <c r="A64" i="33"/>
  <c r="B63" i="33"/>
  <c r="A63" i="33"/>
  <c r="B62" i="33"/>
  <c r="A62" i="33"/>
  <c r="B61" i="33"/>
  <c r="A61" i="33"/>
  <c r="B60" i="33"/>
  <c r="A60" i="33"/>
  <c r="M57" i="33"/>
  <c r="D57" i="33"/>
  <c r="C31" i="5" s="1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J110" i="32"/>
  <c r="I71" i="5" s="1"/>
  <c r="I110" i="32"/>
  <c r="H71" i="5" s="1"/>
  <c r="H110" i="32"/>
  <c r="G71" i="5" s="1"/>
  <c r="G110" i="32"/>
  <c r="F71" i="5" s="1"/>
  <c r="F110" i="32"/>
  <c r="E71" i="5" s="1"/>
  <c r="E110" i="32"/>
  <c r="D71" i="5" s="1"/>
  <c r="D110" i="32"/>
  <c r="C71" i="5" s="1"/>
  <c r="C110" i="32"/>
  <c r="B71" i="5" s="1"/>
  <c r="B109" i="32"/>
  <c r="A109" i="32"/>
  <c r="B108" i="32"/>
  <c r="A108" i="32"/>
  <c r="B107" i="32"/>
  <c r="A107" i="32"/>
  <c r="B106" i="32"/>
  <c r="A106" i="32"/>
  <c r="B105" i="32"/>
  <c r="A105" i="32"/>
  <c r="B104" i="32"/>
  <c r="A104" i="32"/>
  <c r="B103" i="32"/>
  <c r="A103" i="32"/>
  <c r="B102" i="32"/>
  <c r="A102" i="32"/>
  <c r="B101" i="32"/>
  <c r="A101" i="32"/>
  <c r="B100" i="32"/>
  <c r="A100" i="32"/>
  <c r="B99" i="32"/>
  <c r="A99" i="32"/>
  <c r="B98" i="32"/>
  <c r="A98" i="32"/>
  <c r="B97" i="32"/>
  <c r="A97" i="32"/>
  <c r="B96" i="32"/>
  <c r="A96" i="32"/>
  <c r="B95" i="32"/>
  <c r="A95" i="32"/>
  <c r="B94" i="32"/>
  <c r="A94" i="32"/>
  <c r="B93" i="32"/>
  <c r="A93" i="32"/>
  <c r="B92" i="32"/>
  <c r="A92" i="32"/>
  <c r="B91" i="32"/>
  <c r="A91" i="32"/>
  <c r="B90" i="32"/>
  <c r="A90" i="32"/>
  <c r="B89" i="32"/>
  <c r="A89" i="32"/>
  <c r="B88" i="32"/>
  <c r="A88" i="32"/>
  <c r="B87" i="32"/>
  <c r="A87" i="32"/>
  <c r="B86" i="32"/>
  <c r="A86" i="32"/>
  <c r="B85" i="32"/>
  <c r="A85" i="32"/>
  <c r="B84" i="32"/>
  <c r="A84" i="32"/>
  <c r="B83" i="32"/>
  <c r="A83" i="32"/>
  <c r="B82" i="32"/>
  <c r="A82" i="32"/>
  <c r="B81" i="32"/>
  <c r="A81" i="32"/>
  <c r="B80" i="32"/>
  <c r="A80" i="32"/>
  <c r="B79" i="32"/>
  <c r="A79" i="32"/>
  <c r="B78" i="32"/>
  <c r="A78" i="32"/>
  <c r="B77" i="32"/>
  <c r="A77" i="32"/>
  <c r="B76" i="32"/>
  <c r="A76" i="32"/>
  <c r="B75" i="32"/>
  <c r="A75" i="32"/>
  <c r="B74" i="32"/>
  <c r="A74" i="32"/>
  <c r="B73" i="32"/>
  <c r="A73" i="32"/>
  <c r="B72" i="32"/>
  <c r="A72" i="32"/>
  <c r="B71" i="32"/>
  <c r="A71" i="32"/>
  <c r="B70" i="32"/>
  <c r="A70" i="32"/>
  <c r="B69" i="32"/>
  <c r="A69" i="32"/>
  <c r="B62" i="32"/>
  <c r="A62" i="32"/>
  <c r="B61" i="32"/>
  <c r="A61" i="32"/>
  <c r="B60" i="32"/>
  <c r="A60" i="32"/>
  <c r="M57" i="32"/>
  <c r="D57" i="32"/>
  <c r="C30" i="5" s="1"/>
  <c r="J110" i="31"/>
  <c r="I70" i="5" s="1"/>
  <c r="I110" i="31"/>
  <c r="H70" i="5" s="1"/>
  <c r="H110" i="31"/>
  <c r="G70" i="5" s="1"/>
  <c r="G110" i="31"/>
  <c r="F70" i="5" s="1"/>
  <c r="D110" i="31"/>
  <c r="C70" i="5" s="1"/>
  <c r="C110" i="31"/>
  <c r="B70" i="5" s="1"/>
  <c r="B109" i="31"/>
  <c r="A109" i="31"/>
  <c r="AC32" i="39" s="1"/>
  <c r="B108" i="31"/>
  <c r="A108" i="31"/>
  <c r="AC31" i="39" s="1"/>
  <c r="B107" i="31"/>
  <c r="A107" i="31"/>
  <c r="AC30" i="39" s="1"/>
  <c r="B106" i="31"/>
  <c r="A106" i="31"/>
  <c r="AC29" i="39" s="1"/>
  <c r="B105" i="31"/>
  <c r="A105" i="31"/>
  <c r="AC28" i="39" s="1"/>
  <c r="B104" i="31"/>
  <c r="A104" i="31"/>
  <c r="AC27" i="39" s="1"/>
  <c r="B103" i="31"/>
  <c r="B75" i="31" s="1"/>
  <c r="A103" i="31"/>
  <c r="AC20" i="39" s="1"/>
  <c r="B102" i="31"/>
  <c r="A102" i="31"/>
  <c r="AC19" i="39" s="1"/>
  <c r="B101" i="31"/>
  <c r="B74" i="31" s="1"/>
  <c r="A101" i="31"/>
  <c r="AC18" i="39" s="1"/>
  <c r="B100" i="31"/>
  <c r="A100" i="31"/>
  <c r="AC17" i="39" s="1"/>
  <c r="B99" i="31"/>
  <c r="A99" i="31"/>
  <c r="AC16" i="39" s="1"/>
  <c r="B98" i="31"/>
  <c r="A98" i="31"/>
  <c r="AC15" i="39" s="1"/>
  <c r="B97" i="31"/>
  <c r="A97" i="31"/>
  <c r="AC14" i="39" s="1"/>
  <c r="B96" i="31"/>
  <c r="A96" i="31"/>
  <c r="AC13" i="39" s="1"/>
  <c r="B95" i="31"/>
  <c r="A95" i="31"/>
  <c r="AC12" i="39" s="1"/>
  <c r="B94" i="31"/>
  <c r="A94" i="31"/>
  <c r="AC11" i="39" s="1"/>
  <c r="B93" i="31"/>
  <c r="B76" i="31" s="1"/>
  <c r="A93" i="31"/>
  <c r="AC10" i="39" s="1"/>
  <c r="B92" i="31"/>
  <c r="A92" i="31"/>
  <c r="AC9" i="39" s="1"/>
  <c r="B91" i="31"/>
  <c r="B62" i="31" s="1"/>
  <c r="A91" i="31"/>
  <c r="AC8" i="39" s="1"/>
  <c r="B90" i="31"/>
  <c r="A90" i="31"/>
  <c r="AC7" i="39" s="1"/>
  <c r="B89" i="31"/>
  <c r="B68" i="31" s="1"/>
  <c r="A89" i="31"/>
  <c r="AC6" i="39" s="1"/>
  <c r="B88" i="31"/>
  <c r="A88" i="31"/>
  <c r="B87" i="31"/>
  <c r="A87" i="31"/>
  <c r="B86" i="31"/>
  <c r="A86" i="31"/>
  <c r="B85" i="31"/>
  <c r="B77" i="31" s="1"/>
  <c r="A85" i="31"/>
  <c r="A77" i="31" s="1"/>
  <c r="B84" i="31"/>
  <c r="B67" i="31" s="1"/>
  <c r="A84" i="31"/>
  <c r="A67" i="31" s="1"/>
  <c r="AC55" i="39" s="1"/>
  <c r="B83" i="31"/>
  <c r="A83" i="31"/>
  <c r="B82" i="31"/>
  <c r="A82" i="31"/>
  <c r="B81" i="31"/>
  <c r="A81" i="31"/>
  <c r="AC52" i="39" s="1"/>
  <c r="B80" i="31"/>
  <c r="A80" i="31"/>
  <c r="AC50" i="39" s="1"/>
  <c r="B79" i="31"/>
  <c r="A79" i="31"/>
  <c r="AC48" i="39" s="1"/>
  <c r="B78" i="31"/>
  <c r="A78" i="31"/>
  <c r="A74" i="31"/>
  <c r="B73" i="31"/>
  <c r="A73" i="31"/>
  <c r="B72" i="31"/>
  <c r="A72" i="31"/>
  <c r="B71" i="31"/>
  <c r="B70" i="31"/>
  <c r="A70" i="31"/>
  <c r="AC34" i="39" s="1"/>
  <c r="B69" i="31"/>
  <c r="A69" i="31"/>
  <c r="AC46" i="39" s="1"/>
  <c r="B66" i="31"/>
  <c r="A66" i="31"/>
  <c r="AC40" i="39" s="1"/>
  <c r="B65" i="31"/>
  <c r="A65" i="31"/>
  <c r="AC39" i="39" s="1"/>
  <c r="B64" i="31"/>
  <c r="A64" i="31"/>
  <c r="AC44" i="39" s="1"/>
  <c r="B63" i="31"/>
  <c r="A63" i="31"/>
  <c r="AC43" i="39" s="1"/>
  <c r="A62" i="31"/>
  <c r="B61" i="31"/>
  <c r="A61" i="31"/>
  <c r="AC36" i="39" s="1"/>
  <c r="B60" i="31"/>
  <c r="A60" i="31"/>
  <c r="M57" i="31"/>
  <c r="D57" i="31"/>
  <c r="C29" i="5" s="1"/>
  <c r="C53" i="31"/>
  <c r="C51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52" i="31"/>
  <c r="C50" i="31"/>
  <c r="J110" i="30"/>
  <c r="I69" i="5" s="1"/>
  <c r="I110" i="30"/>
  <c r="H69" i="5" s="1"/>
  <c r="H110" i="30"/>
  <c r="G69" i="5" s="1"/>
  <c r="G110" i="30"/>
  <c r="F69" i="5" s="1"/>
  <c r="F110" i="30"/>
  <c r="E69" i="5" s="1"/>
  <c r="E110" i="30"/>
  <c r="D69" i="5" s="1"/>
  <c r="D110" i="30"/>
  <c r="C69" i="5" s="1"/>
  <c r="C110" i="30"/>
  <c r="B69" i="5" s="1"/>
  <c r="B109" i="30"/>
  <c r="B108" i="30"/>
  <c r="B107" i="30"/>
  <c r="B106" i="30"/>
  <c r="B105" i="30"/>
  <c r="B104" i="30"/>
  <c r="B103" i="30"/>
  <c r="B102" i="30"/>
  <c r="B101" i="30"/>
  <c r="B100" i="30"/>
  <c r="B99" i="30"/>
  <c r="B98" i="30"/>
  <c r="B97" i="30"/>
  <c r="B96" i="30"/>
  <c r="A96" i="30"/>
  <c r="B95" i="30"/>
  <c r="A95" i="30"/>
  <c r="B94" i="30"/>
  <c r="A94" i="30"/>
  <c r="B93" i="30"/>
  <c r="A93" i="30"/>
  <c r="B92" i="30"/>
  <c r="A92" i="30"/>
  <c r="B91" i="30"/>
  <c r="A91" i="30"/>
  <c r="B90" i="30"/>
  <c r="A90" i="30"/>
  <c r="B89" i="30"/>
  <c r="A89" i="30"/>
  <c r="B88" i="30"/>
  <c r="A88" i="30"/>
  <c r="B87" i="30"/>
  <c r="A87" i="30"/>
  <c r="B86" i="30"/>
  <c r="A86" i="30"/>
  <c r="B85" i="30"/>
  <c r="A85" i="30"/>
  <c r="B84" i="30"/>
  <c r="A84" i="30"/>
  <c r="B83" i="30"/>
  <c r="A83" i="30"/>
  <c r="B82" i="30"/>
  <c r="A82" i="30"/>
  <c r="B81" i="30"/>
  <c r="A81" i="30"/>
  <c r="B80" i="30"/>
  <c r="A80" i="30"/>
  <c r="B79" i="30"/>
  <c r="A79" i="30"/>
  <c r="B78" i="30"/>
  <c r="A78" i="30"/>
  <c r="B77" i="30"/>
  <c r="A77" i="30"/>
  <c r="B76" i="30"/>
  <c r="A76" i="30"/>
  <c r="B75" i="30"/>
  <c r="A75" i="30"/>
  <c r="B74" i="30"/>
  <c r="A74" i="30"/>
  <c r="B73" i="30"/>
  <c r="A73" i="30"/>
  <c r="B72" i="30"/>
  <c r="A72" i="30"/>
  <c r="B71" i="30"/>
  <c r="A71" i="30"/>
  <c r="B70" i="30"/>
  <c r="A70" i="30"/>
  <c r="B69" i="30"/>
  <c r="A69" i="30"/>
  <c r="B68" i="30"/>
  <c r="A68" i="30"/>
  <c r="B67" i="30"/>
  <c r="A67" i="30"/>
  <c r="B66" i="30"/>
  <c r="A66" i="30"/>
  <c r="B65" i="30"/>
  <c r="A65" i="30"/>
  <c r="B64" i="30"/>
  <c r="A64" i="30"/>
  <c r="B63" i="30"/>
  <c r="A63" i="30"/>
  <c r="B62" i="30"/>
  <c r="A62" i="30"/>
  <c r="B61" i="30"/>
  <c r="A61" i="30"/>
  <c r="B60" i="30"/>
  <c r="A60" i="30"/>
  <c r="C28" i="5"/>
  <c r="C55" i="30"/>
  <c r="J110" i="29"/>
  <c r="I68" i="5" s="1"/>
  <c r="I110" i="29"/>
  <c r="H68" i="5" s="1"/>
  <c r="H110" i="29"/>
  <c r="G68" i="5" s="1"/>
  <c r="G110" i="29"/>
  <c r="F68" i="5" s="1"/>
  <c r="F110" i="29"/>
  <c r="E68" i="5" s="1"/>
  <c r="E110" i="29"/>
  <c r="D68" i="5" s="1"/>
  <c r="D110" i="29"/>
  <c r="C110" i="29"/>
  <c r="B68" i="5" s="1"/>
  <c r="B109" i="29"/>
  <c r="A109" i="29"/>
  <c r="B108" i="29"/>
  <c r="A108" i="29"/>
  <c r="B107" i="29"/>
  <c r="A107" i="29"/>
  <c r="B106" i="29"/>
  <c r="A106" i="29"/>
  <c r="B105" i="29"/>
  <c r="A105" i="29"/>
  <c r="B104" i="29"/>
  <c r="A104" i="29"/>
  <c r="B103" i="29"/>
  <c r="A103" i="29"/>
  <c r="B102" i="29"/>
  <c r="A102" i="29"/>
  <c r="B101" i="29"/>
  <c r="A101" i="29"/>
  <c r="B100" i="29"/>
  <c r="A100" i="29"/>
  <c r="B99" i="29"/>
  <c r="A99" i="29"/>
  <c r="B98" i="29"/>
  <c r="A98" i="29"/>
  <c r="B97" i="29"/>
  <c r="A97" i="29"/>
  <c r="B96" i="29"/>
  <c r="A96" i="29"/>
  <c r="B95" i="29"/>
  <c r="A95" i="29"/>
  <c r="B94" i="29"/>
  <c r="A94" i="29"/>
  <c r="B93" i="29"/>
  <c r="A93" i="29"/>
  <c r="B92" i="29"/>
  <c r="A92" i="29"/>
  <c r="B91" i="29"/>
  <c r="A91" i="29"/>
  <c r="B90" i="29"/>
  <c r="A90" i="29"/>
  <c r="B89" i="29"/>
  <c r="A89" i="29"/>
  <c r="B88" i="29"/>
  <c r="A88" i="29"/>
  <c r="B87" i="29"/>
  <c r="A87" i="29"/>
  <c r="B86" i="29"/>
  <c r="A86" i="29"/>
  <c r="B85" i="29"/>
  <c r="A85" i="29"/>
  <c r="B84" i="29"/>
  <c r="A84" i="29"/>
  <c r="B83" i="29"/>
  <c r="A83" i="29"/>
  <c r="B82" i="29"/>
  <c r="A82" i="29"/>
  <c r="B81" i="29"/>
  <c r="A81" i="29"/>
  <c r="B80" i="29"/>
  <c r="A80" i="29"/>
  <c r="B79" i="29"/>
  <c r="A79" i="29"/>
  <c r="B78" i="29"/>
  <c r="A78" i="29"/>
  <c r="B77" i="29"/>
  <c r="A77" i="29"/>
  <c r="B76" i="29"/>
  <c r="A76" i="29"/>
  <c r="B75" i="29"/>
  <c r="A75" i="29"/>
  <c r="B74" i="29"/>
  <c r="A74" i="29"/>
  <c r="B73" i="29"/>
  <c r="A73" i="29"/>
  <c r="B72" i="29"/>
  <c r="A72" i="29"/>
  <c r="B71" i="29"/>
  <c r="A71" i="29"/>
  <c r="B70" i="29"/>
  <c r="A70" i="29"/>
  <c r="B69" i="29"/>
  <c r="A69" i="29"/>
  <c r="B68" i="29"/>
  <c r="A68" i="29"/>
  <c r="B67" i="29"/>
  <c r="A67" i="29"/>
  <c r="B66" i="29"/>
  <c r="A66" i="29"/>
  <c r="B65" i="29"/>
  <c r="A65" i="29"/>
  <c r="B64" i="29"/>
  <c r="A64" i="29"/>
  <c r="B63" i="29"/>
  <c r="A63" i="29"/>
  <c r="B62" i="29"/>
  <c r="A62" i="29"/>
  <c r="B61" i="29"/>
  <c r="A61" i="29"/>
  <c r="B60" i="29"/>
  <c r="A60" i="29"/>
  <c r="M57" i="29"/>
  <c r="D57" i="29"/>
  <c r="C27" i="5" s="1"/>
  <c r="G57" i="29"/>
  <c r="F27" i="5" s="1"/>
  <c r="F57" i="29"/>
  <c r="E27" i="5" s="1"/>
  <c r="J110" i="28"/>
  <c r="I67" i="5" s="1"/>
  <c r="I110" i="28"/>
  <c r="H67" i="5" s="1"/>
  <c r="H110" i="28"/>
  <c r="G67" i="5" s="1"/>
  <c r="G110" i="28"/>
  <c r="F67" i="5" s="1"/>
  <c r="F110" i="28"/>
  <c r="E67" i="5" s="1"/>
  <c r="E110" i="28"/>
  <c r="D67" i="5" s="1"/>
  <c r="D110" i="28"/>
  <c r="C67" i="5" s="1"/>
  <c r="C110" i="28"/>
  <c r="B67" i="5" s="1"/>
  <c r="B109" i="28"/>
  <c r="A109" i="28"/>
  <c r="B108" i="28"/>
  <c r="A108" i="28"/>
  <c r="B107" i="28"/>
  <c r="A107" i="28"/>
  <c r="B106" i="28"/>
  <c r="A106" i="28"/>
  <c r="B105" i="28"/>
  <c r="A105" i="28"/>
  <c r="B104" i="28"/>
  <c r="A104" i="28"/>
  <c r="B103" i="28"/>
  <c r="A103" i="28"/>
  <c r="B102" i="28"/>
  <c r="A102" i="28"/>
  <c r="B101" i="28"/>
  <c r="A101" i="28"/>
  <c r="B100" i="28"/>
  <c r="A100" i="28"/>
  <c r="B99" i="28"/>
  <c r="A99" i="28"/>
  <c r="B98" i="28"/>
  <c r="A98" i="28"/>
  <c r="B97" i="28"/>
  <c r="A97" i="28"/>
  <c r="B96" i="28"/>
  <c r="A96" i="28"/>
  <c r="B95" i="28"/>
  <c r="A95" i="28"/>
  <c r="B94" i="28"/>
  <c r="A94" i="28"/>
  <c r="B93" i="28"/>
  <c r="A93" i="28"/>
  <c r="B92" i="28"/>
  <c r="A92" i="28"/>
  <c r="B91" i="28"/>
  <c r="A91" i="28"/>
  <c r="B90" i="28"/>
  <c r="A90" i="28"/>
  <c r="B89" i="28"/>
  <c r="A89" i="28"/>
  <c r="B88" i="28"/>
  <c r="A88" i="28"/>
  <c r="B87" i="28"/>
  <c r="A87" i="28"/>
  <c r="B86" i="28"/>
  <c r="A86" i="28"/>
  <c r="B85" i="28"/>
  <c r="A85" i="28"/>
  <c r="B84" i="28"/>
  <c r="A84" i="28"/>
  <c r="B83" i="28"/>
  <c r="A83" i="28"/>
  <c r="B82" i="28"/>
  <c r="A82" i="28"/>
  <c r="B81" i="28"/>
  <c r="A81" i="28"/>
  <c r="B80" i="28"/>
  <c r="A80" i="28"/>
  <c r="B79" i="28"/>
  <c r="A79" i="28"/>
  <c r="B78" i="28"/>
  <c r="A78" i="28"/>
  <c r="B77" i="28"/>
  <c r="A77" i="28"/>
  <c r="B76" i="28"/>
  <c r="A76" i="28"/>
  <c r="B75" i="28"/>
  <c r="A75" i="28"/>
  <c r="B74" i="28"/>
  <c r="A74" i="28"/>
  <c r="B73" i="28"/>
  <c r="A73" i="28"/>
  <c r="B72" i="28"/>
  <c r="A72" i="28"/>
  <c r="B71" i="28"/>
  <c r="A71" i="28"/>
  <c r="B70" i="28"/>
  <c r="A70" i="28"/>
  <c r="B69" i="28"/>
  <c r="A69" i="28"/>
  <c r="B68" i="28"/>
  <c r="A68" i="28"/>
  <c r="B67" i="28"/>
  <c r="A67" i="28"/>
  <c r="B66" i="28"/>
  <c r="A66" i="28"/>
  <c r="B65" i="28"/>
  <c r="A65" i="28"/>
  <c r="B64" i="28"/>
  <c r="A64" i="28"/>
  <c r="B63" i="28"/>
  <c r="A63" i="28"/>
  <c r="B62" i="28"/>
  <c r="A62" i="28"/>
  <c r="B61" i="28"/>
  <c r="A61" i="28"/>
  <c r="B60" i="28"/>
  <c r="A60" i="28"/>
  <c r="M57" i="28"/>
  <c r="D57" i="28"/>
  <c r="C26" i="5" s="1"/>
  <c r="C55" i="28"/>
  <c r="J110" i="27"/>
  <c r="I66" i="5" s="1"/>
  <c r="I110" i="27"/>
  <c r="H66" i="5" s="1"/>
  <c r="H110" i="27"/>
  <c r="G66" i="5" s="1"/>
  <c r="G110" i="27"/>
  <c r="F66" i="5" s="1"/>
  <c r="F110" i="27"/>
  <c r="E66" i="5" s="1"/>
  <c r="E110" i="27"/>
  <c r="D66" i="5" s="1"/>
  <c r="D110" i="27"/>
  <c r="B66" i="5"/>
  <c r="A60" i="27"/>
  <c r="M57" i="27"/>
  <c r="D57" i="27"/>
  <c r="J110" i="26"/>
  <c r="I65" i="5" s="1"/>
  <c r="I110" i="26"/>
  <c r="H65" i="5" s="1"/>
  <c r="H110" i="26"/>
  <c r="G65" i="5" s="1"/>
  <c r="G110" i="26"/>
  <c r="F65" i="5" s="1"/>
  <c r="F110" i="26"/>
  <c r="E65" i="5" s="1"/>
  <c r="E110" i="26"/>
  <c r="D65" i="5" s="1"/>
  <c r="D110" i="26"/>
  <c r="C65" i="5" s="1"/>
  <c r="C110" i="26"/>
  <c r="B65" i="5" s="1"/>
  <c r="B109" i="26"/>
  <c r="A109" i="26"/>
  <c r="B108" i="26"/>
  <c r="A108" i="26"/>
  <c r="B107" i="26"/>
  <c r="A107" i="26"/>
  <c r="B106" i="26"/>
  <c r="A106" i="26"/>
  <c r="B105" i="26"/>
  <c r="A105" i="26"/>
  <c r="B104" i="26"/>
  <c r="A104" i="26"/>
  <c r="B103" i="26"/>
  <c r="A103" i="26"/>
  <c r="B102" i="26"/>
  <c r="A102" i="26"/>
  <c r="B101" i="26"/>
  <c r="A101" i="26"/>
  <c r="B100" i="26"/>
  <c r="A100" i="26"/>
  <c r="B99" i="26"/>
  <c r="A99" i="26"/>
  <c r="B98" i="26"/>
  <c r="A98" i="26"/>
  <c r="B97" i="26"/>
  <c r="A97" i="26"/>
  <c r="B96" i="26"/>
  <c r="A96" i="26"/>
  <c r="B95" i="26"/>
  <c r="A95" i="26"/>
  <c r="B94" i="26"/>
  <c r="A94" i="26"/>
  <c r="B93" i="26"/>
  <c r="A93" i="26"/>
  <c r="B92" i="26"/>
  <c r="A92" i="26"/>
  <c r="B91" i="26"/>
  <c r="A91" i="26"/>
  <c r="B90" i="26"/>
  <c r="A90" i="26"/>
  <c r="B89" i="26"/>
  <c r="A89" i="26"/>
  <c r="B88" i="26"/>
  <c r="A88" i="26"/>
  <c r="B87" i="26"/>
  <c r="A87" i="26"/>
  <c r="B86" i="26"/>
  <c r="A86" i="26"/>
  <c r="B85" i="26"/>
  <c r="A85" i="26"/>
  <c r="B84" i="26"/>
  <c r="A84" i="26"/>
  <c r="B83" i="26"/>
  <c r="A83" i="26"/>
  <c r="B82" i="26"/>
  <c r="A82" i="26"/>
  <c r="B81" i="26"/>
  <c r="A81" i="26"/>
  <c r="B80" i="26"/>
  <c r="A80" i="26"/>
  <c r="B79" i="26"/>
  <c r="A79" i="26"/>
  <c r="B78" i="26"/>
  <c r="A78" i="26"/>
  <c r="B77" i="26"/>
  <c r="A77" i="26"/>
  <c r="B76" i="26"/>
  <c r="A76" i="26"/>
  <c r="B75" i="26"/>
  <c r="A75" i="26"/>
  <c r="B74" i="26"/>
  <c r="A74" i="26"/>
  <c r="B73" i="26"/>
  <c r="A73" i="26"/>
  <c r="B72" i="26"/>
  <c r="A72" i="26"/>
  <c r="B71" i="26"/>
  <c r="A71" i="26"/>
  <c r="B70" i="26"/>
  <c r="A70" i="26"/>
  <c r="B69" i="26"/>
  <c r="A69" i="26"/>
  <c r="B68" i="26"/>
  <c r="A68" i="26"/>
  <c r="B67" i="26"/>
  <c r="A67" i="26"/>
  <c r="B66" i="26"/>
  <c r="A66" i="26"/>
  <c r="B65" i="26"/>
  <c r="A65" i="26"/>
  <c r="B64" i="26"/>
  <c r="A64" i="26"/>
  <c r="B63" i="26"/>
  <c r="B62" i="26"/>
  <c r="B61" i="26"/>
  <c r="A61" i="26"/>
  <c r="B60" i="26"/>
  <c r="A60" i="26"/>
  <c r="M57" i="26"/>
  <c r="D57" i="26"/>
  <c r="C24" i="5" s="1"/>
  <c r="J110" i="25"/>
  <c r="I64" i="5" s="1"/>
  <c r="I110" i="25"/>
  <c r="H64" i="5" s="1"/>
  <c r="H110" i="25"/>
  <c r="G64" i="5" s="1"/>
  <c r="G110" i="25"/>
  <c r="F64" i="5" s="1"/>
  <c r="F110" i="25"/>
  <c r="E64" i="5" s="1"/>
  <c r="E110" i="25"/>
  <c r="D64" i="5" s="1"/>
  <c r="D110" i="25"/>
  <c r="C64" i="5" s="1"/>
  <c r="C110" i="25"/>
  <c r="B64" i="5" s="1"/>
  <c r="B109" i="25"/>
  <c r="A109" i="25"/>
  <c r="B108" i="25"/>
  <c r="A108" i="25"/>
  <c r="B107" i="25"/>
  <c r="A107" i="25"/>
  <c r="B106" i="25"/>
  <c r="A106" i="25"/>
  <c r="B105" i="25"/>
  <c r="A105" i="25"/>
  <c r="B104" i="25"/>
  <c r="A104" i="25"/>
  <c r="B103" i="25"/>
  <c r="A103" i="25"/>
  <c r="B102" i="25"/>
  <c r="A102" i="25"/>
  <c r="B101" i="25"/>
  <c r="A101" i="25"/>
  <c r="B100" i="25"/>
  <c r="A100" i="25"/>
  <c r="B99" i="25"/>
  <c r="A99" i="25"/>
  <c r="B98" i="25"/>
  <c r="A98" i="25"/>
  <c r="B97" i="25"/>
  <c r="A97" i="25"/>
  <c r="B96" i="25"/>
  <c r="A96" i="25"/>
  <c r="B95" i="25"/>
  <c r="A95" i="25"/>
  <c r="B94" i="25"/>
  <c r="A94" i="25"/>
  <c r="B93" i="25"/>
  <c r="A93" i="25"/>
  <c r="B92" i="25"/>
  <c r="A92" i="25"/>
  <c r="B91" i="25"/>
  <c r="A91" i="25"/>
  <c r="B90" i="25"/>
  <c r="A90" i="25"/>
  <c r="B89" i="25"/>
  <c r="A89" i="25"/>
  <c r="B88" i="25"/>
  <c r="A88" i="25"/>
  <c r="B87" i="25"/>
  <c r="A87" i="25"/>
  <c r="B86" i="25"/>
  <c r="A86" i="25"/>
  <c r="B85" i="25"/>
  <c r="A85" i="25"/>
  <c r="B84" i="25"/>
  <c r="A84" i="25"/>
  <c r="B83" i="25"/>
  <c r="A83" i="25"/>
  <c r="B82" i="25"/>
  <c r="A82" i="25"/>
  <c r="B81" i="25"/>
  <c r="A81" i="25"/>
  <c r="B80" i="25"/>
  <c r="A80" i="25"/>
  <c r="B79" i="25"/>
  <c r="A79" i="25"/>
  <c r="B78" i="25"/>
  <c r="A78" i="25"/>
  <c r="B77" i="25"/>
  <c r="A77" i="25"/>
  <c r="B76" i="25"/>
  <c r="A76" i="25"/>
  <c r="B75" i="25"/>
  <c r="A75" i="25"/>
  <c r="B74" i="25"/>
  <c r="A74" i="25"/>
  <c r="B73" i="25"/>
  <c r="A73" i="25"/>
  <c r="B72" i="25"/>
  <c r="A72" i="25"/>
  <c r="B71" i="25"/>
  <c r="A71" i="25"/>
  <c r="B70" i="25"/>
  <c r="A70" i="25"/>
  <c r="B69" i="25"/>
  <c r="A69" i="25"/>
  <c r="B68" i="25"/>
  <c r="A68" i="25"/>
  <c r="B67" i="25"/>
  <c r="A67" i="25"/>
  <c r="B66" i="25"/>
  <c r="A66" i="25"/>
  <c r="B65" i="25"/>
  <c r="A65" i="25"/>
  <c r="B64" i="25"/>
  <c r="A64" i="25"/>
  <c r="B63" i="25"/>
  <c r="A63" i="25"/>
  <c r="B62" i="25"/>
  <c r="A62" i="25"/>
  <c r="B61" i="25"/>
  <c r="A61" i="25"/>
  <c r="B60" i="25"/>
  <c r="A60" i="25"/>
  <c r="M57" i="25"/>
  <c r="D57" i="25"/>
  <c r="C23" i="5" s="1"/>
  <c r="J110" i="24"/>
  <c r="I63" i="5" s="1"/>
  <c r="I110" i="24"/>
  <c r="H63" i="5" s="1"/>
  <c r="H110" i="24"/>
  <c r="G63" i="5" s="1"/>
  <c r="G110" i="24"/>
  <c r="F63" i="5" s="1"/>
  <c r="F110" i="24"/>
  <c r="E63" i="5" s="1"/>
  <c r="E110" i="24"/>
  <c r="D63" i="5" s="1"/>
  <c r="D110" i="24"/>
  <c r="C63" i="5" s="1"/>
  <c r="C110" i="24"/>
  <c r="B63" i="5" s="1"/>
  <c r="B109" i="24"/>
  <c r="A109" i="24"/>
  <c r="B108" i="24"/>
  <c r="A108" i="24"/>
  <c r="B107" i="24"/>
  <c r="A107" i="24"/>
  <c r="B106" i="24"/>
  <c r="A106" i="24"/>
  <c r="B105" i="24"/>
  <c r="A105" i="24"/>
  <c r="B104" i="24"/>
  <c r="A104" i="24"/>
  <c r="B103" i="24"/>
  <c r="A103" i="24"/>
  <c r="B102" i="24"/>
  <c r="A102" i="24"/>
  <c r="B101" i="24"/>
  <c r="A101" i="24"/>
  <c r="B100" i="24"/>
  <c r="A100" i="24"/>
  <c r="B99" i="24"/>
  <c r="A99" i="24"/>
  <c r="B98" i="24"/>
  <c r="A98" i="24"/>
  <c r="B97" i="24"/>
  <c r="A97" i="24"/>
  <c r="B96" i="24"/>
  <c r="A96" i="24"/>
  <c r="B95" i="24"/>
  <c r="A95" i="24"/>
  <c r="B94" i="24"/>
  <c r="A94" i="24"/>
  <c r="B93" i="24"/>
  <c r="A93" i="24"/>
  <c r="B92" i="24"/>
  <c r="A92" i="24"/>
  <c r="B91" i="24"/>
  <c r="A91" i="24"/>
  <c r="B90" i="24"/>
  <c r="A90" i="24"/>
  <c r="B89" i="24"/>
  <c r="A89" i="24"/>
  <c r="B88" i="24"/>
  <c r="A88" i="24"/>
  <c r="B87" i="24"/>
  <c r="A87" i="24"/>
  <c r="B86" i="24"/>
  <c r="A86" i="24"/>
  <c r="B85" i="24"/>
  <c r="A85" i="24"/>
  <c r="B84" i="24"/>
  <c r="A84" i="24"/>
  <c r="B83" i="24"/>
  <c r="A83" i="24"/>
  <c r="B82" i="24"/>
  <c r="A82" i="24"/>
  <c r="B81" i="24"/>
  <c r="A81" i="24"/>
  <c r="B80" i="24"/>
  <c r="A80" i="24"/>
  <c r="B79" i="24"/>
  <c r="A79" i="24"/>
  <c r="B78" i="24"/>
  <c r="A78" i="24"/>
  <c r="B77" i="24"/>
  <c r="A77" i="24"/>
  <c r="B76" i="24"/>
  <c r="A76" i="24"/>
  <c r="B75" i="24"/>
  <c r="A75" i="24"/>
  <c r="B74" i="24"/>
  <c r="A74" i="24"/>
  <c r="B73" i="24"/>
  <c r="A73" i="24"/>
  <c r="B72" i="24"/>
  <c r="A72" i="24"/>
  <c r="B71" i="24"/>
  <c r="A71" i="24"/>
  <c r="B70" i="24"/>
  <c r="A70" i="24"/>
  <c r="B69" i="24"/>
  <c r="A69" i="24"/>
  <c r="B68" i="24"/>
  <c r="A68" i="24"/>
  <c r="B67" i="24"/>
  <c r="A67" i="24"/>
  <c r="B66" i="24"/>
  <c r="A66" i="24"/>
  <c r="B65" i="24"/>
  <c r="A65" i="24"/>
  <c r="B64" i="24"/>
  <c r="A64" i="24"/>
  <c r="B63" i="24"/>
  <c r="A63" i="24"/>
  <c r="B62" i="24"/>
  <c r="A62" i="24"/>
  <c r="B61" i="24"/>
  <c r="A61" i="24"/>
  <c r="B60" i="24"/>
  <c r="A60" i="24"/>
  <c r="M57" i="24"/>
  <c r="D57" i="24"/>
  <c r="C22" i="5" s="1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J110" i="23"/>
  <c r="I62" i="5" s="1"/>
  <c r="I110" i="23"/>
  <c r="H62" i="5" s="1"/>
  <c r="H110" i="23"/>
  <c r="G62" i="5" s="1"/>
  <c r="G110" i="23"/>
  <c r="F62" i="5" s="1"/>
  <c r="F110" i="23"/>
  <c r="E62" i="5" s="1"/>
  <c r="E110" i="23"/>
  <c r="D62" i="5" s="1"/>
  <c r="D110" i="23"/>
  <c r="C62" i="5" s="1"/>
  <c r="C110" i="23"/>
  <c r="B62" i="5" s="1"/>
  <c r="B109" i="23"/>
  <c r="A109" i="23"/>
  <c r="B108" i="23"/>
  <c r="A108" i="23"/>
  <c r="B107" i="23"/>
  <c r="A107" i="23"/>
  <c r="B106" i="23"/>
  <c r="A106" i="23"/>
  <c r="B105" i="23"/>
  <c r="A105" i="23"/>
  <c r="B104" i="23"/>
  <c r="A104" i="23"/>
  <c r="B103" i="23"/>
  <c r="A103" i="23"/>
  <c r="B102" i="23"/>
  <c r="A102" i="23"/>
  <c r="B101" i="23"/>
  <c r="A101" i="23"/>
  <c r="B100" i="23"/>
  <c r="A100" i="23"/>
  <c r="B99" i="23"/>
  <c r="A99" i="23"/>
  <c r="B98" i="23"/>
  <c r="A98" i="23"/>
  <c r="B97" i="23"/>
  <c r="A97" i="23"/>
  <c r="B96" i="23"/>
  <c r="A96" i="23"/>
  <c r="B95" i="23"/>
  <c r="A95" i="23"/>
  <c r="B94" i="23"/>
  <c r="A94" i="23"/>
  <c r="B93" i="23"/>
  <c r="A93" i="23"/>
  <c r="B92" i="23"/>
  <c r="A92" i="23"/>
  <c r="B91" i="23"/>
  <c r="A91" i="23"/>
  <c r="B90" i="23"/>
  <c r="A90" i="23"/>
  <c r="B89" i="23"/>
  <c r="A89" i="23"/>
  <c r="B88" i="23"/>
  <c r="A88" i="23"/>
  <c r="B87" i="23"/>
  <c r="A87" i="23"/>
  <c r="B86" i="23"/>
  <c r="A86" i="23"/>
  <c r="B85" i="23"/>
  <c r="A85" i="23"/>
  <c r="B84" i="23"/>
  <c r="A84" i="23"/>
  <c r="B83" i="23"/>
  <c r="A83" i="23"/>
  <c r="B82" i="23"/>
  <c r="A82" i="23"/>
  <c r="B81" i="23"/>
  <c r="A81" i="23"/>
  <c r="B80" i="23"/>
  <c r="A80" i="23"/>
  <c r="B79" i="23"/>
  <c r="A79" i="23"/>
  <c r="B78" i="23"/>
  <c r="A78" i="23"/>
  <c r="B77" i="23"/>
  <c r="A77" i="23"/>
  <c r="B76" i="23"/>
  <c r="A76" i="23"/>
  <c r="B75" i="23"/>
  <c r="A75" i="23"/>
  <c r="B74" i="23"/>
  <c r="A74" i="23"/>
  <c r="B73" i="23"/>
  <c r="A73" i="23"/>
  <c r="B72" i="23"/>
  <c r="A72" i="23"/>
  <c r="B71" i="23"/>
  <c r="A71" i="23"/>
  <c r="B70" i="23"/>
  <c r="A70" i="23"/>
  <c r="B69" i="23"/>
  <c r="A69" i="23"/>
  <c r="B68" i="23"/>
  <c r="A68" i="23"/>
  <c r="B67" i="23"/>
  <c r="A67" i="23"/>
  <c r="B66" i="23"/>
  <c r="A66" i="23"/>
  <c r="B65" i="23"/>
  <c r="A65" i="23"/>
  <c r="B64" i="23"/>
  <c r="A64" i="23"/>
  <c r="B63" i="23"/>
  <c r="A63" i="23"/>
  <c r="B62" i="23"/>
  <c r="A62" i="23"/>
  <c r="B61" i="23"/>
  <c r="A61" i="23"/>
  <c r="B60" i="23"/>
  <c r="A60" i="23"/>
  <c r="M57" i="23"/>
  <c r="D57" i="23"/>
  <c r="C21" i="5" s="1"/>
  <c r="C55" i="23"/>
  <c r="J110" i="22"/>
  <c r="I61" i="5" s="1"/>
  <c r="I110" i="22"/>
  <c r="H61" i="5" s="1"/>
  <c r="H110" i="22"/>
  <c r="G61" i="5" s="1"/>
  <c r="G110" i="22"/>
  <c r="F61" i="5" s="1"/>
  <c r="F110" i="22"/>
  <c r="E61" i="5" s="1"/>
  <c r="E110" i="22"/>
  <c r="D61" i="5" s="1"/>
  <c r="D110" i="22"/>
  <c r="C61" i="5" s="1"/>
  <c r="C110" i="22"/>
  <c r="B61" i="5" s="1"/>
  <c r="B109" i="22"/>
  <c r="A109" i="22"/>
  <c r="B108" i="22"/>
  <c r="A108" i="22"/>
  <c r="B107" i="22"/>
  <c r="A107" i="22"/>
  <c r="B106" i="22"/>
  <c r="A106" i="22"/>
  <c r="B105" i="22"/>
  <c r="A105" i="22"/>
  <c r="B104" i="22"/>
  <c r="A104" i="22"/>
  <c r="B103" i="22"/>
  <c r="A103" i="22"/>
  <c r="B102" i="22"/>
  <c r="A102" i="22"/>
  <c r="B101" i="22"/>
  <c r="A101" i="22"/>
  <c r="B100" i="22"/>
  <c r="A100" i="22"/>
  <c r="B99" i="22"/>
  <c r="A99" i="22"/>
  <c r="B98" i="22"/>
  <c r="A98" i="22"/>
  <c r="B97" i="22"/>
  <c r="A97" i="22"/>
  <c r="B96" i="22"/>
  <c r="A96" i="22"/>
  <c r="B95" i="22"/>
  <c r="A95" i="22"/>
  <c r="B94" i="22"/>
  <c r="A94" i="22"/>
  <c r="B93" i="22"/>
  <c r="A93" i="22"/>
  <c r="B92" i="22"/>
  <c r="A92" i="22"/>
  <c r="B91" i="22"/>
  <c r="A91" i="22"/>
  <c r="B90" i="22"/>
  <c r="A90" i="22"/>
  <c r="B89" i="22"/>
  <c r="A89" i="22"/>
  <c r="B88" i="22"/>
  <c r="A88" i="22"/>
  <c r="B87" i="22"/>
  <c r="A87" i="22"/>
  <c r="B86" i="22"/>
  <c r="A86" i="22"/>
  <c r="B85" i="22"/>
  <c r="A85" i="22"/>
  <c r="B84" i="22"/>
  <c r="A84" i="22"/>
  <c r="B83" i="22"/>
  <c r="A83" i="22"/>
  <c r="B82" i="22"/>
  <c r="A82" i="22"/>
  <c r="B81" i="22"/>
  <c r="A81" i="22"/>
  <c r="B80" i="22"/>
  <c r="A80" i="22"/>
  <c r="B79" i="22"/>
  <c r="A79" i="22"/>
  <c r="B78" i="22"/>
  <c r="A78" i="22"/>
  <c r="B77" i="22"/>
  <c r="A77" i="22"/>
  <c r="B76" i="22"/>
  <c r="A76" i="22"/>
  <c r="B75" i="22"/>
  <c r="A75" i="22"/>
  <c r="B74" i="22"/>
  <c r="A74" i="22"/>
  <c r="B73" i="22"/>
  <c r="A73" i="22"/>
  <c r="B72" i="22"/>
  <c r="A72" i="22"/>
  <c r="B71" i="22"/>
  <c r="A71" i="22"/>
  <c r="B70" i="22"/>
  <c r="A70" i="22"/>
  <c r="B69" i="22"/>
  <c r="A69" i="22"/>
  <c r="B68" i="22"/>
  <c r="A68" i="22"/>
  <c r="B67" i="22"/>
  <c r="A67" i="22"/>
  <c r="B66" i="22"/>
  <c r="A66" i="22"/>
  <c r="B65" i="22"/>
  <c r="A65" i="22"/>
  <c r="B64" i="22"/>
  <c r="A64" i="22"/>
  <c r="B63" i="22"/>
  <c r="A63" i="22"/>
  <c r="B62" i="22"/>
  <c r="A62" i="22"/>
  <c r="B61" i="22"/>
  <c r="A61" i="22"/>
  <c r="B60" i="22"/>
  <c r="A60" i="22"/>
  <c r="M57" i="22"/>
  <c r="D57" i="22"/>
  <c r="C20" i="5" s="1"/>
  <c r="J110" i="21"/>
  <c r="I60" i="5" s="1"/>
  <c r="I110" i="21"/>
  <c r="H60" i="5" s="1"/>
  <c r="H110" i="21"/>
  <c r="G60" i="5" s="1"/>
  <c r="G110" i="21"/>
  <c r="F60" i="5" s="1"/>
  <c r="F110" i="21"/>
  <c r="E60" i="5" s="1"/>
  <c r="E110" i="21"/>
  <c r="D60" i="5" s="1"/>
  <c r="D110" i="21"/>
  <c r="C60" i="5" s="1"/>
  <c r="C110" i="21"/>
  <c r="B60" i="5" s="1"/>
  <c r="B109" i="21"/>
  <c r="A109" i="21"/>
  <c r="B108" i="21"/>
  <c r="A108" i="21"/>
  <c r="B107" i="21"/>
  <c r="A107" i="21"/>
  <c r="B106" i="21"/>
  <c r="A106" i="21"/>
  <c r="B105" i="21"/>
  <c r="A105" i="21"/>
  <c r="B104" i="21"/>
  <c r="A104" i="21"/>
  <c r="B103" i="21"/>
  <c r="A103" i="21"/>
  <c r="B102" i="21"/>
  <c r="A102" i="21"/>
  <c r="B101" i="21"/>
  <c r="A101" i="21"/>
  <c r="B100" i="21"/>
  <c r="A100" i="21"/>
  <c r="B99" i="21"/>
  <c r="A99" i="21"/>
  <c r="B98" i="21"/>
  <c r="A98" i="21"/>
  <c r="B97" i="21"/>
  <c r="A97" i="21"/>
  <c r="B96" i="21"/>
  <c r="A96" i="21"/>
  <c r="B95" i="21"/>
  <c r="A95" i="21"/>
  <c r="B94" i="21"/>
  <c r="A94" i="21"/>
  <c r="B93" i="21"/>
  <c r="A93" i="21"/>
  <c r="B92" i="21"/>
  <c r="A92" i="21"/>
  <c r="B91" i="21"/>
  <c r="A91" i="21"/>
  <c r="B90" i="21"/>
  <c r="A90" i="21"/>
  <c r="B89" i="21"/>
  <c r="A89" i="21"/>
  <c r="B88" i="21"/>
  <c r="A88" i="21"/>
  <c r="B87" i="21"/>
  <c r="A87" i="21"/>
  <c r="B86" i="21"/>
  <c r="A86" i="21"/>
  <c r="B85" i="21"/>
  <c r="A85" i="21"/>
  <c r="B84" i="21"/>
  <c r="A84" i="21"/>
  <c r="B83" i="21"/>
  <c r="A83" i="21"/>
  <c r="B82" i="21"/>
  <c r="A82" i="21"/>
  <c r="B81" i="21"/>
  <c r="A81" i="21"/>
  <c r="B80" i="21"/>
  <c r="A80" i="21"/>
  <c r="B79" i="21"/>
  <c r="A79" i="21"/>
  <c r="B78" i="21"/>
  <c r="A78" i="21"/>
  <c r="B77" i="21"/>
  <c r="A77" i="21"/>
  <c r="B76" i="21"/>
  <c r="A76" i="21"/>
  <c r="B75" i="21"/>
  <c r="A75" i="21"/>
  <c r="B74" i="21"/>
  <c r="A74" i="21"/>
  <c r="B73" i="21"/>
  <c r="A73" i="21"/>
  <c r="B72" i="21"/>
  <c r="A72" i="21"/>
  <c r="B71" i="21"/>
  <c r="A71" i="21"/>
  <c r="B70" i="21"/>
  <c r="A70" i="21"/>
  <c r="B69" i="21"/>
  <c r="A69" i="21"/>
  <c r="B68" i="21"/>
  <c r="A68" i="21"/>
  <c r="B67" i="21"/>
  <c r="A67" i="21"/>
  <c r="B66" i="21"/>
  <c r="A66" i="21"/>
  <c r="B65" i="21"/>
  <c r="A65" i="21"/>
  <c r="B64" i="21"/>
  <c r="A64" i="21"/>
  <c r="B63" i="21"/>
  <c r="A63" i="21"/>
  <c r="B62" i="21"/>
  <c r="A62" i="21"/>
  <c r="B61" i="21"/>
  <c r="A61" i="21"/>
  <c r="B60" i="21"/>
  <c r="A60" i="21"/>
  <c r="M57" i="21"/>
  <c r="D57" i="21"/>
  <c r="C19" i="5" s="1"/>
  <c r="C55" i="21"/>
  <c r="J110" i="20"/>
  <c r="I59" i="5" s="1"/>
  <c r="I110" i="20"/>
  <c r="H59" i="5" s="1"/>
  <c r="H110" i="20"/>
  <c r="G59" i="5" s="1"/>
  <c r="G110" i="20"/>
  <c r="F59" i="5" s="1"/>
  <c r="F110" i="20"/>
  <c r="E59" i="5" s="1"/>
  <c r="E110" i="20"/>
  <c r="D59" i="5" s="1"/>
  <c r="D110" i="20"/>
  <c r="C59" i="5" s="1"/>
  <c r="C110" i="20"/>
  <c r="B59" i="5" s="1"/>
  <c r="B109" i="20"/>
  <c r="A109" i="20"/>
  <c r="B108" i="20"/>
  <c r="A108" i="20"/>
  <c r="B107" i="20"/>
  <c r="A107" i="20"/>
  <c r="B106" i="20"/>
  <c r="A106" i="20"/>
  <c r="B105" i="20"/>
  <c r="A105" i="20"/>
  <c r="B104" i="20"/>
  <c r="A104" i="20"/>
  <c r="B103" i="20"/>
  <c r="A103" i="20"/>
  <c r="B102" i="20"/>
  <c r="A102" i="20"/>
  <c r="B101" i="20"/>
  <c r="A101" i="20"/>
  <c r="B100" i="20"/>
  <c r="A100" i="20"/>
  <c r="B99" i="20"/>
  <c r="A99" i="20"/>
  <c r="B98" i="20"/>
  <c r="A98" i="20"/>
  <c r="B97" i="20"/>
  <c r="A97" i="20"/>
  <c r="B96" i="20"/>
  <c r="A96" i="20"/>
  <c r="B95" i="20"/>
  <c r="A95" i="20"/>
  <c r="B94" i="20"/>
  <c r="A94" i="20"/>
  <c r="B93" i="20"/>
  <c r="A93" i="20"/>
  <c r="B92" i="20"/>
  <c r="A92" i="20"/>
  <c r="B91" i="20"/>
  <c r="A91" i="20"/>
  <c r="B90" i="20"/>
  <c r="A90" i="20"/>
  <c r="B89" i="20"/>
  <c r="A89" i="20"/>
  <c r="B88" i="20"/>
  <c r="A88" i="20"/>
  <c r="B87" i="20"/>
  <c r="A87" i="20"/>
  <c r="B86" i="20"/>
  <c r="A86" i="20"/>
  <c r="B85" i="20"/>
  <c r="A85" i="20"/>
  <c r="B84" i="20"/>
  <c r="A84" i="20"/>
  <c r="B83" i="20"/>
  <c r="A83" i="20"/>
  <c r="B82" i="20"/>
  <c r="A82" i="20"/>
  <c r="B81" i="20"/>
  <c r="A81" i="20"/>
  <c r="B80" i="20"/>
  <c r="A80" i="20"/>
  <c r="B79" i="20"/>
  <c r="A79" i="20"/>
  <c r="B78" i="20"/>
  <c r="A78" i="20"/>
  <c r="B77" i="20"/>
  <c r="A77" i="20"/>
  <c r="B76" i="20"/>
  <c r="A76" i="20"/>
  <c r="B75" i="20"/>
  <c r="A75" i="20"/>
  <c r="B74" i="20"/>
  <c r="A74" i="20"/>
  <c r="B73" i="20"/>
  <c r="A73" i="20"/>
  <c r="B72" i="20"/>
  <c r="A72" i="20"/>
  <c r="B71" i="20"/>
  <c r="A71" i="20"/>
  <c r="B70" i="20"/>
  <c r="A70" i="20"/>
  <c r="B69" i="20"/>
  <c r="A69" i="20"/>
  <c r="B68" i="20"/>
  <c r="A68" i="20"/>
  <c r="B67" i="20"/>
  <c r="A67" i="20"/>
  <c r="B66" i="20"/>
  <c r="A66" i="20"/>
  <c r="B65" i="20"/>
  <c r="A65" i="20"/>
  <c r="B64" i="20"/>
  <c r="A64" i="20"/>
  <c r="B63" i="20"/>
  <c r="A63" i="20"/>
  <c r="B62" i="20"/>
  <c r="A62" i="20"/>
  <c r="B61" i="20"/>
  <c r="A61" i="20"/>
  <c r="B60" i="20"/>
  <c r="A60" i="20"/>
  <c r="M57" i="20"/>
  <c r="D57" i="20"/>
  <c r="C18" i="5" s="1"/>
  <c r="C55" i="20"/>
  <c r="J110" i="19"/>
  <c r="I58" i="5" s="1"/>
  <c r="I110" i="19"/>
  <c r="H58" i="5" s="1"/>
  <c r="H110" i="19"/>
  <c r="G58" i="5" s="1"/>
  <c r="G110" i="19"/>
  <c r="F58" i="5" s="1"/>
  <c r="F110" i="19"/>
  <c r="E58" i="5" s="1"/>
  <c r="E110" i="19"/>
  <c r="D58" i="5" s="1"/>
  <c r="D110" i="19"/>
  <c r="C58" i="5" s="1"/>
  <c r="C110" i="19"/>
  <c r="B58" i="5" s="1"/>
  <c r="B109" i="19"/>
  <c r="A109" i="19"/>
  <c r="B108" i="19"/>
  <c r="A108" i="19"/>
  <c r="B107" i="19"/>
  <c r="A107" i="19"/>
  <c r="B106" i="19"/>
  <c r="A106" i="19"/>
  <c r="B105" i="19"/>
  <c r="A105" i="19"/>
  <c r="B104" i="19"/>
  <c r="A104" i="19"/>
  <c r="B103" i="19"/>
  <c r="A103" i="19"/>
  <c r="B102" i="19"/>
  <c r="A102" i="19"/>
  <c r="B101" i="19"/>
  <c r="A101" i="19"/>
  <c r="B100" i="19"/>
  <c r="A100" i="19"/>
  <c r="B99" i="19"/>
  <c r="A99" i="19"/>
  <c r="B98" i="19"/>
  <c r="A98" i="19"/>
  <c r="B97" i="19"/>
  <c r="A97" i="19"/>
  <c r="B96" i="19"/>
  <c r="A96" i="19"/>
  <c r="B95" i="19"/>
  <c r="A95" i="19"/>
  <c r="B94" i="19"/>
  <c r="A94" i="19"/>
  <c r="B93" i="19"/>
  <c r="A93" i="19"/>
  <c r="B92" i="19"/>
  <c r="A92" i="19"/>
  <c r="B91" i="19"/>
  <c r="A91" i="19"/>
  <c r="B90" i="19"/>
  <c r="A90" i="19"/>
  <c r="B89" i="19"/>
  <c r="A89" i="19"/>
  <c r="B88" i="19"/>
  <c r="A88" i="19"/>
  <c r="B87" i="19"/>
  <c r="A87" i="19"/>
  <c r="B86" i="19"/>
  <c r="A86" i="19"/>
  <c r="B85" i="19"/>
  <c r="A85" i="19"/>
  <c r="B84" i="19"/>
  <c r="A84" i="19"/>
  <c r="B83" i="19"/>
  <c r="A83" i="19"/>
  <c r="B82" i="19"/>
  <c r="A82" i="19"/>
  <c r="B81" i="19"/>
  <c r="A81" i="19"/>
  <c r="B80" i="19"/>
  <c r="A80" i="19"/>
  <c r="B79" i="19"/>
  <c r="A79" i="19"/>
  <c r="B78" i="19"/>
  <c r="A78" i="19"/>
  <c r="B77" i="19"/>
  <c r="A77" i="19"/>
  <c r="B76" i="19"/>
  <c r="A76" i="19"/>
  <c r="B75" i="19"/>
  <c r="A75" i="19"/>
  <c r="B74" i="19"/>
  <c r="A74" i="19"/>
  <c r="B73" i="19"/>
  <c r="A73" i="19"/>
  <c r="B72" i="19"/>
  <c r="A72" i="19"/>
  <c r="B71" i="19"/>
  <c r="A71" i="19"/>
  <c r="B70" i="19"/>
  <c r="A70" i="19"/>
  <c r="B69" i="19"/>
  <c r="A69" i="19"/>
  <c r="B68" i="19"/>
  <c r="A68" i="19"/>
  <c r="B67" i="19"/>
  <c r="A67" i="19"/>
  <c r="B66" i="19"/>
  <c r="A66" i="19"/>
  <c r="B65" i="19"/>
  <c r="A65" i="19"/>
  <c r="B64" i="19"/>
  <c r="A64" i="19"/>
  <c r="B63" i="19"/>
  <c r="A63" i="19"/>
  <c r="B62" i="19"/>
  <c r="A62" i="19"/>
  <c r="B61" i="19"/>
  <c r="A61" i="19"/>
  <c r="B60" i="19"/>
  <c r="A60" i="19"/>
  <c r="M57" i="19"/>
  <c r="D57" i="19"/>
  <c r="C17" i="5" s="1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J110" i="18"/>
  <c r="I57" i="5" s="1"/>
  <c r="I110" i="18"/>
  <c r="H57" i="5" s="1"/>
  <c r="H110" i="18"/>
  <c r="G57" i="5" s="1"/>
  <c r="G110" i="18"/>
  <c r="F57" i="5" s="1"/>
  <c r="F110" i="18"/>
  <c r="E57" i="5" s="1"/>
  <c r="E110" i="18"/>
  <c r="D57" i="5" s="1"/>
  <c r="D110" i="18"/>
  <c r="C57" i="5" s="1"/>
  <c r="C110" i="18"/>
  <c r="B57" i="5" s="1"/>
  <c r="B109" i="18"/>
  <c r="A109" i="18"/>
  <c r="B108" i="18"/>
  <c r="A108" i="18"/>
  <c r="B107" i="18"/>
  <c r="A107" i="18"/>
  <c r="B106" i="18"/>
  <c r="A106" i="18"/>
  <c r="B105" i="18"/>
  <c r="A105" i="18"/>
  <c r="B104" i="18"/>
  <c r="A104" i="18"/>
  <c r="B103" i="18"/>
  <c r="A103" i="18"/>
  <c r="B102" i="18"/>
  <c r="A102" i="18"/>
  <c r="B101" i="18"/>
  <c r="A101" i="18"/>
  <c r="B100" i="18"/>
  <c r="A100" i="18"/>
  <c r="B99" i="18"/>
  <c r="A99" i="18"/>
  <c r="B98" i="18"/>
  <c r="A98" i="18"/>
  <c r="B97" i="18"/>
  <c r="A97" i="18"/>
  <c r="B96" i="18"/>
  <c r="A96" i="18"/>
  <c r="B95" i="18"/>
  <c r="A95" i="18"/>
  <c r="B94" i="18"/>
  <c r="A94" i="18"/>
  <c r="B93" i="18"/>
  <c r="A93" i="18"/>
  <c r="B92" i="18"/>
  <c r="A92" i="18"/>
  <c r="B91" i="18"/>
  <c r="A91" i="18"/>
  <c r="B90" i="18"/>
  <c r="A90" i="18"/>
  <c r="B89" i="18"/>
  <c r="A89" i="18"/>
  <c r="B88" i="18"/>
  <c r="A88" i="18"/>
  <c r="B87" i="18"/>
  <c r="A87" i="18"/>
  <c r="B86" i="18"/>
  <c r="A86" i="18"/>
  <c r="B85" i="18"/>
  <c r="A85" i="18"/>
  <c r="B84" i="18"/>
  <c r="A84" i="18"/>
  <c r="B83" i="18"/>
  <c r="A83" i="18"/>
  <c r="B82" i="18"/>
  <c r="A82" i="18"/>
  <c r="B81" i="18"/>
  <c r="A81" i="18"/>
  <c r="B80" i="18"/>
  <c r="A80" i="18"/>
  <c r="B79" i="18"/>
  <c r="A79" i="18"/>
  <c r="B78" i="18"/>
  <c r="A78" i="18"/>
  <c r="B77" i="18"/>
  <c r="A77" i="18"/>
  <c r="B76" i="18"/>
  <c r="A76" i="18"/>
  <c r="B75" i="18"/>
  <c r="A75" i="18"/>
  <c r="B74" i="18"/>
  <c r="A74" i="18"/>
  <c r="B73" i="18"/>
  <c r="A73" i="18"/>
  <c r="B72" i="18"/>
  <c r="A72" i="18"/>
  <c r="B71" i="18"/>
  <c r="A71" i="18"/>
  <c r="B70" i="18"/>
  <c r="A70" i="18"/>
  <c r="B69" i="18"/>
  <c r="A69" i="18"/>
  <c r="B68" i="18"/>
  <c r="A68" i="18"/>
  <c r="B67" i="18"/>
  <c r="A67" i="18"/>
  <c r="B66" i="18"/>
  <c r="A66" i="18"/>
  <c r="B65" i="18"/>
  <c r="A65" i="18"/>
  <c r="B64" i="18"/>
  <c r="A64" i="18"/>
  <c r="B63" i="18"/>
  <c r="A63" i="18"/>
  <c r="B62" i="18"/>
  <c r="A62" i="18"/>
  <c r="B61" i="18"/>
  <c r="A61" i="18"/>
  <c r="B60" i="18"/>
  <c r="A60" i="18"/>
  <c r="M57" i="18"/>
  <c r="D57" i="18"/>
  <c r="C16" i="5" s="1"/>
  <c r="C55" i="18"/>
  <c r="J110" i="17"/>
  <c r="I56" i="5" s="1"/>
  <c r="I110" i="17"/>
  <c r="H56" i="5" s="1"/>
  <c r="H110" i="17"/>
  <c r="G56" i="5" s="1"/>
  <c r="G110" i="17"/>
  <c r="F56" i="5" s="1"/>
  <c r="F110" i="17"/>
  <c r="E56" i="5" s="1"/>
  <c r="E110" i="17"/>
  <c r="D56" i="5" s="1"/>
  <c r="D110" i="17"/>
  <c r="C56" i="5" s="1"/>
  <c r="C110" i="17"/>
  <c r="B56" i="5" s="1"/>
  <c r="B109" i="17"/>
  <c r="A109" i="17"/>
  <c r="B108" i="17"/>
  <c r="A108" i="17"/>
  <c r="B107" i="17"/>
  <c r="A107" i="17"/>
  <c r="B106" i="17"/>
  <c r="A106" i="17"/>
  <c r="B105" i="17"/>
  <c r="A105" i="17"/>
  <c r="B104" i="17"/>
  <c r="A104" i="17"/>
  <c r="B103" i="17"/>
  <c r="A103" i="17"/>
  <c r="B102" i="17"/>
  <c r="A102" i="17"/>
  <c r="B101" i="17"/>
  <c r="A101" i="17"/>
  <c r="B100" i="17"/>
  <c r="A100" i="17"/>
  <c r="B99" i="17"/>
  <c r="A99" i="17"/>
  <c r="B98" i="17"/>
  <c r="A98" i="17"/>
  <c r="B97" i="17"/>
  <c r="A97" i="17"/>
  <c r="B96" i="17"/>
  <c r="A96" i="17"/>
  <c r="B95" i="17"/>
  <c r="A95" i="17"/>
  <c r="B94" i="17"/>
  <c r="A94" i="17"/>
  <c r="B93" i="17"/>
  <c r="A93" i="17"/>
  <c r="B92" i="17"/>
  <c r="A92" i="17"/>
  <c r="B91" i="17"/>
  <c r="A91" i="17"/>
  <c r="B90" i="17"/>
  <c r="A90" i="17"/>
  <c r="B89" i="17"/>
  <c r="A89" i="17"/>
  <c r="B88" i="17"/>
  <c r="A88" i="17"/>
  <c r="B87" i="17"/>
  <c r="A87" i="17"/>
  <c r="B86" i="17"/>
  <c r="A86" i="17"/>
  <c r="B85" i="17"/>
  <c r="A85" i="17"/>
  <c r="B84" i="17"/>
  <c r="A84" i="17"/>
  <c r="B83" i="17"/>
  <c r="A83" i="17"/>
  <c r="B82" i="17"/>
  <c r="A82" i="17"/>
  <c r="B81" i="17"/>
  <c r="A81" i="17"/>
  <c r="B80" i="17"/>
  <c r="A80" i="17"/>
  <c r="B79" i="17"/>
  <c r="A79" i="17"/>
  <c r="B78" i="17"/>
  <c r="A78" i="17"/>
  <c r="B77" i="17"/>
  <c r="A77" i="17"/>
  <c r="B76" i="17"/>
  <c r="A76" i="17"/>
  <c r="B75" i="17"/>
  <c r="A75" i="17"/>
  <c r="B74" i="17"/>
  <c r="A74" i="17"/>
  <c r="B73" i="17"/>
  <c r="A73" i="17"/>
  <c r="B72" i="17"/>
  <c r="A72" i="17"/>
  <c r="B71" i="17"/>
  <c r="A71" i="17"/>
  <c r="B70" i="17"/>
  <c r="A70" i="17"/>
  <c r="B69" i="17"/>
  <c r="A69" i="17"/>
  <c r="B68" i="17"/>
  <c r="A68" i="17"/>
  <c r="B67" i="17"/>
  <c r="A67" i="17"/>
  <c r="B66" i="17"/>
  <c r="A66" i="17"/>
  <c r="B65" i="17"/>
  <c r="A65" i="17"/>
  <c r="B64" i="17"/>
  <c r="A64" i="17"/>
  <c r="B63" i="17"/>
  <c r="A63" i="17"/>
  <c r="B62" i="17"/>
  <c r="A62" i="17"/>
  <c r="B61" i="17"/>
  <c r="A61" i="17"/>
  <c r="B60" i="17"/>
  <c r="A60" i="17"/>
  <c r="M57" i="17"/>
  <c r="D57" i="17"/>
  <c r="C15" i="5" s="1"/>
  <c r="C55" i="17"/>
  <c r="C54" i="17"/>
  <c r="C53" i="17"/>
  <c r="C52" i="17"/>
  <c r="C51" i="17"/>
  <c r="C50" i="17"/>
  <c r="C49" i="17"/>
  <c r="C48" i="17"/>
  <c r="C47" i="17"/>
  <c r="C46" i="17"/>
  <c r="C45" i="17"/>
  <c r="J110" i="16"/>
  <c r="I55" i="5" s="1"/>
  <c r="I110" i="16"/>
  <c r="H55" i="5" s="1"/>
  <c r="H110" i="16"/>
  <c r="G55" i="5" s="1"/>
  <c r="G110" i="16"/>
  <c r="F55" i="5" s="1"/>
  <c r="F110" i="16"/>
  <c r="E55" i="5" s="1"/>
  <c r="E110" i="16"/>
  <c r="D55" i="5" s="1"/>
  <c r="D110" i="16"/>
  <c r="C55" i="5" s="1"/>
  <c r="C110" i="16"/>
  <c r="B55" i="5" s="1"/>
  <c r="B109" i="16"/>
  <c r="A109" i="16"/>
  <c r="B108" i="16"/>
  <c r="A108" i="16"/>
  <c r="B107" i="16"/>
  <c r="A107" i="16"/>
  <c r="B106" i="16"/>
  <c r="A106" i="16"/>
  <c r="B105" i="16"/>
  <c r="A105" i="16"/>
  <c r="B104" i="16"/>
  <c r="A104" i="16"/>
  <c r="B103" i="16"/>
  <c r="A103" i="16"/>
  <c r="B102" i="16"/>
  <c r="A102" i="16"/>
  <c r="B101" i="16"/>
  <c r="A101" i="16"/>
  <c r="B100" i="16"/>
  <c r="A100" i="16"/>
  <c r="B99" i="16"/>
  <c r="A99" i="16"/>
  <c r="B98" i="16"/>
  <c r="A98" i="16"/>
  <c r="B97" i="16"/>
  <c r="A97" i="16"/>
  <c r="B96" i="16"/>
  <c r="A96" i="16"/>
  <c r="B95" i="16"/>
  <c r="A95" i="16"/>
  <c r="B94" i="16"/>
  <c r="A94" i="16"/>
  <c r="B93" i="16"/>
  <c r="A93" i="16"/>
  <c r="B92" i="16"/>
  <c r="A92" i="16"/>
  <c r="B91" i="16"/>
  <c r="A91" i="16"/>
  <c r="B90" i="16"/>
  <c r="A90" i="16"/>
  <c r="B89" i="16"/>
  <c r="A89" i="16"/>
  <c r="B88" i="16"/>
  <c r="A88" i="16"/>
  <c r="B87" i="16"/>
  <c r="A87" i="16"/>
  <c r="B86" i="16"/>
  <c r="A86" i="16"/>
  <c r="B85" i="16"/>
  <c r="A85" i="16"/>
  <c r="B84" i="16"/>
  <c r="A84" i="16"/>
  <c r="B83" i="16"/>
  <c r="A83" i="16"/>
  <c r="B82" i="16"/>
  <c r="A82" i="16"/>
  <c r="B81" i="16"/>
  <c r="A81" i="16"/>
  <c r="B80" i="16"/>
  <c r="A80" i="16"/>
  <c r="B79" i="16"/>
  <c r="A79" i="16"/>
  <c r="B78" i="16"/>
  <c r="A78" i="16"/>
  <c r="B77" i="16"/>
  <c r="A77" i="16"/>
  <c r="B76" i="16"/>
  <c r="A76" i="16"/>
  <c r="B75" i="16"/>
  <c r="A75" i="16"/>
  <c r="B74" i="16"/>
  <c r="A74" i="16"/>
  <c r="B73" i="16"/>
  <c r="A73" i="16"/>
  <c r="B72" i="16"/>
  <c r="A72" i="16"/>
  <c r="B71" i="16"/>
  <c r="A71" i="16"/>
  <c r="B70" i="16"/>
  <c r="A70" i="16"/>
  <c r="B69" i="16"/>
  <c r="A69" i="16"/>
  <c r="B68" i="16"/>
  <c r="A68" i="16"/>
  <c r="B67" i="16"/>
  <c r="A67" i="16"/>
  <c r="B66" i="16"/>
  <c r="A66" i="16"/>
  <c r="B65" i="16"/>
  <c r="A65" i="16"/>
  <c r="B64" i="16"/>
  <c r="A64" i="16"/>
  <c r="B63" i="16"/>
  <c r="A63" i="16"/>
  <c r="B62" i="16"/>
  <c r="A62" i="16"/>
  <c r="B61" i="16"/>
  <c r="A61" i="16"/>
  <c r="B60" i="16"/>
  <c r="A60" i="16"/>
  <c r="M57" i="16"/>
  <c r="D57" i="16"/>
  <c r="C14" i="5" s="1"/>
  <c r="C55" i="16"/>
  <c r="J110" i="15"/>
  <c r="I54" i="5" s="1"/>
  <c r="I110" i="15"/>
  <c r="H54" i="5" s="1"/>
  <c r="H110" i="15"/>
  <c r="G54" i="5" s="1"/>
  <c r="G110" i="15"/>
  <c r="F54" i="5" s="1"/>
  <c r="F110" i="15"/>
  <c r="E54" i="5" s="1"/>
  <c r="E110" i="15"/>
  <c r="D54" i="5" s="1"/>
  <c r="D110" i="15"/>
  <c r="C54" i="5" s="1"/>
  <c r="C110" i="15"/>
  <c r="B54" i="5" s="1"/>
  <c r="B109" i="15"/>
  <c r="A109" i="15"/>
  <c r="B108" i="15"/>
  <c r="A108" i="15"/>
  <c r="B107" i="15"/>
  <c r="A107" i="15"/>
  <c r="B106" i="15"/>
  <c r="A106" i="15"/>
  <c r="B105" i="15"/>
  <c r="A105" i="15"/>
  <c r="B104" i="15"/>
  <c r="A104" i="15"/>
  <c r="B103" i="15"/>
  <c r="A103" i="15"/>
  <c r="B102" i="15"/>
  <c r="A102" i="15"/>
  <c r="B101" i="15"/>
  <c r="A101" i="15"/>
  <c r="B100" i="15"/>
  <c r="A100" i="15"/>
  <c r="B99" i="15"/>
  <c r="A99" i="15"/>
  <c r="B98" i="15"/>
  <c r="A98" i="15"/>
  <c r="B97" i="15"/>
  <c r="A97" i="15"/>
  <c r="B96" i="15"/>
  <c r="A96" i="15"/>
  <c r="B95" i="15"/>
  <c r="A95" i="15"/>
  <c r="B94" i="15"/>
  <c r="A94" i="15"/>
  <c r="B93" i="15"/>
  <c r="A93" i="15"/>
  <c r="B92" i="15"/>
  <c r="A92" i="15"/>
  <c r="B91" i="15"/>
  <c r="A91" i="15"/>
  <c r="B90" i="15"/>
  <c r="A90" i="15"/>
  <c r="B89" i="15"/>
  <c r="A89" i="15"/>
  <c r="B88" i="15"/>
  <c r="A88" i="15"/>
  <c r="B87" i="15"/>
  <c r="A87" i="15"/>
  <c r="B86" i="15"/>
  <c r="A86" i="15"/>
  <c r="B85" i="15"/>
  <c r="A85" i="15"/>
  <c r="B84" i="15"/>
  <c r="A84" i="15"/>
  <c r="B83" i="15"/>
  <c r="A83" i="15"/>
  <c r="B82" i="15"/>
  <c r="A82" i="15"/>
  <c r="B81" i="15"/>
  <c r="A81" i="15"/>
  <c r="B80" i="15"/>
  <c r="A80" i="15"/>
  <c r="B79" i="15"/>
  <c r="A79" i="15"/>
  <c r="B78" i="15"/>
  <c r="B77" i="15"/>
  <c r="A77" i="15"/>
  <c r="B76" i="15"/>
  <c r="A76" i="15"/>
  <c r="B75" i="15"/>
  <c r="A75" i="15"/>
  <c r="B74" i="15"/>
  <c r="A74" i="15"/>
  <c r="B73" i="15"/>
  <c r="A73" i="15"/>
  <c r="B72" i="15"/>
  <c r="A72" i="15"/>
  <c r="B71" i="15"/>
  <c r="A71" i="15"/>
  <c r="B70" i="15"/>
  <c r="A70" i="15"/>
  <c r="B69" i="15"/>
  <c r="A69" i="15"/>
  <c r="B68" i="15"/>
  <c r="A68" i="15"/>
  <c r="B67" i="15"/>
  <c r="A67" i="15"/>
  <c r="B66" i="15"/>
  <c r="A66" i="15"/>
  <c r="B65" i="15"/>
  <c r="A65" i="15"/>
  <c r="B64" i="15"/>
  <c r="A64" i="15"/>
  <c r="B63" i="15"/>
  <c r="A63" i="15"/>
  <c r="B62" i="15"/>
  <c r="A62" i="15"/>
  <c r="B61" i="15"/>
  <c r="A61" i="15"/>
  <c r="B60" i="15"/>
  <c r="A60" i="15"/>
  <c r="M57" i="15"/>
  <c r="D57" i="15"/>
  <c r="C13" i="5" s="1"/>
  <c r="J110" i="14"/>
  <c r="I53" i="5" s="1"/>
  <c r="I110" i="14"/>
  <c r="H53" i="5" s="1"/>
  <c r="H110" i="14"/>
  <c r="G53" i="5" s="1"/>
  <c r="G110" i="14"/>
  <c r="F53" i="5" s="1"/>
  <c r="F110" i="14"/>
  <c r="E53" i="5" s="1"/>
  <c r="E110" i="14"/>
  <c r="D53" i="5" s="1"/>
  <c r="D110" i="14"/>
  <c r="C53" i="5" s="1"/>
  <c r="C110" i="14"/>
  <c r="B109" i="14"/>
  <c r="A109" i="14"/>
  <c r="B108" i="14"/>
  <c r="A108" i="14"/>
  <c r="B107" i="14"/>
  <c r="A107" i="14"/>
  <c r="B106" i="14"/>
  <c r="A106" i="14"/>
  <c r="B105" i="14"/>
  <c r="A105" i="14"/>
  <c r="B104" i="14"/>
  <c r="A104" i="14"/>
  <c r="B103" i="14"/>
  <c r="A103" i="14"/>
  <c r="B102" i="14"/>
  <c r="A102" i="14"/>
  <c r="B101" i="14"/>
  <c r="A101" i="14"/>
  <c r="B100" i="14"/>
  <c r="A100" i="14"/>
  <c r="B99" i="14"/>
  <c r="A99" i="14"/>
  <c r="B98" i="14"/>
  <c r="A98" i="14"/>
  <c r="B97" i="14"/>
  <c r="A97" i="14"/>
  <c r="B96" i="14"/>
  <c r="A96" i="14"/>
  <c r="B95" i="14"/>
  <c r="A95" i="14"/>
  <c r="B94" i="14"/>
  <c r="A94" i="14"/>
  <c r="B93" i="14"/>
  <c r="A93" i="14"/>
  <c r="B92" i="14"/>
  <c r="A92" i="14"/>
  <c r="B91" i="14"/>
  <c r="A91" i="14"/>
  <c r="B90" i="14"/>
  <c r="A90" i="14"/>
  <c r="B89" i="14"/>
  <c r="A89" i="14"/>
  <c r="B88" i="14"/>
  <c r="A88" i="14"/>
  <c r="B87" i="14"/>
  <c r="A87" i="14"/>
  <c r="B86" i="14"/>
  <c r="A86" i="14"/>
  <c r="B85" i="14"/>
  <c r="A85" i="14"/>
  <c r="B84" i="14"/>
  <c r="A84" i="14"/>
  <c r="B83" i="14"/>
  <c r="A83" i="14"/>
  <c r="B82" i="14"/>
  <c r="A82" i="14"/>
  <c r="B81" i="14"/>
  <c r="A81" i="14"/>
  <c r="B80" i="14"/>
  <c r="A80" i="14"/>
  <c r="B79" i="14"/>
  <c r="A79" i="14"/>
  <c r="B78" i="14"/>
  <c r="A78" i="14"/>
  <c r="B77" i="14"/>
  <c r="A77" i="14"/>
  <c r="B76" i="14"/>
  <c r="A76" i="14"/>
  <c r="B75" i="14"/>
  <c r="A75" i="14"/>
  <c r="B74" i="14"/>
  <c r="A74" i="14"/>
  <c r="B73" i="14"/>
  <c r="A73" i="14"/>
  <c r="B72" i="14"/>
  <c r="A72" i="14"/>
  <c r="B71" i="14"/>
  <c r="A71" i="14"/>
  <c r="B70" i="14"/>
  <c r="A70" i="14"/>
  <c r="B69" i="14"/>
  <c r="A69" i="14"/>
  <c r="B68" i="14"/>
  <c r="A68" i="14"/>
  <c r="B67" i="14"/>
  <c r="A67" i="14"/>
  <c r="B66" i="14"/>
  <c r="A66" i="14"/>
  <c r="B65" i="14"/>
  <c r="A65" i="14"/>
  <c r="B64" i="14"/>
  <c r="A64" i="14"/>
  <c r="B63" i="14"/>
  <c r="A63" i="14"/>
  <c r="B62" i="14"/>
  <c r="A62" i="14"/>
  <c r="B61" i="14"/>
  <c r="A61" i="14"/>
  <c r="B60" i="14"/>
  <c r="A60" i="14"/>
  <c r="M57" i="14"/>
  <c r="D57" i="14"/>
  <c r="C12" i="5" s="1"/>
  <c r="C55" i="14"/>
  <c r="A61" i="12"/>
  <c r="B61" i="12"/>
  <c r="A62" i="12"/>
  <c r="B62" i="12"/>
  <c r="A63" i="12"/>
  <c r="B63" i="12"/>
  <c r="A64" i="12"/>
  <c r="B64" i="12"/>
  <c r="A65" i="12"/>
  <c r="B65" i="12"/>
  <c r="A66" i="12"/>
  <c r="B66" i="12"/>
  <c r="A67" i="12"/>
  <c r="B67" i="12"/>
  <c r="A68" i="12"/>
  <c r="B68" i="12"/>
  <c r="A69" i="12"/>
  <c r="B69" i="12"/>
  <c r="A70" i="12"/>
  <c r="B70" i="12"/>
  <c r="A71" i="12"/>
  <c r="B71" i="12"/>
  <c r="A72" i="12"/>
  <c r="B72" i="12"/>
  <c r="A73" i="12"/>
  <c r="B73" i="12"/>
  <c r="A74" i="12"/>
  <c r="B74" i="12"/>
  <c r="A75" i="12"/>
  <c r="B75" i="12"/>
  <c r="A76" i="12"/>
  <c r="B76" i="12"/>
  <c r="A77" i="12"/>
  <c r="B77" i="12"/>
  <c r="A78" i="12"/>
  <c r="B78" i="12"/>
  <c r="A79" i="12"/>
  <c r="B79" i="12"/>
  <c r="A80" i="12"/>
  <c r="B80" i="12"/>
  <c r="A81" i="12"/>
  <c r="B81" i="12"/>
  <c r="A82" i="12"/>
  <c r="B82" i="12"/>
  <c r="A83" i="12"/>
  <c r="B83" i="12"/>
  <c r="A84" i="12"/>
  <c r="B84" i="12"/>
  <c r="A85" i="12"/>
  <c r="B85" i="12"/>
  <c r="A86" i="12"/>
  <c r="B86" i="12"/>
  <c r="A87" i="12"/>
  <c r="B87" i="12"/>
  <c r="A88" i="12"/>
  <c r="B88" i="12"/>
  <c r="A89" i="12"/>
  <c r="B89" i="12"/>
  <c r="A90" i="12"/>
  <c r="B90" i="12"/>
  <c r="A91" i="12"/>
  <c r="B91" i="12"/>
  <c r="A92" i="12"/>
  <c r="B92" i="12"/>
  <c r="A93" i="12"/>
  <c r="B93" i="12"/>
  <c r="A94" i="12"/>
  <c r="B94" i="12"/>
  <c r="A95" i="12"/>
  <c r="B95" i="12"/>
  <c r="A96" i="12"/>
  <c r="B96" i="12"/>
  <c r="A97" i="12"/>
  <c r="B97" i="12"/>
  <c r="A98" i="12"/>
  <c r="B98" i="12"/>
  <c r="A99" i="12"/>
  <c r="B99" i="12"/>
  <c r="A100" i="12"/>
  <c r="B100" i="12"/>
  <c r="A101" i="12"/>
  <c r="B101" i="12"/>
  <c r="A102" i="12"/>
  <c r="B102" i="12"/>
  <c r="A103" i="12"/>
  <c r="B103" i="12"/>
  <c r="A104" i="12"/>
  <c r="B104" i="12"/>
  <c r="A105" i="12"/>
  <c r="B105" i="12"/>
  <c r="A106" i="12"/>
  <c r="B106" i="12"/>
  <c r="A107" i="12"/>
  <c r="B107" i="12"/>
  <c r="A108" i="12"/>
  <c r="B108" i="12"/>
  <c r="A109" i="12"/>
  <c r="B109" i="12"/>
  <c r="B60" i="12"/>
  <c r="A60" i="12"/>
  <c r="A61" i="13"/>
  <c r="B61" i="13"/>
  <c r="A62" i="13"/>
  <c r="B62" i="13"/>
  <c r="A63" i="13"/>
  <c r="B63" i="13"/>
  <c r="A64" i="13"/>
  <c r="B64" i="13"/>
  <c r="A65" i="13"/>
  <c r="B65" i="13"/>
  <c r="A66" i="13"/>
  <c r="B66" i="13"/>
  <c r="A67" i="13"/>
  <c r="B67" i="13"/>
  <c r="A68" i="13"/>
  <c r="B68" i="13"/>
  <c r="A69" i="13"/>
  <c r="B69" i="13"/>
  <c r="A70" i="13"/>
  <c r="B70" i="13"/>
  <c r="A71" i="13"/>
  <c r="B71" i="13"/>
  <c r="A72" i="13"/>
  <c r="B72" i="13"/>
  <c r="A73" i="13"/>
  <c r="B73" i="13"/>
  <c r="A74" i="13"/>
  <c r="B74" i="13"/>
  <c r="A75" i="13"/>
  <c r="B75" i="13"/>
  <c r="A76" i="13"/>
  <c r="B76" i="13"/>
  <c r="A77" i="13"/>
  <c r="B77" i="13"/>
  <c r="A78" i="13"/>
  <c r="B78" i="13"/>
  <c r="A79" i="13"/>
  <c r="B79" i="13"/>
  <c r="A80" i="13"/>
  <c r="B80" i="13"/>
  <c r="A81" i="13"/>
  <c r="B81" i="13"/>
  <c r="A82" i="13"/>
  <c r="B82" i="13"/>
  <c r="A83" i="13"/>
  <c r="B83" i="13"/>
  <c r="A84" i="13"/>
  <c r="B84" i="13"/>
  <c r="A85" i="13"/>
  <c r="B85" i="13"/>
  <c r="A86" i="13"/>
  <c r="B86" i="13"/>
  <c r="A87" i="13"/>
  <c r="B87" i="13"/>
  <c r="A88" i="13"/>
  <c r="B88" i="13"/>
  <c r="A89" i="13"/>
  <c r="B89" i="13"/>
  <c r="A90" i="13"/>
  <c r="B90" i="13"/>
  <c r="A91" i="13"/>
  <c r="B91" i="13"/>
  <c r="A92" i="13"/>
  <c r="B92" i="13"/>
  <c r="A93" i="13"/>
  <c r="B93" i="13"/>
  <c r="A94" i="13"/>
  <c r="B94" i="13"/>
  <c r="A95" i="13"/>
  <c r="B95" i="13"/>
  <c r="A96" i="13"/>
  <c r="B96" i="13"/>
  <c r="A97" i="13"/>
  <c r="B97" i="13"/>
  <c r="A98" i="13"/>
  <c r="B98" i="13"/>
  <c r="A99" i="13"/>
  <c r="B99" i="13"/>
  <c r="A100" i="13"/>
  <c r="B100" i="13"/>
  <c r="A101" i="13"/>
  <c r="B101" i="13"/>
  <c r="A102" i="13"/>
  <c r="B102" i="13"/>
  <c r="A103" i="13"/>
  <c r="B103" i="13"/>
  <c r="A104" i="13"/>
  <c r="B104" i="13"/>
  <c r="A105" i="13"/>
  <c r="B105" i="13"/>
  <c r="A106" i="13"/>
  <c r="B106" i="13"/>
  <c r="A107" i="13"/>
  <c r="B107" i="13"/>
  <c r="A108" i="13"/>
  <c r="B108" i="13"/>
  <c r="A109" i="13"/>
  <c r="B109" i="13"/>
  <c r="B60" i="13"/>
  <c r="A60" i="13"/>
  <c r="A61" i="11"/>
  <c r="B61" i="11"/>
  <c r="A62" i="11"/>
  <c r="B62" i="11"/>
  <c r="A63" i="11"/>
  <c r="B63" i="11"/>
  <c r="A64" i="11"/>
  <c r="B64" i="11"/>
  <c r="A65" i="11"/>
  <c r="B65" i="11"/>
  <c r="A66" i="11"/>
  <c r="B66" i="11"/>
  <c r="A67" i="11"/>
  <c r="B67" i="11"/>
  <c r="A68" i="11"/>
  <c r="B68" i="11"/>
  <c r="A69" i="11"/>
  <c r="B69" i="11"/>
  <c r="A70" i="11"/>
  <c r="B70" i="11"/>
  <c r="A71" i="11"/>
  <c r="B71" i="11"/>
  <c r="A72" i="11"/>
  <c r="B72" i="11"/>
  <c r="A73" i="11"/>
  <c r="B73" i="11"/>
  <c r="A74" i="11"/>
  <c r="B74" i="11"/>
  <c r="A75" i="11"/>
  <c r="B75" i="11"/>
  <c r="A76" i="11"/>
  <c r="B76" i="11"/>
  <c r="A77" i="11"/>
  <c r="B77" i="11"/>
  <c r="A78" i="11"/>
  <c r="B78" i="11"/>
  <c r="A79" i="11"/>
  <c r="B79" i="11"/>
  <c r="A80" i="11"/>
  <c r="B80" i="11"/>
  <c r="A81" i="11"/>
  <c r="B81" i="11"/>
  <c r="A82" i="11"/>
  <c r="B82" i="11"/>
  <c r="A83" i="11"/>
  <c r="B83" i="11"/>
  <c r="A84" i="11"/>
  <c r="B84" i="11"/>
  <c r="A85" i="11"/>
  <c r="B85" i="11"/>
  <c r="A86" i="11"/>
  <c r="B86" i="11"/>
  <c r="A87" i="11"/>
  <c r="B87" i="11"/>
  <c r="A88" i="11"/>
  <c r="B88" i="11"/>
  <c r="A89" i="11"/>
  <c r="B89" i="11"/>
  <c r="A90" i="11"/>
  <c r="B90" i="11"/>
  <c r="A91" i="11"/>
  <c r="B91" i="11"/>
  <c r="A92" i="11"/>
  <c r="B92" i="11"/>
  <c r="A93" i="11"/>
  <c r="B93" i="11"/>
  <c r="A94" i="11"/>
  <c r="B94" i="11"/>
  <c r="A95" i="11"/>
  <c r="B95" i="11"/>
  <c r="A96" i="11"/>
  <c r="B96" i="11"/>
  <c r="A97" i="11"/>
  <c r="B97" i="11"/>
  <c r="A98" i="11"/>
  <c r="B98" i="11"/>
  <c r="A99" i="11"/>
  <c r="B99" i="11"/>
  <c r="A100" i="11"/>
  <c r="B100" i="11"/>
  <c r="A101" i="11"/>
  <c r="B101" i="11"/>
  <c r="A102" i="11"/>
  <c r="B102" i="11"/>
  <c r="A103" i="11"/>
  <c r="B103" i="11"/>
  <c r="A104" i="11"/>
  <c r="B104" i="11"/>
  <c r="A105" i="11"/>
  <c r="B105" i="11"/>
  <c r="A106" i="11"/>
  <c r="B106" i="11"/>
  <c r="A107" i="11"/>
  <c r="B107" i="11"/>
  <c r="A108" i="11"/>
  <c r="B108" i="11"/>
  <c r="A109" i="11"/>
  <c r="B109" i="11"/>
  <c r="B60" i="11"/>
  <c r="A60" i="11"/>
  <c r="A66" i="1"/>
  <c r="I52" i="5"/>
  <c r="H52" i="5"/>
  <c r="G52" i="5"/>
  <c r="F52" i="5"/>
  <c r="E52" i="5"/>
  <c r="D52" i="5"/>
  <c r="C52" i="5"/>
  <c r="B52" i="5"/>
  <c r="C11" i="5"/>
  <c r="K116" i="5"/>
  <c r="K40" i="5" s="1"/>
  <c r="J110" i="12"/>
  <c r="I51" i="5" s="1"/>
  <c r="I110" i="12"/>
  <c r="H51" i="5" s="1"/>
  <c r="H110" i="12"/>
  <c r="G51" i="5" s="1"/>
  <c r="G110" i="12"/>
  <c r="F51" i="5" s="1"/>
  <c r="F110" i="12"/>
  <c r="E51" i="5" s="1"/>
  <c r="E110" i="12"/>
  <c r="D51" i="5" s="1"/>
  <c r="D110" i="12"/>
  <c r="C51" i="5" s="1"/>
  <c r="C110" i="12"/>
  <c r="B51" i="5" s="1"/>
  <c r="M57" i="12"/>
  <c r="D57" i="12"/>
  <c r="C10" i="5" s="1"/>
  <c r="C55" i="12"/>
  <c r="J110" i="11"/>
  <c r="I50" i="5" s="1"/>
  <c r="I110" i="11"/>
  <c r="H50" i="5" s="1"/>
  <c r="H110" i="11"/>
  <c r="G50" i="5" s="1"/>
  <c r="G110" i="11"/>
  <c r="F50" i="5" s="1"/>
  <c r="F110" i="11"/>
  <c r="E50" i="5" s="1"/>
  <c r="E110" i="11"/>
  <c r="D50" i="5" s="1"/>
  <c r="D110" i="11"/>
  <c r="C50" i="5" s="1"/>
  <c r="C110" i="11"/>
  <c r="B50" i="5" s="1"/>
  <c r="M57" i="11"/>
  <c r="D57" i="11"/>
  <c r="C9" i="5" s="1"/>
  <c r="L110" i="10"/>
  <c r="J110" i="10"/>
  <c r="I49" i="5" s="1"/>
  <c r="I110" i="10"/>
  <c r="H49" i="5" s="1"/>
  <c r="H110" i="10"/>
  <c r="G49" i="5" s="1"/>
  <c r="G110" i="10"/>
  <c r="F49" i="5" s="1"/>
  <c r="F110" i="10"/>
  <c r="E49" i="5" s="1"/>
  <c r="E110" i="10"/>
  <c r="D49" i="5" s="1"/>
  <c r="D110" i="10"/>
  <c r="C49" i="5" s="1"/>
  <c r="C110" i="10"/>
  <c r="B49" i="5" s="1"/>
  <c r="A110" i="10"/>
  <c r="B109" i="10"/>
  <c r="A109" i="10"/>
  <c r="B108" i="10"/>
  <c r="A108" i="10"/>
  <c r="B107" i="10"/>
  <c r="A107" i="10"/>
  <c r="B106" i="10"/>
  <c r="A106" i="10"/>
  <c r="B105" i="10"/>
  <c r="A105" i="10"/>
  <c r="B104" i="10"/>
  <c r="A104" i="10"/>
  <c r="B103" i="10"/>
  <c r="A103" i="10"/>
  <c r="B102" i="10"/>
  <c r="A102" i="10"/>
  <c r="B101" i="10"/>
  <c r="A101" i="10"/>
  <c r="B100" i="10"/>
  <c r="A100" i="10"/>
  <c r="B99" i="10"/>
  <c r="A99" i="10"/>
  <c r="B98" i="10"/>
  <c r="A98" i="10"/>
  <c r="B97" i="10"/>
  <c r="A97" i="10"/>
  <c r="B96" i="10"/>
  <c r="A96" i="10"/>
  <c r="B95" i="10"/>
  <c r="A95" i="10"/>
  <c r="B94" i="10"/>
  <c r="A94" i="10"/>
  <c r="B93" i="10"/>
  <c r="A93" i="10"/>
  <c r="B92" i="10"/>
  <c r="A92" i="10"/>
  <c r="B91" i="10"/>
  <c r="A91" i="10"/>
  <c r="B90" i="10"/>
  <c r="A90" i="10"/>
  <c r="B89" i="10"/>
  <c r="A89" i="10"/>
  <c r="B88" i="10"/>
  <c r="A88" i="10"/>
  <c r="B87" i="10"/>
  <c r="A87" i="10"/>
  <c r="B86" i="10"/>
  <c r="A86" i="10"/>
  <c r="B85" i="10"/>
  <c r="A85" i="10"/>
  <c r="B84" i="10"/>
  <c r="A84" i="10"/>
  <c r="B83" i="10"/>
  <c r="A83" i="10"/>
  <c r="B82" i="10"/>
  <c r="A82" i="10"/>
  <c r="B81" i="10"/>
  <c r="A81" i="10"/>
  <c r="B80" i="10"/>
  <c r="A80" i="10"/>
  <c r="B79" i="10"/>
  <c r="A79" i="10"/>
  <c r="B78" i="10"/>
  <c r="A78" i="10"/>
  <c r="B77" i="10"/>
  <c r="A77" i="10"/>
  <c r="B76" i="10"/>
  <c r="A76" i="10"/>
  <c r="B75" i="10"/>
  <c r="A75" i="10"/>
  <c r="B74" i="10"/>
  <c r="A74" i="10"/>
  <c r="B73" i="10"/>
  <c r="A73" i="10"/>
  <c r="B72" i="10"/>
  <c r="A72" i="10"/>
  <c r="B71" i="10"/>
  <c r="A71" i="10"/>
  <c r="B70" i="10"/>
  <c r="A70" i="10"/>
  <c r="B69" i="10"/>
  <c r="A69" i="10"/>
  <c r="B68" i="10"/>
  <c r="A68" i="10"/>
  <c r="B67" i="10"/>
  <c r="A67" i="10"/>
  <c r="B66" i="10"/>
  <c r="A66" i="10"/>
  <c r="B65" i="10"/>
  <c r="A65" i="10"/>
  <c r="B64" i="10"/>
  <c r="A64" i="10"/>
  <c r="B63" i="10"/>
  <c r="A63" i="10"/>
  <c r="B62" i="10"/>
  <c r="A62" i="10"/>
  <c r="B61" i="10"/>
  <c r="A61" i="10"/>
  <c r="B60" i="10"/>
  <c r="A60" i="10"/>
  <c r="B59" i="10"/>
  <c r="A59" i="10"/>
  <c r="M57" i="10"/>
  <c r="D57" i="10"/>
  <c r="C8" i="5" s="1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L110" i="9"/>
  <c r="J110" i="9"/>
  <c r="I48" i="5" s="1"/>
  <c r="I110" i="9"/>
  <c r="H48" i="5" s="1"/>
  <c r="H110" i="9"/>
  <c r="G48" i="5" s="1"/>
  <c r="G110" i="9"/>
  <c r="F48" i="5" s="1"/>
  <c r="F110" i="9"/>
  <c r="E48" i="5" s="1"/>
  <c r="E110" i="9"/>
  <c r="D48" i="5" s="1"/>
  <c r="D110" i="9"/>
  <c r="C48" i="5" s="1"/>
  <c r="C110" i="9"/>
  <c r="B48" i="5" s="1"/>
  <c r="A110" i="9"/>
  <c r="B109" i="9"/>
  <c r="A109" i="9"/>
  <c r="B108" i="9"/>
  <c r="A108" i="9"/>
  <c r="B107" i="9"/>
  <c r="A107" i="9"/>
  <c r="B106" i="9"/>
  <c r="A106" i="9"/>
  <c r="B105" i="9"/>
  <c r="A105" i="9"/>
  <c r="B104" i="9"/>
  <c r="A104" i="9"/>
  <c r="B103" i="9"/>
  <c r="A103" i="9"/>
  <c r="B102" i="9"/>
  <c r="A102" i="9"/>
  <c r="B101" i="9"/>
  <c r="A101" i="9"/>
  <c r="B100" i="9"/>
  <c r="A100" i="9"/>
  <c r="B99" i="9"/>
  <c r="A99" i="9"/>
  <c r="B98" i="9"/>
  <c r="A98" i="9"/>
  <c r="B97" i="9"/>
  <c r="A97" i="9"/>
  <c r="B96" i="9"/>
  <c r="A96" i="9"/>
  <c r="B95" i="9"/>
  <c r="A95" i="9"/>
  <c r="B94" i="9"/>
  <c r="A94" i="9"/>
  <c r="B93" i="9"/>
  <c r="A93" i="9"/>
  <c r="B92" i="9"/>
  <c r="A92" i="9"/>
  <c r="B91" i="9"/>
  <c r="A91" i="9"/>
  <c r="B90" i="9"/>
  <c r="A90" i="9"/>
  <c r="B89" i="9"/>
  <c r="A89" i="9"/>
  <c r="B88" i="9"/>
  <c r="A88" i="9"/>
  <c r="B87" i="9"/>
  <c r="A87" i="9"/>
  <c r="B86" i="9"/>
  <c r="A86" i="9"/>
  <c r="B85" i="9"/>
  <c r="A85" i="9"/>
  <c r="B84" i="9"/>
  <c r="A84" i="9"/>
  <c r="B83" i="9"/>
  <c r="A83" i="9"/>
  <c r="B82" i="9"/>
  <c r="A82" i="9"/>
  <c r="B81" i="9"/>
  <c r="A81" i="9"/>
  <c r="B80" i="9"/>
  <c r="A80" i="9"/>
  <c r="B79" i="9"/>
  <c r="A79" i="9"/>
  <c r="B78" i="9"/>
  <c r="A78" i="9"/>
  <c r="B77" i="9"/>
  <c r="A77" i="9"/>
  <c r="B76" i="9"/>
  <c r="A76" i="9"/>
  <c r="B75" i="9"/>
  <c r="A75" i="9"/>
  <c r="B74" i="9"/>
  <c r="A74" i="9"/>
  <c r="B73" i="9"/>
  <c r="A73" i="9"/>
  <c r="B72" i="9"/>
  <c r="A72" i="9"/>
  <c r="B71" i="9"/>
  <c r="A71" i="9"/>
  <c r="B70" i="9"/>
  <c r="A70" i="9"/>
  <c r="B69" i="9"/>
  <c r="A69" i="9"/>
  <c r="B68" i="9"/>
  <c r="A68" i="9"/>
  <c r="B67" i="9"/>
  <c r="A67" i="9"/>
  <c r="B66" i="9"/>
  <c r="A66" i="9"/>
  <c r="B65" i="9"/>
  <c r="A65" i="9"/>
  <c r="B64" i="9"/>
  <c r="A64" i="9"/>
  <c r="B63" i="9"/>
  <c r="A63" i="9"/>
  <c r="B62" i="9"/>
  <c r="A62" i="9"/>
  <c r="B61" i="9"/>
  <c r="A61" i="9"/>
  <c r="B60" i="9"/>
  <c r="A60" i="9"/>
  <c r="B59" i="9"/>
  <c r="A59" i="9"/>
  <c r="M57" i="9"/>
  <c r="D57" i="9"/>
  <c r="C7" i="5" s="1"/>
  <c r="C55" i="9"/>
  <c r="L110" i="7"/>
  <c r="J110" i="7"/>
  <c r="I47" i="5" s="1"/>
  <c r="I110" i="7"/>
  <c r="H47" i="5" s="1"/>
  <c r="H110" i="7"/>
  <c r="G47" i="5" s="1"/>
  <c r="G110" i="7"/>
  <c r="F47" i="5" s="1"/>
  <c r="F110" i="7"/>
  <c r="E47" i="5" s="1"/>
  <c r="E110" i="7"/>
  <c r="D47" i="5" s="1"/>
  <c r="D110" i="7"/>
  <c r="C47" i="5" s="1"/>
  <c r="C110" i="7"/>
  <c r="B47" i="5" s="1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B59" i="7"/>
  <c r="A59" i="7"/>
  <c r="M57" i="7"/>
  <c r="D57" i="7"/>
  <c r="C6" i="5" s="1"/>
  <c r="A2" i="5"/>
  <c r="N2" i="5" s="1"/>
  <c r="N3" i="5" s="1"/>
  <c r="N4" i="5" s="1"/>
  <c r="N5" i="5" s="1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D57" i="2"/>
  <c r="C3" i="5" s="1"/>
  <c r="M57" i="2"/>
  <c r="A116" i="5"/>
  <c r="K78" i="5"/>
  <c r="T37" i="5"/>
  <c r="S37" i="5"/>
  <c r="R37" i="5"/>
  <c r="Q37" i="5"/>
  <c r="P37" i="5"/>
  <c r="Z36" i="5"/>
  <c r="Y36" i="5"/>
  <c r="C7" i="59" s="1"/>
  <c r="D7" i="59" s="1"/>
  <c r="X36" i="5"/>
  <c r="W36" i="5"/>
  <c r="Z29" i="5"/>
  <c r="Y29" i="5"/>
  <c r="C6" i="59" s="1"/>
  <c r="X29" i="5"/>
  <c r="W29" i="5"/>
  <c r="C6" i="65" s="1"/>
  <c r="D6" i="65" s="1"/>
  <c r="V29" i="5"/>
  <c r="C6" i="62" s="1"/>
  <c r="Z22" i="5"/>
  <c r="Y22" i="5"/>
  <c r="X22" i="5"/>
  <c r="W22" i="5"/>
  <c r="V22" i="5"/>
  <c r="C5" i="62" s="1"/>
  <c r="D5" i="62" s="1"/>
  <c r="U22" i="5"/>
  <c r="Z15" i="5"/>
  <c r="C4" i="60" s="1"/>
  <c r="D4" i="60" s="1"/>
  <c r="X15" i="5"/>
  <c r="W15" i="5"/>
  <c r="V15" i="5"/>
  <c r="C4" i="62" s="1"/>
  <c r="U15" i="5"/>
  <c r="X8" i="5"/>
  <c r="W8" i="5"/>
  <c r="V8" i="5"/>
  <c r="C3" i="62" s="1"/>
  <c r="U8" i="5"/>
  <c r="D110" i="1"/>
  <c r="C43" i="5" s="1"/>
  <c r="E110" i="1"/>
  <c r="D43" i="5" s="1"/>
  <c r="F110" i="1"/>
  <c r="E43" i="5" s="1"/>
  <c r="G110" i="1"/>
  <c r="F43" i="5" s="1"/>
  <c r="H110" i="1"/>
  <c r="G43" i="5" s="1"/>
  <c r="I110" i="1"/>
  <c r="H43" i="5" s="1"/>
  <c r="J110" i="1"/>
  <c r="I43" i="5" s="1"/>
  <c r="I46" i="5"/>
  <c r="H46" i="5"/>
  <c r="G46" i="5"/>
  <c r="F46" i="5"/>
  <c r="E46" i="5"/>
  <c r="D46" i="5"/>
  <c r="B46" i="5"/>
  <c r="A60" i="4"/>
  <c r="I45" i="5"/>
  <c r="H45" i="5"/>
  <c r="G45" i="5"/>
  <c r="F45" i="5"/>
  <c r="E45" i="5"/>
  <c r="D45" i="5"/>
  <c r="C45" i="5"/>
  <c r="B45" i="5"/>
  <c r="C4" i="5"/>
  <c r="B4" i="2"/>
  <c r="L110" i="2"/>
  <c r="J110" i="2"/>
  <c r="I44" i="5" s="1"/>
  <c r="I110" i="2"/>
  <c r="H44" i="5" s="1"/>
  <c r="H110" i="2"/>
  <c r="G44" i="5" s="1"/>
  <c r="G110" i="2"/>
  <c r="F44" i="5" s="1"/>
  <c r="F110" i="2"/>
  <c r="E44" i="5" s="1"/>
  <c r="E110" i="2"/>
  <c r="D44" i="5" s="1"/>
  <c r="D110" i="2"/>
  <c r="C44" i="5" s="1"/>
  <c r="C110" i="2"/>
  <c r="B44" i="5" s="1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C110" i="1"/>
  <c r="B43" i="5" s="1"/>
  <c r="K110" i="1"/>
  <c r="J43" i="5" s="1"/>
  <c r="J78" i="5" s="1"/>
  <c r="L110" i="1"/>
  <c r="B59" i="1"/>
  <c r="A59" i="1"/>
  <c r="M57" i="1"/>
  <c r="A62" i="1"/>
  <c r="B62" i="1"/>
  <c r="A63" i="1"/>
  <c r="B63" i="1"/>
  <c r="A64" i="1"/>
  <c r="B64" i="1"/>
  <c r="A65" i="1"/>
  <c r="B65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61" i="1"/>
  <c r="A61" i="1"/>
  <c r="B60" i="1"/>
  <c r="A60" i="1"/>
  <c r="D57" i="1"/>
  <c r="C2" i="5" s="1"/>
  <c r="C7" i="65" l="1"/>
  <c r="C7" i="64" s="1"/>
  <c r="C3" i="65"/>
  <c r="D3" i="65" s="1"/>
  <c r="C4" i="65"/>
  <c r="C5" i="59"/>
  <c r="D5" i="59" s="1"/>
  <c r="D3" i="62"/>
  <c r="C5" i="65"/>
  <c r="C5" i="64" s="1"/>
  <c r="D5" i="64" s="1"/>
  <c r="C8" i="59"/>
  <c r="D8" i="59" s="1"/>
  <c r="B4" i="3"/>
  <c r="B4" i="4" s="1"/>
  <c r="B4" i="7" s="1"/>
  <c r="B4" i="9" s="1"/>
  <c r="B4" i="10" s="1"/>
  <c r="B4" i="11" s="1"/>
  <c r="B4" i="12" s="1"/>
  <c r="B4" i="13" s="1"/>
  <c r="B4" i="14" s="1"/>
  <c r="B4" i="15" s="1"/>
  <c r="B4" i="16" s="1"/>
  <c r="B4" i="17" s="1"/>
  <c r="B4" i="18" s="1"/>
  <c r="B4" i="19" s="1"/>
  <c r="B4" i="20" s="1"/>
  <c r="B4" i="21" s="1"/>
  <c r="B4" i="22" s="1"/>
  <c r="B4" i="23" s="1"/>
  <c r="B4" i="24" s="1"/>
  <c r="B4" i="25" s="1"/>
  <c r="B4" i="26" s="1"/>
  <c r="B4" i="27" s="1"/>
  <c r="B4" i="28" s="1"/>
  <c r="B4" i="29" s="1"/>
  <c r="B4" i="30" s="1"/>
  <c r="B4" i="31" s="1"/>
  <c r="D6" i="62"/>
  <c r="C6" i="64"/>
  <c r="D6" i="64" s="1"/>
  <c r="D4" i="65"/>
  <c r="C4" i="64"/>
  <c r="C8" i="62"/>
  <c r="D4" i="62"/>
  <c r="C5" i="60"/>
  <c r="D5" i="60" s="1"/>
  <c r="C6" i="60"/>
  <c r="C7" i="60"/>
  <c r="D6" i="59"/>
  <c r="D104" i="5"/>
  <c r="C25" i="5"/>
  <c r="C38" i="5" s="1"/>
  <c r="C66" i="5"/>
  <c r="G57" i="13"/>
  <c r="F11" i="5" s="1"/>
  <c r="E90" i="5"/>
  <c r="F57" i="13"/>
  <c r="H57" i="13"/>
  <c r="G11" i="5" s="1"/>
  <c r="J57" i="13"/>
  <c r="I11" i="5" s="1"/>
  <c r="I57" i="13"/>
  <c r="H11" i="5" s="1"/>
  <c r="D90" i="5"/>
  <c r="E57" i="13"/>
  <c r="D11" i="5" s="1"/>
  <c r="I4" i="5"/>
  <c r="H4" i="5"/>
  <c r="D4" i="5"/>
  <c r="E4" i="5"/>
  <c r="F4" i="5"/>
  <c r="G4" i="5"/>
  <c r="C46" i="5"/>
  <c r="C55" i="4"/>
  <c r="A71" i="31"/>
  <c r="A75" i="31"/>
  <c r="E56" i="31"/>
  <c r="E57" i="31" s="1"/>
  <c r="A76" i="31"/>
  <c r="A68" i="31"/>
  <c r="F57" i="30"/>
  <c r="E28" i="5" s="1"/>
  <c r="G57" i="30"/>
  <c r="F28" i="5" s="1"/>
  <c r="G107" i="5"/>
  <c r="H57" i="30"/>
  <c r="G28" i="5" s="1"/>
  <c r="J57" i="30"/>
  <c r="I28" i="5" s="1"/>
  <c r="D107" i="5"/>
  <c r="E57" i="30"/>
  <c r="B53" i="5"/>
  <c r="B78" i="5" s="1"/>
  <c r="B41" i="5" s="1"/>
  <c r="J56" i="29"/>
  <c r="J57" i="29" s="1"/>
  <c r="I27" i="5" s="1"/>
  <c r="I56" i="29"/>
  <c r="I57" i="29" s="1"/>
  <c r="H27" i="5" s="1"/>
  <c r="K57" i="1"/>
  <c r="J2" i="5" s="1"/>
  <c r="J38" i="5" s="1"/>
  <c r="B17" i="62" s="1"/>
  <c r="J81" i="5"/>
  <c r="C2" i="2"/>
  <c r="C68" i="5"/>
  <c r="C78" i="5" s="1"/>
  <c r="C41" i="5" s="1"/>
  <c r="AA36" i="5"/>
  <c r="AA29" i="5"/>
  <c r="D101" i="5"/>
  <c r="E57" i="24"/>
  <c r="D22" i="5" s="1"/>
  <c r="G104" i="5"/>
  <c r="H57" i="27"/>
  <c r="G25" i="5" s="1"/>
  <c r="AA22" i="5"/>
  <c r="AA15" i="5"/>
  <c r="AA8" i="5"/>
  <c r="E57" i="18"/>
  <c r="D16" i="5" s="1"/>
  <c r="F57" i="17"/>
  <c r="E15" i="5" s="1"/>
  <c r="I57" i="18"/>
  <c r="H16" i="5" s="1"/>
  <c r="E57" i="29"/>
  <c r="D27" i="5" s="1"/>
  <c r="E57" i="14"/>
  <c r="D12" i="5" s="1"/>
  <c r="H101" i="5"/>
  <c r="I57" i="24"/>
  <c r="H22" i="5" s="1"/>
  <c r="E113" i="5"/>
  <c r="F57" i="36"/>
  <c r="E34" i="5" s="1"/>
  <c r="H102" i="5"/>
  <c r="I57" i="25"/>
  <c r="H23" i="5" s="1"/>
  <c r="H107" i="5"/>
  <c r="H28" i="5"/>
  <c r="H110" i="5"/>
  <c r="I57" i="33"/>
  <c r="H31" i="5" s="1"/>
  <c r="G112" i="5"/>
  <c r="H57" i="35"/>
  <c r="G33" i="5" s="1"/>
  <c r="F57" i="16"/>
  <c r="E14" i="5" s="1"/>
  <c r="C2" i="4"/>
  <c r="N2" i="4" s="1"/>
  <c r="C2" i="11"/>
  <c r="N2" i="11" s="1"/>
  <c r="C2" i="15"/>
  <c r="C2" i="19"/>
  <c r="I57" i="23"/>
  <c r="H21" i="5" s="1"/>
  <c r="H57" i="21"/>
  <c r="G19" i="5" s="1"/>
  <c r="E11" i="5"/>
  <c r="I57" i="14"/>
  <c r="H12" i="5" s="1"/>
  <c r="I57" i="15"/>
  <c r="H13" i="5" s="1"/>
  <c r="I57" i="21"/>
  <c r="H19" i="5" s="1"/>
  <c r="F57" i="25"/>
  <c r="E23" i="5" s="1"/>
  <c r="F57" i="27"/>
  <c r="E25" i="5" s="1"/>
  <c r="C2" i="3"/>
  <c r="N2" i="3" s="1"/>
  <c r="C2" i="10"/>
  <c r="N2" i="10" s="1"/>
  <c r="C2" i="14"/>
  <c r="C2" i="18"/>
  <c r="C2" i="22"/>
  <c r="F57" i="11"/>
  <c r="E9" i="5" s="1"/>
  <c r="C2" i="9"/>
  <c r="N2" i="9" s="1"/>
  <c r="C2" i="13"/>
  <c r="C2" i="17"/>
  <c r="C2" i="21"/>
  <c r="N2" i="21" s="1"/>
  <c r="C2" i="7"/>
  <c r="N2" i="7" s="1"/>
  <c r="C2" i="12"/>
  <c r="C2" i="16"/>
  <c r="C2" i="20"/>
  <c r="C116" i="5"/>
  <c r="C40" i="5" s="1"/>
  <c r="D114" i="5"/>
  <c r="I57" i="36"/>
  <c r="H34" i="5" s="1"/>
  <c r="I57" i="35"/>
  <c r="H33" i="5" s="1"/>
  <c r="I57" i="32"/>
  <c r="H30" i="5" s="1"/>
  <c r="H109" i="5"/>
  <c r="H105" i="5"/>
  <c r="F57" i="28"/>
  <c r="E26" i="5" s="1"/>
  <c r="J57" i="28"/>
  <c r="I26" i="5" s="1"/>
  <c r="H57" i="26"/>
  <c r="G24" i="5" s="1"/>
  <c r="F103" i="5"/>
  <c r="E57" i="17"/>
  <c r="D15" i="5" s="1"/>
  <c r="F93" i="5"/>
  <c r="G57" i="16"/>
  <c r="F14" i="5" s="1"/>
  <c r="G92" i="5"/>
  <c r="H57" i="15"/>
  <c r="G13" i="5" s="1"/>
  <c r="F89" i="5"/>
  <c r="G57" i="12"/>
  <c r="F10" i="5" s="1"/>
  <c r="F57" i="10"/>
  <c r="E8" i="5" s="1"/>
  <c r="E87" i="5"/>
  <c r="C2" i="29"/>
  <c r="C2" i="38"/>
  <c r="C3" i="38" s="1"/>
  <c r="C56" i="38" s="1"/>
  <c r="B115" i="5" s="1"/>
  <c r="C2" i="24"/>
  <c r="C2" i="27"/>
  <c r="C2" i="37"/>
  <c r="C3" i="37" s="1"/>
  <c r="C56" i="37" s="1"/>
  <c r="B114" i="5" s="1"/>
  <c r="C2" i="36"/>
  <c r="C2" i="35"/>
  <c r="C2" i="34"/>
  <c r="C2" i="25"/>
  <c r="C2" i="28"/>
  <c r="C2" i="33"/>
  <c r="C3" i="1"/>
  <c r="C56" i="1" s="1"/>
  <c r="C2" i="32"/>
  <c r="C2" i="31"/>
  <c r="C2" i="30"/>
  <c r="C2" i="23"/>
  <c r="C2" i="26"/>
  <c r="E57" i="38"/>
  <c r="D36" i="5" s="1"/>
  <c r="D115" i="5"/>
  <c r="F57" i="38"/>
  <c r="E36" i="5" s="1"/>
  <c r="E115" i="5"/>
  <c r="E114" i="5"/>
  <c r="G3" i="37"/>
  <c r="G56" i="37" s="1"/>
  <c r="G111" i="5"/>
  <c r="H57" i="34"/>
  <c r="G32" i="5" s="1"/>
  <c r="I111" i="5"/>
  <c r="J57" i="34"/>
  <c r="I32" i="5" s="1"/>
  <c r="F110" i="5"/>
  <c r="G57" i="33"/>
  <c r="F31" i="5" s="1"/>
  <c r="E57" i="27"/>
  <c r="D25" i="5" s="1"/>
  <c r="J57" i="20"/>
  <c r="I18" i="5" s="1"/>
  <c r="I97" i="5"/>
  <c r="H96" i="5"/>
  <c r="G95" i="5"/>
  <c r="F94" i="5"/>
  <c r="F92" i="5"/>
  <c r="G57" i="15"/>
  <c r="F13" i="5" s="1"/>
  <c r="J57" i="12"/>
  <c r="I10" i="5" s="1"/>
  <c r="I89" i="5"/>
  <c r="I88" i="5"/>
  <c r="J57" i="11"/>
  <c r="I9" i="5" s="1"/>
  <c r="F88" i="5"/>
  <c r="F78" i="5"/>
  <c r="F41" i="5" s="1"/>
  <c r="G78" i="5"/>
  <c r="G41" i="5" s="1"/>
  <c r="I87" i="5"/>
  <c r="G87" i="5"/>
  <c r="F87" i="5"/>
  <c r="I86" i="5"/>
  <c r="G86" i="5"/>
  <c r="F86" i="5"/>
  <c r="E86" i="5"/>
  <c r="I85" i="5"/>
  <c r="G85" i="5"/>
  <c r="F85" i="5"/>
  <c r="E85" i="5"/>
  <c r="I84" i="5"/>
  <c r="G84" i="5"/>
  <c r="F84" i="5"/>
  <c r="E84" i="5"/>
  <c r="I83" i="5"/>
  <c r="G83" i="5"/>
  <c r="F83" i="5"/>
  <c r="E83" i="5"/>
  <c r="I81" i="5"/>
  <c r="G81" i="5"/>
  <c r="F81" i="5"/>
  <c r="E81" i="5"/>
  <c r="I115" i="5"/>
  <c r="H115" i="5"/>
  <c r="G115" i="5"/>
  <c r="F115" i="5"/>
  <c r="I114" i="5"/>
  <c r="H114" i="5"/>
  <c r="G114" i="5"/>
  <c r="G57" i="36"/>
  <c r="F34" i="5" s="1"/>
  <c r="I113" i="5"/>
  <c r="G113" i="5"/>
  <c r="I112" i="5"/>
  <c r="F112" i="5"/>
  <c r="E112" i="5"/>
  <c r="D112" i="5"/>
  <c r="H111" i="5"/>
  <c r="F111" i="5"/>
  <c r="E111" i="5"/>
  <c r="D111" i="5"/>
  <c r="E57" i="33"/>
  <c r="D31" i="5" s="1"/>
  <c r="I110" i="5"/>
  <c r="G110" i="5"/>
  <c r="E110" i="5"/>
  <c r="I109" i="5"/>
  <c r="G109" i="5"/>
  <c r="F109" i="5"/>
  <c r="E109" i="5"/>
  <c r="E57" i="32"/>
  <c r="D30" i="5" s="1"/>
  <c r="I107" i="5"/>
  <c r="F107" i="5"/>
  <c r="E107" i="5"/>
  <c r="G106" i="5"/>
  <c r="F106" i="5"/>
  <c r="E106" i="5"/>
  <c r="G105" i="5"/>
  <c r="F105" i="5"/>
  <c r="F104" i="5"/>
  <c r="I104" i="5"/>
  <c r="H104" i="5"/>
  <c r="E103" i="5"/>
  <c r="D103" i="5"/>
  <c r="I103" i="5"/>
  <c r="H103" i="5"/>
  <c r="D102" i="5"/>
  <c r="G57" i="25"/>
  <c r="F23" i="5" s="1"/>
  <c r="I102" i="5"/>
  <c r="G102" i="5"/>
  <c r="I101" i="5"/>
  <c r="G101" i="5"/>
  <c r="F101" i="5"/>
  <c r="E101" i="5"/>
  <c r="I100" i="5"/>
  <c r="G100" i="5"/>
  <c r="F100" i="5"/>
  <c r="E100" i="5"/>
  <c r="D100" i="5"/>
  <c r="I99" i="5"/>
  <c r="H99" i="5"/>
  <c r="G99" i="5"/>
  <c r="F99" i="5"/>
  <c r="E99" i="5"/>
  <c r="D99" i="5"/>
  <c r="I98" i="5"/>
  <c r="F98" i="5"/>
  <c r="E98" i="5"/>
  <c r="D98" i="5"/>
  <c r="H97" i="5"/>
  <c r="G97" i="5"/>
  <c r="F97" i="5"/>
  <c r="E97" i="5"/>
  <c r="D97" i="5"/>
  <c r="G96" i="5"/>
  <c r="F96" i="5"/>
  <c r="E96" i="5"/>
  <c r="D96" i="5"/>
  <c r="I96" i="5"/>
  <c r="F95" i="5"/>
  <c r="E95" i="5"/>
  <c r="I95" i="5"/>
  <c r="I94" i="5"/>
  <c r="H94" i="5"/>
  <c r="G94" i="5"/>
  <c r="D93" i="5"/>
  <c r="I57" i="16"/>
  <c r="H14" i="5" s="1"/>
  <c r="I93" i="5"/>
  <c r="G93" i="5"/>
  <c r="I92" i="5"/>
  <c r="E92" i="5"/>
  <c r="I91" i="5"/>
  <c r="G91" i="5"/>
  <c r="F91" i="5"/>
  <c r="E91" i="5"/>
  <c r="I90" i="5"/>
  <c r="H90" i="5"/>
  <c r="G90" i="5"/>
  <c r="F90" i="5"/>
  <c r="H89" i="5"/>
  <c r="G89" i="5"/>
  <c r="E89" i="5"/>
  <c r="D89" i="5"/>
  <c r="D88" i="5"/>
  <c r="H88" i="5"/>
  <c r="G88" i="5"/>
  <c r="H87" i="5"/>
  <c r="D87" i="5"/>
  <c r="D86" i="5"/>
  <c r="H85" i="5"/>
  <c r="D85" i="5"/>
  <c r="H84" i="5"/>
  <c r="D84" i="5"/>
  <c r="D83" i="5"/>
  <c r="H83" i="5"/>
  <c r="F57" i="31"/>
  <c r="E108" i="5"/>
  <c r="I108" i="5"/>
  <c r="G108" i="5"/>
  <c r="F108" i="5"/>
  <c r="H108" i="5"/>
  <c r="I78" i="5"/>
  <c r="I41" i="5" s="1"/>
  <c r="H78" i="5"/>
  <c r="H41" i="5" s="1"/>
  <c r="H81" i="5"/>
  <c r="D81" i="5"/>
  <c r="E57" i="36"/>
  <c r="E57" i="34"/>
  <c r="D32" i="5" s="1"/>
  <c r="E57" i="28"/>
  <c r="D26" i="5" s="1"/>
  <c r="H57" i="25"/>
  <c r="G23" i="5" s="1"/>
  <c r="G57" i="23"/>
  <c r="E57" i="16"/>
  <c r="E57" i="15"/>
  <c r="A3" i="5"/>
  <c r="A43" i="5"/>
  <c r="A81" i="5" s="1"/>
  <c r="L56" i="10"/>
  <c r="L57" i="10" s="1"/>
  <c r="I56" i="9"/>
  <c r="L56" i="7"/>
  <c r="L57" i="7" s="1"/>
  <c r="L56" i="3"/>
  <c r="L57" i="3" s="1"/>
  <c r="D5" i="65" l="1"/>
  <c r="C8" i="65"/>
  <c r="C3" i="64"/>
  <c r="D3" i="64" s="1"/>
  <c r="G17" i="62"/>
  <c r="G18" i="62" s="1"/>
  <c r="G19" i="62" s="1"/>
  <c r="B18" i="62"/>
  <c r="D8" i="65"/>
  <c r="B29" i="65" s="1"/>
  <c r="H5" i="65"/>
  <c r="B30" i="65"/>
  <c r="H5" i="62"/>
  <c r="B30" i="62"/>
  <c r="D8" i="62"/>
  <c r="B29" i="62" s="1"/>
  <c r="C8" i="64"/>
  <c r="D4" i="64"/>
  <c r="C8" i="60"/>
  <c r="D6" i="60"/>
  <c r="B29" i="59"/>
  <c r="B30" i="59"/>
  <c r="B17" i="58"/>
  <c r="B18" i="58" s="1"/>
  <c r="B20" i="58" s="1"/>
  <c r="B21" i="58" s="1"/>
  <c r="B4" i="33"/>
  <c r="B4" i="34" s="1"/>
  <c r="B4" i="35" s="1"/>
  <c r="B4" i="36" s="1"/>
  <c r="B4" i="37" s="1"/>
  <c r="B4" i="38" s="1"/>
  <c r="B4" i="54" s="1"/>
  <c r="B4" i="32"/>
  <c r="L114" i="5"/>
  <c r="L115" i="5"/>
  <c r="D108" i="5"/>
  <c r="E29" i="5"/>
  <c r="F110" i="31"/>
  <c r="E70" i="5" s="1"/>
  <c r="E78" i="5" s="1"/>
  <c r="E41" i="5" s="1"/>
  <c r="D29" i="5"/>
  <c r="E110" i="31"/>
  <c r="I106" i="5"/>
  <c r="H106" i="5"/>
  <c r="J116" i="5"/>
  <c r="J40" i="5" s="1"/>
  <c r="AA38" i="5"/>
  <c r="C3" i="3"/>
  <c r="C56" i="3" s="1"/>
  <c r="N56" i="3" s="1"/>
  <c r="C3" i="11"/>
  <c r="C56" i="11" s="1"/>
  <c r="B88" i="5" s="1"/>
  <c r="L88" i="5" s="1"/>
  <c r="C3" i="7"/>
  <c r="C56" i="7" s="1"/>
  <c r="B85" i="5" s="1"/>
  <c r="L85" i="5" s="1"/>
  <c r="C3" i="9"/>
  <c r="C56" i="9" s="1"/>
  <c r="C3" i="21"/>
  <c r="C56" i="21" s="1"/>
  <c r="N56" i="21" s="1"/>
  <c r="N57" i="21" s="1"/>
  <c r="C3" i="10"/>
  <c r="C56" i="10" s="1"/>
  <c r="B87" i="5" s="1"/>
  <c r="L87" i="5" s="1"/>
  <c r="N2" i="20"/>
  <c r="C3" i="20"/>
  <c r="C56" i="20" s="1"/>
  <c r="N2" i="12"/>
  <c r="C3" i="12"/>
  <c r="C56" i="12" s="1"/>
  <c r="C57" i="12" s="1"/>
  <c r="N2" i="22"/>
  <c r="C3" i="22"/>
  <c r="C56" i="22" s="1"/>
  <c r="N2" i="16"/>
  <c r="C3" i="16"/>
  <c r="C56" i="16" s="1"/>
  <c r="N2" i="18"/>
  <c r="C3" i="18"/>
  <c r="C56" i="18" s="1"/>
  <c r="N2" i="17"/>
  <c r="C3" i="17"/>
  <c r="C56" i="17" s="1"/>
  <c r="N2" i="14"/>
  <c r="C3" i="14"/>
  <c r="C56" i="14" s="1"/>
  <c r="N56" i="14" s="1"/>
  <c r="N2" i="19"/>
  <c r="C3" i="19"/>
  <c r="C56" i="19" s="1"/>
  <c r="N2" i="37"/>
  <c r="N2" i="13"/>
  <c r="C3" i="13"/>
  <c r="C56" i="13" s="1"/>
  <c r="C57" i="13" s="1"/>
  <c r="B11" i="5" s="1"/>
  <c r="N2" i="15"/>
  <c r="C3" i="15"/>
  <c r="C56" i="15" s="1"/>
  <c r="N2" i="38"/>
  <c r="C3" i="4"/>
  <c r="C56" i="4" s="1"/>
  <c r="C3" i="33"/>
  <c r="C56" i="33" s="1"/>
  <c r="N2" i="33"/>
  <c r="C3" i="24"/>
  <c r="C56" i="24" s="1"/>
  <c r="N2" i="24"/>
  <c r="N2" i="26"/>
  <c r="C3" i="26"/>
  <c r="C56" i="26" s="1"/>
  <c r="N56" i="37"/>
  <c r="N57" i="37" s="1"/>
  <c r="N2" i="23"/>
  <c r="C3" i="23"/>
  <c r="C56" i="23" s="1"/>
  <c r="C57" i="37"/>
  <c r="B35" i="5" s="1"/>
  <c r="N2" i="30"/>
  <c r="C3" i="30"/>
  <c r="C56" i="30" s="1"/>
  <c r="C57" i="30" s="1"/>
  <c r="C3" i="35"/>
  <c r="C56" i="35" s="1"/>
  <c r="N2" i="35"/>
  <c r="C3" i="34"/>
  <c r="C56" i="34" s="1"/>
  <c r="N2" i="34"/>
  <c r="N2" i="31"/>
  <c r="C3" i="31"/>
  <c r="C3" i="27"/>
  <c r="C56" i="27" s="1"/>
  <c r="C57" i="27" s="1"/>
  <c r="N2" i="27"/>
  <c r="C3" i="32"/>
  <c r="C56" i="32" s="1"/>
  <c r="N2" i="32"/>
  <c r="C3" i="36"/>
  <c r="C56" i="36" s="1"/>
  <c r="N2" i="36"/>
  <c r="N56" i="38"/>
  <c r="C57" i="38"/>
  <c r="B36" i="5" s="1"/>
  <c r="C3" i="28"/>
  <c r="C56" i="28" s="1"/>
  <c r="N2" i="28"/>
  <c r="C3" i="25"/>
  <c r="C56" i="25" s="1"/>
  <c r="N2" i="25"/>
  <c r="C3" i="29"/>
  <c r="C56" i="29" s="1"/>
  <c r="N56" i="29" s="1"/>
  <c r="N2" i="29"/>
  <c r="G57" i="37"/>
  <c r="F114" i="5"/>
  <c r="D34" i="5"/>
  <c r="D28" i="5"/>
  <c r="F21" i="5"/>
  <c r="D14" i="5"/>
  <c r="D13" i="5"/>
  <c r="I57" i="9"/>
  <c r="H7" i="5" s="1"/>
  <c r="H86" i="5"/>
  <c r="N56" i="1"/>
  <c r="B81" i="5"/>
  <c r="L81" i="5" s="1"/>
  <c r="A4" i="5"/>
  <c r="A44" i="5"/>
  <c r="A82" i="5" s="1"/>
  <c r="C57" i="1"/>
  <c r="H6" i="65" l="1"/>
  <c r="I6" i="65" s="1"/>
  <c r="G30" i="65" s="1"/>
  <c r="I5" i="65"/>
  <c r="O5" i="64"/>
  <c r="D8" i="64"/>
  <c r="B29" i="64" s="1"/>
  <c r="B30" i="64"/>
  <c r="H6" i="62"/>
  <c r="I5" i="62"/>
  <c r="D8" i="60"/>
  <c r="B29" i="60" s="1"/>
  <c r="B30" i="60"/>
  <c r="B10" i="58"/>
  <c r="B31" i="58"/>
  <c r="B26" i="58"/>
  <c r="B22" i="58"/>
  <c r="N57" i="1"/>
  <c r="N58" i="1"/>
  <c r="C57" i="4"/>
  <c r="N56" i="4"/>
  <c r="C56" i="31"/>
  <c r="B108" i="5" s="1"/>
  <c r="L108" i="5" s="1"/>
  <c r="D70" i="5"/>
  <c r="D78" i="5" s="1"/>
  <c r="D41" i="5" s="1"/>
  <c r="C55" i="31"/>
  <c r="C57" i="7"/>
  <c r="N56" i="11"/>
  <c r="C57" i="11"/>
  <c r="B9" i="5" s="1"/>
  <c r="N56" i="10"/>
  <c r="N56" i="7"/>
  <c r="N57" i="7" s="1"/>
  <c r="C57" i="10"/>
  <c r="B8" i="5" s="1"/>
  <c r="B98" i="5"/>
  <c r="L98" i="5" s="1"/>
  <c r="C57" i="21"/>
  <c r="B19" i="5" s="1"/>
  <c r="B86" i="5"/>
  <c r="L86" i="5" s="1"/>
  <c r="C57" i="9"/>
  <c r="B7" i="5" s="1"/>
  <c r="N56" i="9"/>
  <c r="N57" i="9" s="1"/>
  <c r="N56" i="17"/>
  <c r="C57" i="17"/>
  <c r="B15" i="5" s="1"/>
  <c r="B94" i="5"/>
  <c r="L94" i="5" s="1"/>
  <c r="B89" i="5"/>
  <c r="L89" i="5" s="1"/>
  <c r="N56" i="12"/>
  <c r="N57" i="12" s="1"/>
  <c r="B10" i="5"/>
  <c r="B90" i="5"/>
  <c r="L90" i="5" s="1"/>
  <c r="N56" i="13"/>
  <c r="C57" i="18"/>
  <c r="B16" i="5" s="1"/>
  <c r="N56" i="18"/>
  <c r="B95" i="5"/>
  <c r="L95" i="5" s="1"/>
  <c r="B92" i="5"/>
  <c r="L92" i="5" s="1"/>
  <c r="N56" i="15"/>
  <c r="C57" i="15"/>
  <c r="B13" i="5" s="1"/>
  <c r="B84" i="5"/>
  <c r="L84" i="5" s="1"/>
  <c r="B96" i="5"/>
  <c r="L96" i="5" s="1"/>
  <c r="C57" i="19"/>
  <c r="B17" i="5" s="1"/>
  <c r="N56" i="19"/>
  <c r="B97" i="5"/>
  <c r="L97" i="5" s="1"/>
  <c r="N56" i="20"/>
  <c r="B93" i="5"/>
  <c r="L93" i="5" s="1"/>
  <c r="N56" i="16"/>
  <c r="C57" i="16"/>
  <c r="B14" i="5" s="1"/>
  <c r="C57" i="14"/>
  <c r="B12" i="5" s="1"/>
  <c r="B91" i="5"/>
  <c r="L91" i="5" s="1"/>
  <c r="B99" i="5"/>
  <c r="L99" i="5" s="1"/>
  <c r="N56" i="22"/>
  <c r="C57" i="22"/>
  <c r="B20" i="5" s="1"/>
  <c r="B112" i="5"/>
  <c r="L112" i="5" s="1"/>
  <c r="N56" i="35"/>
  <c r="C57" i="35"/>
  <c r="B33" i="5" s="1"/>
  <c r="B109" i="5"/>
  <c r="L109" i="5" s="1"/>
  <c r="C57" i="32"/>
  <c r="B30" i="5" s="1"/>
  <c r="N56" i="32"/>
  <c r="B102" i="5"/>
  <c r="L102" i="5" s="1"/>
  <c r="C57" i="25"/>
  <c r="B23" i="5" s="1"/>
  <c r="N56" i="25"/>
  <c r="B113" i="5"/>
  <c r="L113" i="5" s="1"/>
  <c r="N56" i="36"/>
  <c r="C57" i="36"/>
  <c r="B34" i="5" s="1"/>
  <c r="C57" i="29"/>
  <c r="B106" i="5"/>
  <c r="L106" i="5" s="1"/>
  <c r="B105" i="5"/>
  <c r="L105" i="5" s="1"/>
  <c r="N56" i="28"/>
  <c r="C57" i="28"/>
  <c r="B26" i="5" s="1"/>
  <c r="B100" i="5"/>
  <c r="L100" i="5" s="1"/>
  <c r="N56" i="23"/>
  <c r="C57" i="23"/>
  <c r="B21" i="5" s="1"/>
  <c r="B107" i="5"/>
  <c r="L107" i="5" s="1"/>
  <c r="B28" i="5"/>
  <c r="N56" i="30"/>
  <c r="N57" i="30" s="1"/>
  <c r="B104" i="5"/>
  <c r="L104" i="5" s="1"/>
  <c r="N56" i="27"/>
  <c r="N58" i="38"/>
  <c r="N57" i="38"/>
  <c r="B103" i="5"/>
  <c r="L103" i="5" s="1"/>
  <c r="C57" i="26"/>
  <c r="B24" i="5" s="1"/>
  <c r="N56" i="26"/>
  <c r="B111" i="5"/>
  <c r="L111" i="5" s="1"/>
  <c r="C57" i="34"/>
  <c r="N56" i="34"/>
  <c r="N56" i="24"/>
  <c r="C57" i="24"/>
  <c r="B22" i="5" s="1"/>
  <c r="B101" i="5"/>
  <c r="L101" i="5" s="1"/>
  <c r="C57" i="33"/>
  <c r="B31" i="5" s="1"/>
  <c r="N56" i="33"/>
  <c r="B110" i="5"/>
  <c r="L110" i="5" s="1"/>
  <c r="F35" i="5"/>
  <c r="N58" i="37"/>
  <c r="B2" i="5"/>
  <c r="A5" i="5"/>
  <c r="A45" i="5"/>
  <c r="A83" i="5" s="1"/>
  <c r="B32" i="5" l="1"/>
  <c r="N58" i="34"/>
  <c r="N58" i="27"/>
  <c r="N57" i="27"/>
  <c r="I6" i="62"/>
  <c r="G30" i="62" s="1"/>
  <c r="G31" i="62"/>
  <c r="O6" i="64"/>
  <c r="P5" i="64"/>
  <c r="B34" i="58"/>
  <c r="B32" i="58"/>
  <c r="B27" i="58"/>
  <c r="N57" i="4"/>
  <c r="B5" i="5"/>
  <c r="N57" i="11"/>
  <c r="N58" i="11"/>
  <c r="N58" i="32"/>
  <c r="N58" i="22"/>
  <c r="B27" i="5"/>
  <c r="N58" i="29"/>
  <c r="N58" i="4"/>
  <c r="N58" i="25"/>
  <c r="N58" i="16"/>
  <c r="N57" i="16"/>
  <c r="B6" i="5"/>
  <c r="N58" i="7"/>
  <c r="N58" i="13"/>
  <c r="N57" i="13"/>
  <c r="N56" i="31"/>
  <c r="N57" i="31" s="1"/>
  <c r="C54" i="31"/>
  <c r="C57" i="31" s="1"/>
  <c r="B29" i="5" s="1"/>
  <c r="N58" i="30"/>
  <c r="N58" i="10"/>
  <c r="N57" i="10"/>
  <c r="N58" i="9"/>
  <c r="N58" i="21"/>
  <c r="N57" i="15"/>
  <c r="N57" i="22"/>
  <c r="N57" i="19"/>
  <c r="N58" i="12"/>
  <c r="N58" i="14"/>
  <c r="N57" i="14"/>
  <c r="N57" i="18"/>
  <c r="N58" i="17"/>
  <c r="N57" i="17"/>
  <c r="N58" i="26"/>
  <c r="N57" i="26"/>
  <c r="N57" i="36"/>
  <c r="N58" i="36"/>
  <c r="N57" i="25"/>
  <c r="N57" i="23"/>
  <c r="N58" i="23"/>
  <c r="N58" i="33"/>
  <c r="N57" i="33"/>
  <c r="N57" i="32"/>
  <c r="N57" i="28"/>
  <c r="N58" i="28"/>
  <c r="N57" i="24"/>
  <c r="N58" i="24"/>
  <c r="N57" i="34"/>
  <c r="N57" i="35"/>
  <c r="N58" i="35"/>
  <c r="N57" i="29"/>
  <c r="A46" i="5"/>
  <c r="A84" i="5" s="1"/>
  <c r="A6" i="5"/>
  <c r="P6" i="64" l="1"/>
  <c r="N30" i="64" s="1"/>
  <c r="N31" i="64"/>
  <c r="G31" i="65" s="1"/>
  <c r="A47" i="5"/>
  <c r="A85" i="5" s="1"/>
  <c r="A7" i="5"/>
  <c r="A48" i="5" l="1"/>
  <c r="A86" i="5" s="1"/>
  <c r="A8" i="5"/>
  <c r="C1" i="42" s="1"/>
  <c r="R2" i="42" s="1"/>
  <c r="D1" i="42" l="1"/>
  <c r="S2" i="42" s="1"/>
  <c r="C33" i="42"/>
  <c r="A49" i="5"/>
  <c r="A87" i="5" s="1"/>
  <c r="A9" i="5"/>
  <c r="E1" i="42" l="1"/>
  <c r="T2" i="42" s="1"/>
  <c r="D33" i="42"/>
  <c r="A50" i="5"/>
  <c r="A88" i="5" s="1"/>
  <c r="A10" i="5"/>
  <c r="F1" i="42" l="1"/>
  <c r="U2" i="42" s="1"/>
  <c r="E33" i="42"/>
  <c r="A51" i="5"/>
  <c r="A89" i="5" s="1"/>
  <c r="A11" i="5"/>
  <c r="G1" i="42" l="1"/>
  <c r="F33" i="42"/>
  <c r="A52" i="5"/>
  <c r="A90" i="5" s="1"/>
  <c r="A12" i="5"/>
  <c r="G33" i="42" l="1"/>
  <c r="V2" i="42"/>
  <c r="A53" i="5"/>
  <c r="A91" i="5" s="1"/>
  <c r="A13" i="5"/>
  <c r="A54" i="5" l="1"/>
  <c r="A92" i="5" s="1"/>
  <c r="A14" i="5"/>
  <c r="A55" i="5" l="1"/>
  <c r="A93" i="5" s="1"/>
  <c r="A15" i="5"/>
  <c r="A56" i="5" l="1"/>
  <c r="A94" i="5" s="1"/>
  <c r="A16" i="5"/>
  <c r="A57" i="5" l="1"/>
  <c r="A95" i="5" s="1"/>
  <c r="A17" i="5"/>
  <c r="A58" i="5" l="1"/>
  <c r="A96" i="5" s="1"/>
  <c r="A18" i="5"/>
  <c r="A59" i="5" l="1"/>
  <c r="A97" i="5" s="1"/>
  <c r="A19" i="5"/>
  <c r="A60" i="5" l="1"/>
  <c r="A98" i="5" s="1"/>
  <c r="A20" i="5"/>
  <c r="A61" i="5" l="1"/>
  <c r="A99" i="5" s="1"/>
  <c r="A21" i="5"/>
  <c r="A62" i="5" l="1"/>
  <c r="A100" i="5" s="1"/>
  <c r="A22" i="5"/>
  <c r="A63" i="5" l="1"/>
  <c r="A101" i="5" s="1"/>
  <c r="A23" i="5"/>
  <c r="A64" i="5" l="1"/>
  <c r="A102" i="5" s="1"/>
  <c r="A24" i="5"/>
  <c r="A65" i="5" l="1"/>
  <c r="A103" i="5" s="1"/>
  <c r="A25" i="5"/>
  <c r="A66" i="5" l="1"/>
  <c r="A104" i="5" s="1"/>
  <c r="A26" i="5"/>
  <c r="A67" i="5" l="1"/>
  <c r="A105" i="5" s="1"/>
  <c r="A27" i="5"/>
  <c r="A68" i="5" l="1"/>
  <c r="A106" i="5" s="1"/>
  <c r="A28" i="5"/>
  <c r="A69" i="5" l="1"/>
  <c r="A107" i="5" s="1"/>
  <c r="A29" i="5"/>
  <c r="A31" i="5" l="1"/>
  <c r="A30" i="5"/>
  <c r="A70" i="5"/>
  <c r="A108" i="5" s="1"/>
  <c r="A71" i="5" l="1"/>
  <c r="A109" i="5" s="1"/>
  <c r="A72" i="5" l="1"/>
  <c r="A110" i="5" s="1"/>
  <c r="A32" i="5"/>
  <c r="A73" i="5" l="1"/>
  <c r="A111" i="5" s="1"/>
  <c r="A33" i="5"/>
  <c r="A74" i="5" l="1"/>
  <c r="A112" i="5" s="1"/>
  <c r="A34" i="5"/>
  <c r="A75" i="5" l="1"/>
  <c r="A113" i="5" s="1"/>
  <c r="A35" i="5"/>
  <c r="A76" i="5" l="1"/>
  <c r="A114" i="5" s="1"/>
  <c r="A36" i="5"/>
  <c r="A77" i="5" l="1"/>
  <c r="A115" i="5" s="1"/>
  <c r="C3" i="2"/>
  <c r="C56" i="2" s="1"/>
  <c r="I3" i="2"/>
  <c r="I56" i="2" s="1"/>
  <c r="H3" i="2"/>
  <c r="H56" i="2" s="1"/>
  <c r="E3" i="2"/>
  <c r="E56" i="2" s="1"/>
  <c r="D82" i="5" s="1"/>
  <c r="D116" i="5" s="1"/>
  <c r="D40" i="5" s="1"/>
  <c r="G3" i="2"/>
  <c r="G56" i="2" s="1"/>
  <c r="J3" i="2"/>
  <c r="J56" i="2" s="1"/>
  <c r="F3" i="2"/>
  <c r="F56" i="2" s="1"/>
  <c r="E82" i="5" s="1"/>
  <c r="E116" i="5" s="1"/>
  <c r="E40" i="5" s="1"/>
  <c r="L3" i="2"/>
  <c r="L56" i="2" s="1"/>
  <c r="L57" i="2" s="1"/>
  <c r="N2" i="2"/>
  <c r="K3" i="5" l="1"/>
  <c r="K4" i="5"/>
  <c r="F57" i="2"/>
  <c r="E3" i="5" s="1"/>
  <c r="E38" i="5" s="1"/>
  <c r="H82" i="5"/>
  <c r="H116" i="5" s="1"/>
  <c r="H40" i="5" s="1"/>
  <c r="I57" i="2"/>
  <c r="H3" i="5" s="1"/>
  <c r="H38" i="5" s="1"/>
  <c r="E57" i="2"/>
  <c r="D3" i="5" s="1"/>
  <c r="D38" i="5" s="1"/>
  <c r="J57" i="2"/>
  <c r="I3" i="5" s="1"/>
  <c r="I38" i="5" s="1"/>
  <c r="I82" i="5"/>
  <c r="I116" i="5" s="1"/>
  <c r="I40" i="5" s="1"/>
  <c r="G57" i="2"/>
  <c r="F3" i="5" s="1"/>
  <c r="F38" i="5" s="1"/>
  <c r="F82" i="5"/>
  <c r="F116" i="5" s="1"/>
  <c r="F40" i="5" s="1"/>
  <c r="G82" i="5"/>
  <c r="G116" i="5" s="1"/>
  <c r="G40" i="5" s="1"/>
  <c r="H57" i="2"/>
  <c r="G3" i="5" s="1"/>
  <c r="G38" i="5" s="1"/>
  <c r="N56" i="2"/>
  <c r="N57" i="2" s="1"/>
  <c r="C57" i="2"/>
  <c r="B3" i="5" s="1"/>
  <c r="B82" i="5"/>
  <c r="B17" i="60" l="1"/>
  <c r="B18" i="60" s="1"/>
  <c r="B20" i="60" s="1"/>
  <c r="B21" i="60" s="1"/>
  <c r="B17" i="59"/>
  <c r="B18" i="59" s="1"/>
  <c r="B20" i="59" s="1"/>
  <c r="B21" i="59" s="1"/>
  <c r="L82" i="5"/>
  <c r="K38" i="5"/>
  <c r="N58" i="2"/>
  <c r="B10" i="60" l="1"/>
  <c r="B26" i="60"/>
  <c r="B31" i="60"/>
  <c r="B22" i="60"/>
  <c r="B31" i="59"/>
  <c r="B26" i="59"/>
  <c r="B22" i="59"/>
  <c r="B10" i="59"/>
  <c r="B27" i="60" l="1"/>
  <c r="B34" i="60"/>
  <c r="B32" i="60"/>
  <c r="B32" i="59"/>
  <c r="B34" i="59"/>
  <c r="B27" i="59"/>
  <c r="C57" i="20" l="1"/>
  <c r="N57" i="20"/>
  <c r="B18" i="5" l="1"/>
  <c r="N2" i="1" l="1"/>
  <c r="B83" i="5" l="1"/>
  <c r="B116" i="5" s="1"/>
  <c r="B40" i="5" s="1"/>
  <c r="C57" i="3"/>
  <c r="L83" i="5" l="1"/>
  <c r="N58" i="3"/>
  <c r="B4" i="5"/>
  <c r="N57" i="3"/>
  <c r="B25" i="5" l="1"/>
  <c r="B38" i="5" s="1"/>
  <c r="B17" i="64" l="1"/>
  <c r="B19" i="64" s="1"/>
  <c r="B17" i="65" l="1"/>
  <c r="N17" i="64"/>
  <c r="B18" i="64"/>
  <c r="B18" i="65" s="1"/>
  <c r="N18" i="64" l="1"/>
  <c r="G17" i="65"/>
  <c r="N19" i="64" l="1"/>
  <c r="G18" i="65"/>
  <c r="G19" i="65" l="1"/>
  <c r="B12" i="64" l="1"/>
  <c r="B20" i="64"/>
  <c r="B21" i="64" l="1"/>
  <c r="B14" i="64"/>
  <c r="B22" i="64" l="1"/>
  <c r="B27" i="64" s="1"/>
  <c r="B31" i="64"/>
  <c r="B10" i="64"/>
  <c r="B26" i="64"/>
  <c r="B32" i="64" l="1"/>
  <c r="B34" i="64"/>
  <c r="B73" i="54" l="1"/>
  <c r="B74" i="54"/>
  <c r="N10" i="64"/>
  <c r="N21" i="64"/>
  <c r="N22" i="64" s="1"/>
  <c r="N8" i="64" l="1"/>
  <c r="N23" i="64"/>
  <c r="N28" i="64" s="1"/>
  <c r="N32" i="64"/>
  <c r="N27" i="64"/>
  <c r="N12" i="64"/>
  <c r="N33" i="64"/>
  <c r="N35" i="64" l="1"/>
  <c r="B12" i="62" l="1"/>
  <c r="B14" i="62" s="1"/>
  <c r="B14" i="65" s="1"/>
  <c r="B12" i="65"/>
  <c r="G20" i="62"/>
  <c r="G10" i="62" s="1"/>
  <c r="G20" i="65"/>
  <c r="B19" i="65"/>
  <c r="B20" i="62"/>
  <c r="B21" i="62" s="1"/>
  <c r="B20" i="65" l="1"/>
  <c r="B26" i="62"/>
  <c r="B26" i="65" s="1"/>
  <c r="B10" i="62"/>
  <c r="B10" i="65" s="1"/>
  <c r="G10" i="65"/>
  <c r="G12" i="62"/>
  <c r="G12" i="65" s="1"/>
  <c r="B31" i="62"/>
  <c r="G21" i="62"/>
  <c r="B21" i="65"/>
  <c r="B22" i="62"/>
  <c r="B32" i="62" l="1"/>
  <c r="B27" i="62"/>
  <c r="G22" i="62"/>
  <c r="G21" i="65"/>
  <c r="B22" i="65"/>
  <c r="B31" i="65"/>
  <c r="B27" i="65" l="1"/>
  <c r="B32" i="65"/>
  <c r="B34" i="65"/>
  <c r="G32" i="62"/>
  <c r="G32" i="65" s="1"/>
  <c r="G23" i="62"/>
  <c r="G27" i="62"/>
  <c r="G27" i="65" s="1"/>
  <c r="G8" i="62"/>
  <c r="G8" i="65" s="1"/>
  <c r="G22" i="65"/>
  <c r="G23" i="65" s="1"/>
  <c r="G33" i="65" l="1"/>
  <c r="G28" i="65"/>
  <c r="G35" i="65"/>
  <c r="G33" i="62"/>
  <c r="G35" i="62"/>
  <c r="G28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SMS</author>
    <author>Rob Farrell</author>
  </authors>
  <commentList>
    <comment ref="T117" authorId="0" shapeId="0" xr:uid="{FE1D849F-45E3-41B2-B278-35587351F0F3}">
      <text>
        <r>
          <rPr>
            <b/>
            <sz val="9"/>
            <color indexed="81"/>
            <rFont val="Tahoma"/>
            <family val="2"/>
          </rPr>
          <t xml:space="preserve">Jenn hired
</t>
        </r>
      </text>
    </comment>
    <comment ref="AH128" authorId="1" shapeId="0" xr:uid="{C9963DA9-505E-4EEA-8C29-9E37CFD1E0B9}">
      <text>
        <r>
          <rPr>
            <b/>
            <sz val="9"/>
            <color indexed="81"/>
            <rFont val="Tahoma"/>
            <family val="2"/>
          </rPr>
          <t xml:space="preserve">Mani done may 16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Bieniek</author>
  </authors>
  <commentList>
    <comment ref="R2" authorId="0" shapeId="0" xr:uid="{6A8AF8CF-60F9-4C86-895F-AB3B294E8FB0}">
      <text>
        <r>
          <rPr>
            <sz val="11"/>
            <color theme="1"/>
            <rFont val="Calibri"/>
            <family val="2"/>
            <scheme val="minor"/>
          </rPr>
          <t xml:space="preserve">Chris Bieniek:
Food service outdates
</t>
        </r>
      </text>
    </comment>
    <comment ref="O11" authorId="0" shapeId="0" xr:uid="{444192BD-362C-48A7-BBAA-2F8DEFA35CEC}">
      <text>
        <r>
          <rPr>
            <sz val="11"/>
            <color theme="1"/>
            <rFont val="Calibri"/>
            <family val="2"/>
            <scheme val="minor"/>
          </rPr>
          <t>Chris Bieniek:
kimberly cookies</t>
        </r>
      </text>
    </comment>
    <comment ref="O21" authorId="0" shapeId="0" xr:uid="{4353E54D-2108-4F17-A4D1-3FCA646DC202}">
      <text>
        <r>
          <rPr>
            <sz val="11"/>
            <color theme="1"/>
            <rFont val="Calibri"/>
            <family val="2"/>
            <scheme val="minor"/>
          </rPr>
          <t>Chris Bieniek:
Centsibles buns, english muffins, jumbo muffins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SMS</author>
  </authors>
  <commentList>
    <comment ref="K4" authorId="0" shapeId="0" xr:uid="{877BF402-AE3C-4631-81C8-7CDD32046522}">
      <text>
        <r>
          <rPr>
            <b/>
            <sz val="9"/>
            <color indexed="81"/>
            <rFont val="Tahoma"/>
            <family val="2"/>
          </rPr>
          <t>place holder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SMS</author>
  </authors>
  <commentList>
    <comment ref="K4" authorId="0" shapeId="0" xr:uid="{2ADBED64-FDDB-469C-9B2E-889E74EA9413}">
      <text>
        <r>
          <rPr>
            <b/>
            <sz val="9"/>
            <color indexed="81"/>
            <rFont val="Tahoma"/>
            <family val="2"/>
          </rPr>
          <t>Placeholder</t>
        </r>
      </text>
    </comment>
  </commentList>
</comments>
</file>

<file path=xl/sharedStrings.xml><?xml version="1.0" encoding="utf-8"?>
<sst xmlns="http://schemas.openxmlformats.org/spreadsheetml/2006/main" count="6143" uniqueCount="1020">
  <si>
    <t>Freight</t>
  </si>
  <si>
    <t>Grocery</t>
  </si>
  <si>
    <t>Meat</t>
  </si>
  <si>
    <t>Bakery</t>
  </si>
  <si>
    <t>Bake off</t>
  </si>
  <si>
    <t>Deli</t>
  </si>
  <si>
    <t>Produce</t>
  </si>
  <si>
    <t>Produce Shrink</t>
  </si>
  <si>
    <t>Dairy</t>
  </si>
  <si>
    <t>Pharmacy</t>
  </si>
  <si>
    <t>Receiving Totals</t>
  </si>
  <si>
    <t>Total</t>
  </si>
  <si>
    <t>Name:</t>
  </si>
  <si>
    <t>SHANNON</t>
  </si>
  <si>
    <t>Receiving Date:</t>
  </si>
  <si>
    <t>Invoice Number</t>
  </si>
  <si>
    <t>Supplier Name</t>
  </si>
  <si>
    <t>Grocery Purchases</t>
  </si>
  <si>
    <t>Tobacco Purchases</t>
  </si>
  <si>
    <t>Meat Purchases</t>
  </si>
  <si>
    <t xml:space="preserve">Bakery Purchases </t>
  </si>
  <si>
    <t>Bakery In Store</t>
  </si>
  <si>
    <t>Deli Purchases</t>
  </si>
  <si>
    <t>Produce Purchases</t>
  </si>
  <si>
    <t>Dairy Purchases</t>
  </si>
  <si>
    <t>Pharmacy Purchases</t>
  </si>
  <si>
    <t>GST</t>
  </si>
  <si>
    <t>Total Invoice**</t>
  </si>
  <si>
    <t>126281</t>
  </si>
  <si>
    <t>ITALIAN BAKERY</t>
  </si>
  <si>
    <t>4003652120</t>
  </si>
  <si>
    <t>SAPUTO DAIRY PRODUCTS</t>
  </si>
  <si>
    <t>SO185613</t>
  </si>
  <si>
    <t>STAR PRODUCE</t>
  </si>
  <si>
    <t>771176</t>
  </si>
  <si>
    <t>PACIFIC FRESH FISH</t>
  </si>
  <si>
    <t>3278879</t>
  </si>
  <si>
    <t>LILYDALE SOFINA FOODS</t>
  </si>
  <si>
    <t>6644176</t>
  </si>
  <si>
    <t>THE GROCERY PEOPLE</t>
  </si>
  <si>
    <t>6644717</t>
  </si>
  <si>
    <t>6647609</t>
  </si>
  <si>
    <t>6644304</t>
  </si>
  <si>
    <t>6644306</t>
  </si>
  <si>
    <t>6645036</t>
  </si>
  <si>
    <t>MEAT SUPPLIES - DIGI SCALE LABELS</t>
  </si>
  <si>
    <t>6445919</t>
  </si>
  <si>
    <t>6646756</t>
  </si>
  <si>
    <t>6646757</t>
  </si>
  <si>
    <t>6647235</t>
  </si>
  <si>
    <t>6650196</t>
  </si>
  <si>
    <t>6650197</t>
  </si>
  <si>
    <t>5624761</t>
  </si>
  <si>
    <t>5625509</t>
  </si>
  <si>
    <t>5626052</t>
  </si>
  <si>
    <t>MEAT SUPPLIES - FOAM TRAYS, STRETCH FILM</t>
  </si>
  <si>
    <t>5626479</t>
  </si>
  <si>
    <t>5626709</t>
  </si>
  <si>
    <t>5627364</t>
  </si>
  <si>
    <t>5627676</t>
  </si>
  <si>
    <t>5628111</t>
  </si>
  <si>
    <t>8239352</t>
  </si>
  <si>
    <t>8239683</t>
  </si>
  <si>
    <t>5624975</t>
  </si>
  <si>
    <t>5625079</t>
  </si>
  <si>
    <t>5627277</t>
  </si>
  <si>
    <t>5627365</t>
  </si>
  <si>
    <t>5624976</t>
  </si>
  <si>
    <t>5627404</t>
  </si>
  <si>
    <t>5627560</t>
  </si>
  <si>
    <t>5627677</t>
  </si>
  <si>
    <t>5628243</t>
  </si>
  <si>
    <t>5628265</t>
  </si>
  <si>
    <t>5628266</t>
  </si>
  <si>
    <t>5628288</t>
  </si>
  <si>
    <t>5628408</t>
  </si>
  <si>
    <t>6637875</t>
  </si>
  <si>
    <t>FEDERATED CO-OPERATIVES</t>
  </si>
  <si>
    <t>6637876</t>
  </si>
  <si>
    <t>6648548</t>
  </si>
  <si>
    <t>6648549</t>
  </si>
  <si>
    <t>6647654</t>
  </si>
  <si>
    <t xml:space="preserve"> </t>
  </si>
  <si>
    <t>BM#8454174, BOL REF#4834913,4834912,4834914,4834915,4834911</t>
  </si>
  <si>
    <t>Department Totals</t>
  </si>
  <si>
    <t>Grocery Supplies</t>
  </si>
  <si>
    <t>Tobacco Supplies</t>
  </si>
  <si>
    <t>Meat Supplies</t>
  </si>
  <si>
    <t>Bakery  Supplies</t>
  </si>
  <si>
    <t>B.In store Supplies</t>
  </si>
  <si>
    <t>Deli  Supplies</t>
  </si>
  <si>
    <t>Produce Supplies</t>
  </si>
  <si>
    <t>Dairy Supplies</t>
  </si>
  <si>
    <t>Pharmacy Supplies</t>
  </si>
  <si>
    <t>MEAT SUPPLIES - DIGISCALE LABELS</t>
  </si>
  <si>
    <t>9597126</t>
  </si>
  <si>
    <t>DAMAGED - INTL DELIGHT</t>
  </si>
  <si>
    <t>9597117</t>
  </si>
  <si>
    <t>DAMAGED - SPARKS EGGS</t>
  </si>
  <si>
    <t>9598881</t>
  </si>
  <si>
    <t>SHORTED - DANONE OIKOS</t>
  </si>
  <si>
    <t>9598880</t>
  </si>
  <si>
    <t>SHORTED - CG XL EGGS</t>
  </si>
  <si>
    <t>52933821006</t>
  </si>
  <si>
    <t>COCA COLA CANADA BOTTLING</t>
  </si>
  <si>
    <t>53927300</t>
  </si>
  <si>
    <t>PEPSICO</t>
  </si>
  <si>
    <t>32698</t>
  </si>
  <si>
    <t>NELLA WEST</t>
  </si>
  <si>
    <t>2306</t>
  </si>
  <si>
    <t>126301</t>
  </si>
  <si>
    <t>2031031154</t>
  </si>
  <si>
    <t>RED BULL CANADA</t>
  </si>
  <si>
    <t>2031031155</t>
  </si>
  <si>
    <t>82849759</t>
  </si>
  <si>
    <t>OLD DUTCH FOODS</t>
  </si>
  <si>
    <t>82849760</t>
  </si>
  <si>
    <t>226650717304</t>
  </si>
  <si>
    <t>CANADA BREAD COMPANY</t>
  </si>
  <si>
    <t>226650717305</t>
  </si>
  <si>
    <t>00020604</t>
  </si>
  <si>
    <t>SEVEN SEAS FISH CO</t>
  </si>
  <si>
    <t>91205735</t>
  </si>
  <si>
    <t>FRITO LAY CANADA VENDING</t>
  </si>
  <si>
    <t>9501286</t>
  </si>
  <si>
    <t>RECALL CLAIM</t>
  </si>
  <si>
    <t>4003658983</t>
  </si>
  <si>
    <t>4003658984</t>
  </si>
  <si>
    <t>6651868</t>
  </si>
  <si>
    <t>6651869</t>
  </si>
  <si>
    <t>6652458</t>
  </si>
  <si>
    <t>6652237</t>
  </si>
  <si>
    <t>6654306</t>
  </si>
  <si>
    <t>6654307</t>
  </si>
  <si>
    <t>6655847</t>
  </si>
  <si>
    <t>6655848</t>
  </si>
  <si>
    <t>6652880</t>
  </si>
  <si>
    <t>6654592</t>
  </si>
  <si>
    <t>5628412</t>
  </si>
  <si>
    <t>5629476</t>
  </si>
  <si>
    <t>5629477</t>
  </si>
  <si>
    <t>5629583</t>
  </si>
  <si>
    <t>8240446</t>
  </si>
  <si>
    <t>8240459</t>
  </si>
  <si>
    <t>5629081</t>
  </si>
  <si>
    <t>5628411</t>
  </si>
  <si>
    <t>5628458</t>
  </si>
  <si>
    <t>5628794</t>
  </si>
  <si>
    <t>5629380</t>
  </si>
  <si>
    <t>5629381</t>
  </si>
  <si>
    <t>5629424</t>
  </si>
  <si>
    <t>5629562</t>
  </si>
  <si>
    <t>5630086</t>
  </si>
  <si>
    <t>PRODUCE SUPPLIES - POS MATERIAL HALOS BINS</t>
  </si>
  <si>
    <t>5630111</t>
  </si>
  <si>
    <t>5630112</t>
  </si>
  <si>
    <t>5630113</t>
  </si>
  <si>
    <t>117986</t>
  </si>
  <si>
    <t>KENNELLI SPRINGS</t>
  </si>
  <si>
    <t>INV26-04375</t>
  </si>
  <si>
    <t>CAPITAL FINE MEATS</t>
  </si>
  <si>
    <t>91458496</t>
  </si>
  <si>
    <t>FRITO LAY CANADA RETAIL</t>
  </si>
  <si>
    <t>77683973</t>
  </si>
  <si>
    <t>7726174002</t>
  </si>
  <si>
    <t>UNITED DISTRIBUTION NETWORK</t>
  </si>
  <si>
    <t>7726174001</t>
  </si>
  <si>
    <t>BM#8458982, BOL REF #4835421,4835423,4835422,4835419,4835420</t>
  </si>
  <si>
    <t>5226135003</t>
  </si>
  <si>
    <t>2474287</t>
  </si>
  <si>
    <t>UNFI CANADA</t>
  </si>
  <si>
    <t>5226142003</t>
  </si>
  <si>
    <t>5226149002</t>
  </si>
  <si>
    <t>6597432A</t>
  </si>
  <si>
    <t>9590413</t>
  </si>
  <si>
    <t>SHORT SHIPPED INV #8193088</t>
  </si>
  <si>
    <t>1809156</t>
  </si>
  <si>
    <t>MAY RECLAMATION</t>
  </si>
  <si>
    <t>86528036</t>
  </si>
  <si>
    <t>FRITO LAY CANADA</t>
  </si>
  <si>
    <t>86528546</t>
  </si>
  <si>
    <t>10003557263</t>
  </si>
  <si>
    <t>CREDIT MEMO</t>
  </si>
  <si>
    <t>CREDIT FOR MIS KEY ISSUE - LEANE ELASCHUK</t>
  </si>
  <si>
    <t>82849776</t>
  </si>
  <si>
    <t>82849777</t>
  </si>
  <si>
    <t>371789</t>
  </si>
  <si>
    <t>DPB BAKING COMPANY</t>
  </si>
  <si>
    <t>DEBIT MEMO - MISSING FUEL SURCHARGE</t>
  </si>
  <si>
    <t>4003676429</t>
  </si>
  <si>
    <t>962372</t>
  </si>
  <si>
    <t>HARVEST MEATS</t>
  </si>
  <si>
    <t>962772</t>
  </si>
  <si>
    <t>6657512</t>
  </si>
  <si>
    <t>6656802</t>
  </si>
  <si>
    <t>6658481</t>
  </si>
  <si>
    <t>6658482</t>
  </si>
  <si>
    <t>5630396</t>
  </si>
  <si>
    <t>5631184</t>
  </si>
  <si>
    <t>5631309</t>
  </si>
  <si>
    <t>5631563</t>
  </si>
  <si>
    <t>MEAT  SUPPLIES - FOAM TRAYS, DIGI SCALE LABELS</t>
  </si>
  <si>
    <t>5632090</t>
  </si>
  <si>
    <t>5632206</t>
  </si>
  <si>
    <t>5632207</t>
  </si>
  <si>
    <t>8241401</t>
  </si>
  <si>
    <t>8241504</t>
  </si>
  <si>
    <t>5630017</t>
  </si>
  <si>
    <t>5631316</t>
  </si>
  <si>
    <t>5631317</t>
  </si>
  <si>
    <t>8241502</t>
  </si>
  <si>
    <t>5629864</t>
  </si>
  <si>
    <t>5630018</t>
  </si>
  <si>
    <t>5630406</t>
  </si>
  <si>
    <t>5630539</t>
  </si>
  <si>
    <t>5630540</t>
  </si>
  <si>
    <t>5630541</t>
  </si>
  <si>
    <t>5630542</t>
  </si>
  <si>
    <t>5631315</t>
  </si>
  <si>
    <t>5631564</t>
  </si>
  <si>
    <t>5631565</t>
  </si>
  <si>
    <t>5631647</t>
  </si>
  <si>
    <t>5631732</t>
  </si>
  <si>
    <t>5631830</t>
  </si>
  <si>
    <t>5632089</t>
  </si>
  <si>
    <t>5632195</t>
  </si>
  <si>
    <t>5632205</t>
  </si>
  <si>
    <t>5631290</t>
  </si>
  <si>
    <t>5631544</t>
  </si>
  <si>
    <t>5632780</t>
  </si>
  <si>
    <t>5632848</t>
  </si>
  <si>
    <t>5632967</t>
  </si>
  <si>
    <t>SO185631</t>
  </si>
  <si>
    <t>226650717652</t>
  </si>
  <si>
    <t>53003562004</t>
  </si>
  <si>
    <t>126396</t>
  </si>
  <si>
    <t>0117318</t>
  </si>
  <si>
    <t>G &amp; L DISTRIBUTORS</t>
  </si>
  <si>
    <t>226650717653</t>
  </si>
  <si>
    <t>SO2513920</t>
  </si>
  <si>
    <t>HARLAN FAIRBANKS</t>
  </si>
  <si>
    <t>91942722</t>
  </si>
  <si>
    <t>BM#8467521, BOL REF #4836932,4836933,4836934,4836935,4836931</t>
  </si>
  <si>
    <t>MEAT SUPPLIES - FOAM TRAYS, DIGI SCALE LABELS</t>
  </si>
  <si>
    <t>2882617703</t>
  </si>
  <si>
    <t>DIRECT PLUS FOOD GROUP</t>
  </si>
  <si>
    <t>2882617704</t>
  </si>
  <si>
    <t>2882617705</t>
  </si>
  <si>
    <t>2882617706</t>
  </si>
  <si>
    <t>2034298473</t>
  </si>
  <si>
    <t>3285617701</t>
  </si>
  <si>
    <t>ARCTIC GLACIER</t>
  </si>
  <si>
    <t>82849789</t>
  </si>
  <si>
    <t>82849788</t>
  </si>
  <si>
    <t>92793699</t>
  </si>
  <si>
    <t>26808937</t>
  </si>
  <si>
    <t>80594</t>
  </si>
  <si>
    <t>NUTRIFRESH WEST</t>
  </si>
  <si>
    <t>126454</t>
  </si>
  <si>
    <t>1003652120</t>
  </si>
  <si>
    <t>4003701372</t>
  </si>
  <si>
    <t>4003701374</t>
  </si>
  <si>
    <t>3280944</t>
  </si>
  <si>
    <t>100351280</t>
  </si>
  <si>
    <t>FREYBE GOURMET FOODS</t>
  </si>
  <si>
    <t>SO185965</t>
  </si>
  <si>
    <t>6660239</t>
  </si>
  <si>
    <t>6660588</t>
  </si>
  <si>
    <t>6665623</t>
  </si>
  <si>
    <t>6661029</t>
  </si>
  <si>
    <t>6662077</t>
  </si>
  <si>
    <t>6663371</t>
  </si>
  <si>
    <t>STORE SUPPLIES - GARBAGE &amp; WASTE ODOR CONT</t>
  </si>
  <si>
    <t>5632856</t>
  </si>
  <si>
    <t>5632861</t>
  </si>
  <si>
    <t>5633291</t>
  </si>
  <si>
    <t>STORE SUPPLIES - 6.5" WHITE SPOONS</t>
  </si>
  <si>
    <t>5634754</t>
  </si>
  <si>
    <t>5635177</t>
  </si>
  <si>
    <t>5635270</t>
  </si>
  <si>
    <t>5635433</t>
  </si>
  <si>
    <t>5635914</t>
  </si>
  <si>
    <t>5635916</t>
  </si>
  <si>
    <t>5636042</t>
  </si>
  <si>
    <t>5636044</t>
  </si>
  <si>
    <t>5636045</t>
  </si>
  <si>
    <t>8242570</t>
  </si>
  <si>
    <t>8242976</t>
  </si>
  <si>
    <t>8243386</t>
  </si>
  <si>
    <t>8243603</t>
  </si>
  <si>
    <t>5632862</t>
  </si>
  <si>
    <t>STORE SUPPLIES - STRETCH WRAP</t>
  </si>
  <si>
    <t>5632970</t>
  </si>
  <si>
    <t>5633158</t>
  </si>
  <si>
    <t>5633948</t>
  </si>
  <si>
    <t>5634067</t>
  </si>
  <si>
    <t>5634483</t>
  </si>
  <si>
    <t>5635178</t>
  </si>
  <si>
    <t>5635520</t>
  </si>
  <si>
    <t>5635521</t>
  </si>
  <si>
    <t>5635709</t>
  </si>
  <si>
    <t>5635828</t>
  </si>
  <si>
    <t>5636043</t>
  </si>
  <si>
    <t>5635179</t>
  </si>
  <si>
    <t>5635603</t>
  </si>
  <si>
    <t>5636232</t>
  </si>
  <si>
    <t>5636233</t>
  </si>
  <si>
    <t>5636384</t>
  </si>
  <si>
    <t>BM#8474904, BOL REF#4838302,4838301,4838300,4838303,4838299</t>
  </si>
  <si>
    <t>MEAT SUPPLIE - DIGISCALE LABELS</t>
  </si>
  <si>
    <t>STORE SUPPLIES - GARBAGE &amp; WASTE ODOR CONT.</t>
  </si>
  <si>
    <t>92578138</t>
  </si>
  <si>
    <t>54132304</t>
  </si>
  <si>
    <t>54132303</t>
  </si>
  <si>
    <t>226650718099</t>
  </si>
  <si>
    <t>226650718001</t>
  </si>
  <si>
    <t>82849805</t>
  </si>
  <si>
    <t>126480</t>
  </si>
  <si>
    <t>INV26-04514</t>
  </si>
  <si>
    <t>32922</t>
  </si>
  <si>
    <t>4003710022</t>
  </si>
  <si>
    <t>4003710021</t>
  </si>
  <si>
    <t>6670111</t>
  </si>
  <si>
    <t>6670958</t>
  </si>
  <si>
    <t>6670959</t>
  </si>
  <si>
    <t>6671926</t>
  </si>
  <si>
    <t>6671927</t>
  </si>
  <si>
    <t>6671928</t>
  </si>
  <si>
    <t>6669929</t>
  </si>
  <si>
    <t>5636178</t>
  </si>
  <si>
    <t>5636320</t>
  </si>
  <si>
    <t>5636542</t>
  </si>
  <si>
    <t>5637370</t>
  </si>
  <si>
    <t>5637433</t>
  </si>
  <si>
    <t>5637511</t>
  </si>
  <si>
    <t>5637544</t>
  </si>
  <si>
    <t>5636992</t>
  </si>
  <si>
    <t>5636155</t>
  </si>
  <si>
    <t>5636457</t>
  </si>
  <si>
    <t>5637011</t>
  </si>
  <si>
    <t>5637171</t>
  </si>
  <si>
    <t>5637215</t>
  </si>
  <si>
    <t>5637216</t>
  </si>
  <si>
    <t>5637995</t>
  </si>
  <si>
    <t>5638018</t>
  </si>
  <si>
    <t>5638025</t>
  </si>
  <si>
    <t>5638041</t>
  </si>
  <si>
    <t>6652917</t>
  </si>
  <si>
    <t>6653196</t>
  </si>
  <si>
    <t>6663764</t>
  </si>
  <si>
    <t>STORE SUPPLIES - PENS, DBL TAPE, DRY ERASE</t>
  </si>
  <si>
    <t>118511</t>
  </si>
  <si>
    <t>53048735061</t>
  </si>
  <si>
    <t>53048735062</t>
  </si>
  <si>
    <t>92794355</t>
  </si>
  <si>
    <t>77684065</t>
  </si>
  <si>
    <t>7726181003</t>
  </si>
  <si>
    <t>UNITED DISTRIBUTION</t>
  </si>
  <si>
    <t>BM#8502093, BOL REF#4852915,4852916,4852914,4852918,4852917</t>
  </si>
  <si>
    <t>STORE SUPPLIES - PENS, DBLE TAPE, DRYLINE CORRECTION</t>
  </si>
  <si>
    <t>82849818</t>
  </si>
  <si>
    <t>BM#7931352, BOL REF#4601404</t>
  </si>
  <si>
    <t>4003725681</t>
  </si>
  <si>
    <t>6672805</t>
  </si>
  <si>
    <t>6674089</t>
  </si>
  <si>
    <t>6672317</t>
  </si>
  <si>
    <t>5638271</t>
  </si>
  <si>
    <t>5638389</t>
  </si>
  <si>
    <t>5639394</t>
  </si>
  <si>
    <t>5639528</t>
  </si>
  <si>
    <t>5639615</t>
  </si>
  <si>
    <t>5639857</t>
  </si>
  <si>
    <t>5640349</t>
  </si>
  <si>
    <t>5640350</t>
  </si>
  <si>
    <t>5640351</t>
  </si>
  <si>
    <t>8245664</t>
  </si>
  <si>
    <t>5637937</t>
  </si>
  <si>
    <t>5638269</t>
  </si>
  <si>
    <t>5638270</t>
  </si>
  <si>
    <t>5639276</t>
  </si>
  <si>
    <t>5639614</t>
  </si>
  <si>
    <t>5639856</t>
  </si>
  <si>
    <t>5640151</t>
  </si>
  <si>
    <t>5639221</t>
  </si>
  <si>
    <t>5639264</t>
  </si>
  <si>
    <t>5640622</t>
  </si>
  <si>
    <t>5640769</t>
  </si>
  <si>
    <t>5640780</t>
  </si>
  <si>
    <t>5640791</t>
  </si>
  <si>
    <t>5638048</t>
  </si>
  <si>
    <t>TGP C&amp;C KAMLOOPS</t>
  </si>
  <si>
    <t>5638263</t>
  </si>
  <si>
    <t>5638386</t>
  </si>
  <si>
    <t>5638387</t>
  </si>
  <si>
    <t>5639458</t>
  </si>
  <si>
    <t>6658229</t>
  </si>
  <si>
    <t>6658230</t>
  </si>
  <si>
    <t>6668860</t>
  </si>
  <si>
    <t>6669395</t>
  </si>
  <si>
    <t>126552</t>
  </si>
  <si>
    <t>226650718381</t>
  </si>
  <si>
    <t>1120443</t>
  </si>
  <si>
    <t>CALAHOO MEATS</t>
  </si>
  <si>
    <t>2882618305</t>
  </si>
  <si>
    <t>2882618307</t>
  </si>
  <si>
    <t>2882618306</t>
  </si>
  <si>
    <t>BM#8508718, BOL REF#4854140,4854137,4854139,4854138,4854141, BM#8505398, BOL REF#4853675,4853674,4853673</t>
  </si>
  <si>
    <t>53097633101</t>
  </si>
  <si>
    <t>82849831</t>
  </si>
  <si>
    <t>82849832</t>
  </si>
  <si>
    <t>94181775</t>
  </si>
  <si>
    <t>0117434</t>
  </si>
  <si>
    <t>10484</t>
  </si>
  <si>
    <t>ALTA AGRI-FOODS LTD.</t>
  </si>
  <si>
    <t>6017</t>
  </si>
  <si>
    <t>STORE TRANSFER - LLOYDMINSTER</t>
  </si>
  <si>
    <t>BM#8187146, BOL REF#4764061</t>
  </si>
  <si>
    <t>126616</t>
  </si>
  <si>
    <t>4003749852</t>
  </si>
  <si>
    <t>4003749851</t>
  </si>
  <si>
    <t>4003731438</t>
  </si>
  <si>
    <t>SO186413</t>
  </si>
  <si>
    <t>100352206</t>
  </si>
  <si>
    <t>6676651</t>
  </si>
  <si>
    <t>6678810</t>
  </si>
  <si>
    <t>6679688</t>
  </si>
  <si>
    <t>6682144</t>
  </si>
  <si>
    <t>6682145</t>
  </si>
  <si>
    <t>6682146</t>
  </si>
  <si>
    <t>6679289</t>
  </si>
  <si>
    <t>6676375</t>
  </si>
  <si>
    <t>STORE SUPPLIES - FOAMING HAND SOAP</t>
  </si>
  <si>
    <t>6678809</t>
  </si>
  <si>
    <t>6680695</t>
  </si>
  <si>
    <t>6676376</t>
  </si>
  <si>
    <t>6680696</t>
  </si>
  <si>
    <t>5640621</t>
  </si>
  <si>
    <t>MEAT SUPPLIES - FOAM TRAYS, DRILOC, STRETCH FILM</t>
  </si>
  <si>
    <t>5640936</t>
  </si>
  <si>
    <t>5643102</t>
  </si>
  <si>
    <t>5643103</t>
  </si>
  <si>
    <t>5643508</t>
  </si>
  <si>
    <t>5643590</t>
  </si>
  <si>
    <t>5643740</t>
  </si>
  <si>
    <t>8247090</t>
  </si>
  <si>
    <t>8247485</t>
  </si>
  <si>
    <t>8247544</t>
  </si>
  <si>
    <t>5640678</t>
  </si>
  <si>
    <t>5640875</t>
  </si>
  <si>
    <t>5641129</t>
  </si>
  <si>
    <t>5641130</t>
  </si>
  <si>
    <t>5641912</t>
  </si>
  <si>
    <t>5642290</t>
  </si>
  <si>
    <t>5642291</t>
  </si>
  <si>
    <t>5642411</t>
  </si>
  <si>
    <t>5643425</t>
  </si>
  <si>
    <t>5643626</t>
  </si>
  <si>
    <t>5643507</t>
  </si>
  <si>
    <t>5643592</t>
  </si>
  <si>
    <t>5643739</t>
  </si>
  <si>
    <t>5643101</t>
  </si>
  <si>
    <t>5643866</t>
  </si>
  <si>
    <t>5643905</t>
  </si>
  <si>
    <t>5644070</t>
  </si>
  <si>
    <t>5644071</t>
  </si>
  <si>
    <t>5644072</t>
  </si>
  <si>
    <t>BM#8516790, BOL REF#4855702,4855701,4855698,4855699,4855700</t>
  </si>
  <si>
    <t>2246</t>
  </si>
  <si>
    <t>54319807</t>
  </si>
  <si>
    <t>54319806</t>
  </si>
  <si>
    <t>53166884003</t>
  </si>
  <si>
    <t>226650718709</t>
  </si>
  <si>
    <t>226650718710</t>
  </si>
  <si>
    <t>2882618701</t>
  </si>
  <si>
    <t>2882618702</t>
  </si>
  <si>
    <t>INV26-04674</t>
  </si>
  <si>
    <t>126639</t>
  </si>
  <si>
    <t>93892064</t>
  </si>
  <si>
    <t>TO442</t>
  </si>
  <si>
    <t>4000258837</t>
  </si>
  <si>
    <t>6683608</t>
  </si>
  <si>
    <t>6685009</t>
  </si>
  <si>
    <t>6685246</t>
  </si>
  <si>
    <t>STORE SUPPLIES - KAY FOAMING HAND SOAP</t>
  </si>
  <si>
    <t>6685789</t>
  </si>
  <si>
    <t>5644808</t>
  </si>
  <si>
    <t>5644827</t>
  </si>
  <si>
    <t>5645168</t>
  </si>
  <si>
    <t>5645262</t>
  </si>
  <si>
    <t>5645264</t>
  </si>
  <si>
    <t>5645343</t>
  </si>
  <si>
    <t>5645344</t>
  </si>
  <si>
    <t>8248372</t>
  </si>
  <si>
    <t>5645167</t>
  </si>
  <si>
    <t>5645955</t>
  </si>
  <si>
    <t>5646230</t>
  </si>
  <si>
    <t>6669955</t>
  </si>
  <si>
    <t>6670981</t>
  </si>
  <si>
    <t>6676411</t>
  </si>
  <si>
    <t>4003757420</t>
  </si>
  <si>
    <t>118900</t>
  </si>
  <si>
    <t>94183777</t>
  </si>
  <si>
    <t>77684160</t>
  </si>
  <si>
    <t>7726188001</t>
  </si>
  <si>
    <t>COMPLETE DISTRIBUTION NETWORK</t>
  </si>
  <si>
    <t>179193</t>
  </si>
  <si>
    <t>CW SHASKY &amp; ASSOCIATES</t>
  </si>
  <si>
    <t>89659</t>
  </si>
  <si>
    <t>GECKO BEVERAGES</t>
  </si>
  <si>
    <t>BM#8523771, BOL REF#4862604,4862605,4862606,4862642</t>
  </si>
  <si>
    <t>82849859</t>
  </si>
  <si>
    <t>INV26-04757</t>
  </si>
  <si>
    <t>SO2514225</t>
  </si>
  <si>
    <t>00023365</t>
  </si>
  <si>
    <t>4003765649</t>
  </si>
  <si>
    <t>4003773251</t>
  </si>
  <si>
    <t>573137</t>
  </si>
  <si>
    <t>CFI FOODS LTD</t>
  </si>
  <si>
    <t>964065</t>
  </si>
  <si>
    <t>3283863</t>
  </si>
  <si>
    <t>6689252</t>
  </si>
  <si>
    <t>6687835</t>
  </si>
  <si>
    <t>6687836</t>
  </si>
  <si>
    <t>6688409</t>
  </si>
  <si>
    <t>6691251</t>
  </si>
  <si>
    <t>6691252</t>
  </si>
  <si>
    <t>6688318</t>
  </si>
  <si>
    <t>5647503</t>
  </si>
  <si>
    <t>5647791</t>
  </si>
  <si>
    <t>5647952</t>
  </si>
  <si>
    <t>5648240</t>
  </si>
  <si>
    <t>5648356</t>
  </si>
  <si>
    <t>8248666</t>
  </si>
  <si>
    <t>8249585</t>
  </si>
  <si>
    <t>8250038</t>
  </si>
  <si>
    <t>8250087</t>
  </si>
  <si>
    <t>5646370</t>
  </si>
  <si>
    <t>5647261</t>
  </si>
  <si>
    <t>5645759</t>
  </si>
  <si>
    <t>5646250</t>
  </si>
  <si>
    <t>5647200</t>
  </si>
  <si>
    <t>5647950</t>
  </si>
  <si>
    <t>5647951</t>
  </si>
  <si>
    <t>5648089</t>
  </si>
  <si>
    <t>5648678</t>
  </si>
  <si>
    <t>5648962</t>
  </si>
  <si>
    <t>5648978</t>
  </si>
  <si>
    <t>5649068</t>
  </si>
  <si>
    <t>5649184</t>
  </si>
  <si>
    <t>5647503A</t>
  </si>
  <si>
    <t>53224643003</t>
  </si>
  <si>
    <t>126728</t>
  </si>
  <si>
    <t>0117562</t>
  </si>
  <si>
    <t>226650719094</t>
  </si>
  <si>
    <t>226650719095</t>
  </si>
  <si>
    <t>2882619002</t>
  </si>
  <si>
    <t>2882619001</t>
  </si>
  <si>
    <t>2882619003</t>
  </si>
  <si>
    <t>2882619004</t>
  </si>
  <si>
    <t>BM#8533044, BOL REF #4858273,4858276,4858275,4858274, BM#8533091, BOL REF#4858284,4858283</t>
  </si>
  <si>
    <t>82849874</t>
  </si>
  <si>
    <t>82849875</t>
  </si>
  <si>
    <t>95463140</t>
  </si>
  <si>
    <t>BM#8424672, BOL REF #4826301</t>
  </si>
  <si>
    <t>126800</t>
  </si>
  <si>
    <t>6018</t>
  </si>
  <si>
    <t>STR TRSF - LLOYMINSTER C &amp; C</t>
  </si>
  <si>
    <t>test</t>
  </si>
  <si>
    <t>points</t>
  </si>
  <si>
    <t>trays</t>
  </si>
  <si>
    <t>SO186688</t>
  </si>
  <si>
    <t>4003799869</t>
  </si>
  <si>
    <t>4003799870</t>
  </si>
  <si>
    <t>965136</t>
  </si>
  <si>
    <t>965063</t>
  </si>
  <si>
    <t>3284739</t>
  </si>
  <si>
    <t>3285602</t>
  </si>
  <si>
    <t>3285581</t>
  </si>
  <si>
    <t>5648748</t>
  </si>
  <si>
    <t>5651283</t>
  </si>
  <si>
    <t>5651284</t>
  </si>
  <si>
    <t>MEAT SUPPLIES - FOAM TRAYS</t>
  </si>
  <si>
    <t>5651372</t>
  </si>
  <si>
    <t>5651617</t>
  </si>
  <si>
    <t>5651803</t>
  </si>
  <si>
    <t>5651811</t>
  </si>
  <si>
    <t>5652137</t>
  </si>
  <si>
    <t>5652139</t>
  </si>
  <si>
    <t>5652141</t>
  </si>
  <si>
    <t>5652142</t>
  </si>
  <si>
    <t>8251323</t>
  </si>
  <si>
    <t>8251759</t>
  </si>
  <si>
    <t>8251887</t>
  </si>
  <si>
    <t>8251908</t>
  </si>
  <si>
    <t>6697433</t>
  </si>
  <si>
    <t>5650082</t>
  </si>
  <si>
    <t>5648677</t>
  </si>
  <si>
    <t>5649082</t>
  </si>
  <si>
    <t>5650191</t>
  </si>
  <si>
    <t>5650718</t>
  </si>
  <si>
    <t>5651024</t>
  </si>
  <si>
    <t>5651025</t>
  </si>
  <si>
    <t>5651026</t>
  </si>
  <si>
    <t>5651027</t>
  </si>
  <si>
    <t>5651548</t>
  </si>
  <si>
    <t>5651832</t>
  </si>
  <si>
    <t>5651833</t>
  </si>
  <si>
    <t>5651952</t>
  </si>
  <si>
    <t>5652050</t>
  </si>
  <si>
    <t>5652051</t>
  </si>
  <si>
    <t>5647665</t>
  </si>
  <si>
    <t>5652283</t>
  </si>
  <si>
    <t>5652376</t>
  </si>
  <si>
    <t>5652529</t>
  </si>
  <si>
    <t>5652530</t>
  </si>
  <si>
    <t>6692868</t>
  </si>
  <si>
    <t>6693625</t>
  </si>
  <si>
    <t>6694535</t>
  </si>
  <si>
    <t>6695360</t>
  </si>
  <si>
    <t>6694333</t>
  </si>
  <si>
    <t>BM#8542794, BOL REF#4866681,4866679,4866680,4866682,4866678,</t>
  </si>
  <si>
    <t>4000259074</t>
  </si>
  <si>
    <t>3281619401</t>
  </si>
  <si>
    <t>54468907</t>
  </si>
  <si>
    <t>82849885</t>
  </si>
  <si>
    <t>226650719417</t>
  </si>
  <si>
    <t>226650719418</t>
  </si>
  <si>
    <t>53268109003</t>
  </si>
  <si>
    <t>INV26-04868</t>
  </si>
  <si>
    <t>126824</t>
  </si>
  <si>
    <t>4003807742</t>
  </si>
  <si>
    <t>5653634</t>
  </si>
  <si>
    <t>5653683</t>
  </si>
  <si>
    <t>5653712</t>
  </si>
  <si>
    <t>8252831</t>
  </si>
  <si>
    <t>8252914</t>
  </si>
  <si>
    <t>5653216</t>
  </si>
  <si>
    <t>5653394</t>
  </si>
  <si>
    <t>5653453</t>
  </si>
  <si>
    <t>5653506</t>
  </si>
  <si>
    <t>5653711</t>
  </si>
  <si>
    <t>5652674</t>
  </si>
  <si>
    <t>5654123</t>
  </si>
  <si>
    <t>5654308</t>
  </si>
  <si>
    <t>6699576</t>
  </si>
  <si>
    <t>6701953</t>
  </si>
  <si>
    <t>6701954</t>
  </si>
  <si>
    <t>6701955</t>
  </si>
  <si>
    <t>6703548</t>
  </si>
  <si>
    <t>119525</t>
  </si>
  <si>
    <t>7726195003</t>
  </si>
  <si>
    <t>7726195004</t>
  </si>
  <si>
    <t>7726195005</t>
  </si>
  <si>
    <t>7726195006</t>
  </si>
  <si>
    <t>96287176</t>
  </si>
  <si>
    <t>77684243</t>
  </si>
  <si>
    <t>BM#8549150, BOL REF#4867925,4867923,4867924,4867926,4867922</t>
  </si>
  <si>
    <t>9599934</t>
  </si>
  <si>
    <t>DAMAGED - SPARKS EGGS, DARIFARM CHEESE</t>
  </si>
  <si>
    <t>9599932</t>
  </si>
  <si>
    <t>SHORTAGE - OIKOS HI PRO, OVERAGE - OIKOS 2 % PLAIN</t>
  </si>
  <si>
    <t>9599930</t>
  </si>
  <si>
    <t>OVERAGE - INT DEL FV, SHORTAGE - INT DEL CARM</t>
  </si>
  <si>
    <t>9599926</t>
  </si>
  <si>
    <t>DAMAGED - CENT 18PK EGGS, EO ALMOND</t>
  </si>
  <si>
    <t>9599929</t>
  </si>
  <si>
    <t>SHORTAGE - OLYMPIC PLAIN, OVERAGE - LIBERTE</t>
  </si>
  <si>
    <t>9501795</t>
  </si>
  <si>
    <t>SHORTED - IOGO MULTI</t>
  </si>
  <si>
    <t>9501794</t>
  </si>
  <si>
    <t>SHORTED - CG STRW YOG, OVERAGE - IOGO MULTI</t>
  </si>
  <si>
    <t>9501793</t>
  </si>
  <si>
    <t>SHORTED - ACTIVIA FIBRE</t>
  </si>
  <si>
    <t>9502057</t>
  </si>
  <si>
    <t>POOR QUALITY - ROMAINE LETTUCE</t>
  </si>
  <si>
    <t>9502056</t>
  </si>
  <si>
    <t>POOR QUALITY - HEAD LETTUCE</t>
  </si>
  <si>
    <t>9501688</t>
  </si>
  <si>
    <t>POOR QUALITY - ESCAROLE LETTUCE, LEMONS</t>
  </si>
  <si>
    <t>9598475</t>
  </si>
  <si>
    <t>PRODUCT RECALL - ROGERS SYRUP</t>
  </si>
  <si>
    <t>9599820</t>
  </si>
  <si>
    <t>POOR QUALITY - SILICONE PARCHMENT ROLL</t>
  </si>
  <si>
    <t>9595551</t>
  </si>
  <si>
    <t>SHORTED - ACTIVIA BLUE FRUIT</t>
  </si>
  <si>
    <t>9597120</t>
  </si>
  <si>
    <t>SHORTED - HRD BOIL EGG, KRAFT CHEESE CHDR/MOZZA, DAMAGED - KRAFT CHEESE CHDR/MOZZA SHRED</t>
  </si>
  <si>
    <t>6037</t>
  </si>
  <si>
    <t>STORE TRANSFER - HIGH LEVEL</t>
  </si>
  <si>
    <t>CLAIM #9599930</t>
  </si>
  <si>
    <t>900018499</t>
  </si>
  <si>
    <t>900018500</t>
  </si>
  <si>
    <t>4003825419</t>
  </si>
  <si>
    <t>4003825420</t>
  </si>
  <si>
    <t>4003825422</t>
  </si>
  <si>
    <t>3286349</t>
  </si>
  <si>
    <t>3286350</t>
  </si>
  <si>
    <t>773686</t>
  </si>
  <si>
    <t>SO186928</t>
  </si>
  <si>
    <t>5655533</t>
  </si>
  <si>
    <t>5655652</t>
  </si>
  <si>
    <t>5656206</t>
  </si>
  <si>
    <t>5656304</t>
  </si>
  <si>
    <t>5656366</t>
  </si>
  <si>
    <t>5656371</t>
  </si>
  <si>
    <t>5656372</t>
  </si>
  <si>
    <t>8254324</t>
  </si>
  <si>
    <t>8254482</t>
  </si>
  <si>
    <t>5655672</t>
  </si>
  <si>
    <t>5654413</t>
  </si>
  <si>
    <t>5654637</t>
  </si>
  <si>
    <t>5654638</t>
  </si>
  <si>
    <t>5655536</t>
  </si>
  <si>
    <t>5655673</t>
  </si>
  <si>
    <t>5656607</t>
  </si>
  <si>
    <t>5656881</t>
  </si>
  <si>
    <t>5656882</t>
  </si>
  <si>
    <t>6704569</t>
  </si>
  <si>
    <t>6705898</t>
  </si>
  <si>
    <t>6707506</t>
  </si>
  <si>
    <t>6707507</t>
  </si>
  <si>
    <t>53335286002</t>
  </si>
  <si>
    <t>126913</t>
  </si>
  <si>
    <t>2882619701</t>
  </si>
  <si>
    <t>2882619702</t>
  </si>
  <si>
    <t>2882619703</t>
  </si>
  <si>
    <t>2882619705</t>
  </si>
  <si>
    <t>95884740</t>
  </si>
  <si>
    <t>6702175</t>
  </si>
  <si>
    <t>BM#8557138, BOL REF#4869441,4869439,4869440,4869442,4869438</t>
  </si>
  <si>
    <t>2034298480</t>
  </si>
  <si>
    <t>226650719886</t>
  </si>
  <si>
    <t>CANADA  BREAD COMPANY</t>
  </si>
  <si>
    <t>226650719887</t>
  </si>
  <si>
    <t>96680315</t>
  </si>
  <si>
    <t>82849908</t>
  </si>
  <si>
    <t>82849909</t>
  </si>
  <si>
    <t>2373</t>
  </si>
  <si>
    <t>MARINE LINES</t>
  </si>
  <si>
    <t>50% CREDIT - KAMLOOPS INVOICES</t>
  </si>
  <si>
    <t>WRITE OFF BOOK</t>
  </si>
  <si>
    <t>9502861</t>
  </si>
  <si>
    <t>PRICING ERROR - OIKOS, OUTDATED - OIKOS</t>
  </si>
  <si>
    <t>9502860</t>
  </si>
  <si>
    <t>SHORT SHIPPED - EGGS LRG LOOSE</t>
  </si>
  <si>
    <t>9502855</t>
  </si>
  <si>
    <t>PRICING ERROR, CO-OP GOLD LRG, OUTDATED - CG LRG</t>
  </si>
  <si>
    <t>9502859</t>
  </si>
  <si>
    <t>MISC - OLYMPIC YOGURT</t>
  </si>
  <si>
    <t>9590246</t>
  </si>
  <si>
    <t>POOR QUALITY - HH TOMATOES, WHITE ONION</t>
  </si>
  <si>
    <t>9594577</t>
  </si>
  <si>
    <t>OUTDATED - YOPLAIT YOP, CG COTTAGE CHSE</t>
  </si>
  <si>
    <t>9502118</t>
  </si>
  <si>
    <t>RESTOCKING/CLAIM DIRECT PLUS</t>
  </si>
  <si>
    <t>9502149</t>
  </si>
  <si>
    <t>9502151</t>
  </si>
  <si>
    <t>UNILEVER BBQ BOOKING CREDIT</t>
  </si>
  <si>
    <t>McCORMICK BBQ BOOKING CR</t>
  </si>
  <si>
    <t>KRAFT BBQ CREDIT</t>
  </si>
  <si>
    <t>6094</t>
  </si>
  <si>
    <t>CORRECT STORE TRSF OVERCHARGE TO HIGH PRAIRIE</t>
  </si>
  <si>
    <t>6700286</t>
  </si>
  <si>
    <t>KAMLOOPS FREIGHT 50%</t>
  </si>
  <si>
    <t>BM#7979075, BOL REF#4606737</t>
  </si>
  <si>
    <t>FREIGHT ADJUSTMENT</t>
  </si>
  <si>
    <t>PERIOD ENDING</t>
  </si>
  <si>
    <t>Period 5</t>
  </si>
  <si>
    <t>Week Ending</t>
  </si>
  <si>
    <t>Week 1</t>
  </si>
  <si>
    <t>Week 2</t>
  </si>
  <si>
    <t>Week 3</t>
  </si>
  <si>
    <t>Week 4</t>
  </si>
  <si>
    <t>Week 5</t>
  </si>
  <si>
    <t>1</t>
  </si>
  <si>
    <t>GROCERY</t>
  </si>
  <si>
    <t>Budget</t>
  </si>
  <si>
    <t>weekly</t>
  </si>
  <si>
    <t>2</t>
  </si>
  <si>
    <t>FS PAPER</t>
  </si>
  <si>
    <t>Dry Grocery</t>
  </si>
  <si>
    <t>3</t>
  </si>
  <si>
    <t>HBA</t>
  </si>
  <si>
    <t>HBC</t>
  </si>
  <si>
    <t>5</t>
  </si>
  <si>
    <t>DAIRY</t>
  </si>
  <si>
    <t>6</t>
  </si>
  <si>
    <t>MEAT</t>
  </si>
  <si>
    <t>Non-Foods</t>
  </si>
  <si>
    <t>7</t>
  </si>
  <si>
    <t>NON FOODS 1</t>
  </si>
  <si>
    <t>Confection</t>
  </si>
  <si>
    <t>8</t>
  </si>
  <si>
    <t>NON FOODS 2</t>
  </si>
  <si>
    <t>Bakery-Grocery</t>
  </si>
  <si>
    <t>13</t>
  </si>
  <si>
    <t>POP&amp;CHIPS</t>
  </si>
  <si>
    <t>Frozen Food</t>
  </si>
  <si>
    <t>CONFECTIONERY</t>
  </si>
  <si>
    <t>15</t>
  </si>
  <si>
    <t>TOBACCO</t>
  </si>
  <si>
    <t>Tobacco</t>
  </si>
  <si>
    <t>16</t>
  </si>
  <si>
    <t>CIGARETTES</t>
  </si>
  <si>
    <t>COMM BAKERY</t>
  </si>
  <si>
    <t>DELI</t>
  </si>
  <si>
    <t>FROZEN</t>
  </si>
  <si>
    <t>Centre store</t>
  </si>
  <si>
    <t>BAKERY</t>
  </si>
  <si>
    <t>PRODUCE</t>
  </si>
  <si>
    <t>PRODUCE SELLOFF</t>
  </si>
  <si>
    <t>Ex tobacco</t>
  </si>
  <si>
    <t>FRZ SEAFOOD</t>
  </si>
  <si>
    <t>FROZ MEAT</t>
  </si>
  <si>
    <t>41</t>
  </si>
  <si>
    <t>BLACKHAWK</t>
  </si>
  <si>
    <t>avg $/h</t>
  </si>
  <si>
    <t>FRZ SEAFOOD Meat</t>
  </si>
  <si>
    <t>COOLER CTCH WT</t>
  </si>
  <si>
    <t>FRENCH FRIES</t>
  </si>
  <si>
    <t>Hours</t>
  </si>
  <si>
    <t>FS MILK</t>
  </si>
  <si>
    <t>BOOKS</t>
  </si>
  <si>
    <t>MAGAZINES</t>
  </si>
  <si>
    <t>DEPOSIT</t>
  </si>
  <si>
    <t>Admin</t>
  </si>
  <si>
    <t>ENVIRO FEE</t>
  </si>
  <si>
    <t>HANDLING FEE</t>
  </si>
  <si>
    <t>CUSTOMERS</t>
  </si>
  <si>
    <t>Fruits and Veg</t>
  </si>
  <si>
    <t>Produce dept</t>
  </si>
  <si>
    <t>FRZ CATCH WEIGHT</t>
  </si>
  <si>
    <t>Handling Fee</t>
  </si>
  <si>
    <t>DRY GROCERY</t>
  </si>
  <si>
    <t>PAPER</t>
  </si>
  <si>
    <t>NON FOODS</t>
  </si>
  <si>
    <t>POP</t>
  </si>
  <si>
    <t>FRIES</t>
  </si>
  <si>
    <t>TOTAL FROZEN</t>
  </si>
  <si>
    <t>MILK</t>
  </si>
  <si>
    <t>TOTAL DAIRY</t>
  </si>
  <si>
    <t>TOTAL GROCERY</t>
  </si>
  <si>
    <t>FRESH MEAT</t>
  </si>
  <si>
    <t>FROZEN MEAT</t>
  </si>
  <si>
    <t>TOTAL MEAT</t>
  </si>
  <si>
    <t>SELL OFF</t>
  </si>
  <si>
    <t>TOTAL PRODUCE</t>
  </si>
  <si>
    <t>GIFT CARDS</t>
  </si>
  <si>
    <t>TOTAL STORE</t>
  </si>
  <si>
    <t>Hours Last Year</t>
  </si>
  <si>
    <t xml:space="preserve">Grocery  </t>
  </si>
  <si>
    <t>Service</t>
  </si>
  <si>
    <t>Union</t>
  </si>
  <si>
    <t>Hours This Year</t>
  </si>
  <si>
    <t>Total hrs +/- weekly</t>
  </si>
  <si>
    <t>Period total</t>
  </si>
  <si>
    <t>LY</t>
  </si>
  <si>
    <t>TY</t>
  </si>
  <si>
    <t xml:space="preserve"> +/- hrs</t>
  </si>
  <si>
    <t>Period Union Total</t>
  </si>
  <si>
    <t>Vicki admin leave /payout</t>
  </si>
  <si>
    <t>paid leave mani</t>
  </si>
  <si>
    <t xml:space="preserve">tracy vac payout </t>
  </si>
  <si>
    <t xml:space="preserve">Bereavement </t>
  </si>
  <si>
    <t>weekly total</t>
  </si>
  <si>
    <t>period total</t>
  </si>
  <si>
    <t>ytd total</t>
  </si>
  <si>
    <t>Period 9</t>
  </si>
  <si>
    <t>Sales</t>
  </si>
  <si>
    <t>Total Sales</t>
  </si>
  <si>
    <t>Inventory should be</t>
  </si>
  <si>
    <t>Target % (Budget)</t>
  </si>
  <si>
    <t>Current</t>
  </si>
  <si>
    <t>Last</t>
  </si>
  <si>
    <t>Difference (Current - Last)</t>
  </si>
  <si>
    <t>Opening Inventory</t>
  </si>
  <si>
    <t>Add Total Purchases</t>
  </si>
  <si>
    <t>Total Goods Available For Sale</t>
  </si>
  <si>
    <t>Closing Inventory</t>
  </si>
  <si>
    <t>Cost of Goods Sold</t>
  </si>
  <si>
    <t>Gross Profit</t>
  </si>
  <si>
    <t>Gross Margin %</t>
  </si>
  <si>
    <t>SMS Margin %</t>
  </si>
  <si>
    <t>SMS GP $</t>
  </si>
  <si>
    <t>Difference GP$ (Actual - SMS)</t>
  </si>
  <si>
    <t>Difference % (Actual - SMS)</t>
  </si>
  <si>
    <t>Shrink Adjusted Margin % (Theoretical)</t>
  </si>
  <si>
    <t>Shrink Adjusted GP $</t>
  </si>
  <si>
    <t>Variance GP$ (Actual - Theoretical)</t>
  </si>
  <si>
    <t>Variance % (Actual - Theoretical)</t>
  </si>
  <si>
    <t>Variance explanation</t>
  </si>
  <si>
    <t>Shrink $</t>
  </si>
  <si>
    <t>Shrink %</t>
  </si>
  <si>
    <t xml:space="preserve"> Dept 6</t>
  </si>
  <si>
    <t>Dept 19</t>
  </si>
  <si>
    <t xml:space="preserve"> Dept 29</t>
  </si>
  <si>
    <t xml:space="preserve"> Dept 43</t>
  </si>
  <si>
    <t>Dept 45</t>
  </si>
  <si>
    <t>Sales before count</t>
  </si>
  <si>
    <t>time:</t>
  </si>
  <si>
    <t>Meat 1</t>
  </si>
  <si>
    <t>Sales after count</t>
  </si>
  <si>
    <t>Meat 2</t>
  </si>
  <si>
    <t>Total sales Saturday</t>
  </si>
  <si>
    <t>Meat 3</t>
  </si>
  <si>
    <t>sales during count</t>
  </si>
  <si>
    <t>Meat 4</t>
  </si>
  <si>
    <t>Sales During count divide by2</t>
  </si>
  <si>
    <t>Meat 5</t>
  </si>
  <si>
    <t>Sales After Count</t>
  </si>
  <si>
    <t>Meat 6</t>
  </si>
  <si>
    <t>Sales to be Adjusted</t>
  </si>
  <si>
    <t>Meat 7</t>
  </si>
  <si>
    <t>Target %</t>
  </si>
  <si>
    <t>Margin 20%</t>
  </si>
  <si>
    <t>Total counted at cost</t>
  </si>
  <si>
    <t>Random Count 1</t>
  </si>
  <si>
    <t>Random Count 2</t>
  </si>
  <si>
    <t>Total Random Weights at retail</t>
  </si>
  <si>
    <t>Adjustment -20%</t>
  </si>
  <si>
    <t>Inventory Adjustment from sales</t>
  </si>
  <si>
    <t>Total inventory at end of day</t>
  </si>
  <si>
    <t xml:space="preserve">Produce </t>
  </si>
  <si>
    <t>Dept 22</t>
  </si>
  <si>
    <t>Dept 23</t>
  </si>
  <si>
    <t>count 1</t>
  </si>
  <si>
    <t>count 2</t>
  </si>
  <si>
    <t>count 3</t>
  </si>
  <si>
    <t>count 4</t>
  </si>
  <si>
    <t>sales adjusted</t>
  </si>
  <si>
    <t>Inventory Adjustment</t>
  </si>
  <si>
    <t>Periods 7-9</t>
  </si>
  <si>
    <t>Period Ending</t>
  </si>
  <si>
    <t>7. May 23, 2026</t>
  </si>
  <si>
    <t>8. June 20, 2026</t>
  </si>
  <si>
    <t>9. July 18, 2026</t>
  </si>
  <si>
    <t>Purchases Period 7</t>
  </si>
  <si>
    <t>Purchases Period 8</t>
  </si>
  <si>
    <t>Purchases Period 9</t>
  </si>
  <si>
    <t>Centre Store</t>
  </si>
  <si>
    <t>Total Grocery</t>
  </si>
  <si>
    <t>At Cost</t>
  </si>
  <si>
    <t>Summary</t>
  </si>
  <si>
    <t>WIS</t>
  </si>
  <si>
    <t>Date</t>
  </si>
  <si>
    <t>Shrink</t>
  </si>
  <si>
    <t>Freezer</t>
  </si>
  <si>
    <t>L</t>
  </si>
  <si>
    <t>Weekly Subtotal</t>
  </si>
  <si>
    <t>REBATES</t>
  </si>
  <si>
    <t>Totals</t>
  </si>
  <si>
    <t>Supplies</t>
  </si>
  <si>
    <t xml:space="preserve">Dairy Supplies </t>
  </si>
  <si>
    <t xml:space="preserve">Sunday </t>
  </si>
  <si>
    <t xml:space="preserve">Monday </t>
  </si>
  <si>
    <t>Tuesday</t>
  </si>
  <si>
    <t>Wednesday</t>
  </si>
  <si>
    <t>Thursday</t>
  </si>
  <si>
    <t>Friday</t>
  </si>
  <si>
    <t>Saturday</t>
  </si>
  <si>
    <t>Sunday</t>
  </si>
  <si>
    <t>Monday</t>
  </si>
  <si>
    <t>Invoice #</t>
  </si>
  <si>
    <t>Recounts</t>
  </si>
  <si>
    <t>location</t>
  </si>
  <si>
    <t>1st</t>
  </si>
  <si>
    <t>2nd</t>
  </si>
  <si>
    <t>3rd</t>
  </si>
  <si>
    <t>Period</t>
  </si>
  <si>
    <t>Weeks</t>
  </si>
  <si>
    <t>Dept</t>
  </si>
  <si>
    <t>Nov</t>
  </si>
  <si>
    <t>Dec</t>
  </si>
  <si>
    <t>Jan</t>
  </si>
  <si>
    <t>Q1</t>
  </si>
  <si>
    <t>Feb</t>
  </si>
  <si>
    <t>Mar</t>
  </si>
  <si>
    <t>Apr</t>
  </si>
  <si>
    <t>Q2</t>
  </si>
  <si>
    <t>May</t>
  </si>
  <si>
    <t>Jun</t>
  </si>
  <si>
    <t>Jul</t>
  </si>
  <si>
    <t>Q3</t>
  </si>
  <si>
    <t>Aug</t>
  </si>
  <si>
    <t>Sep</t>
  </si>
  <si>
    <t>Oct</t>
  </si>
  <si>
    <t>Q4</t>
  </si>
  <si>
    <t>YTD</t>
  </si>
  <si>
    <t>SMS</t>
  </si>
  <si>
    <t>Dairy SMS</t>
  </si>
  <si>
    <t>Total store</t>
  </si>
  <si>
    <t>8am</t>
  </si>
  <si>
    <t>12pm</t>
  </si>
  <si>
    <t>Don't enter until they are processed, just keep available for explanation</t>
  </si>
  <si>
    <t>9529808</t>
  </si>
  <si>
    <t>TGP MARKETING</t>
  </si>
  <si>
    <t>Meat collected in P8</t>
  </si>
  <si>
    <t>9529813</t>
  </si>
  <si>
    <t>AD 58 REBATE</t>
  </si>
  <si>
    <t>9369983</t>
  </si>
  <si>
    <t>CREDIT PROMOTIONS FRESH RIDE WINNERS</t>
  </si>
  <si>
    <t>$250 CREDIT TO PROMOTIONS AND REST TO GROCERY</t>
  </si>
  <si>
    <t>9554054</t>
  </si>
  <si>
    <t>AD 25 REBATE</t>
  </si>
  <si>
    <t>9559485</t>
  </si>
  <si>
    <t>FRITO LAY PERIMETER 1/2 HALF 2026</t>
  </si>
  <si>
    <t>9579772</t>
  </si>
  <si>
    <t>AD 26 REBATE</t>
  </si>
  <si>
    <t>JUNE MILK REBATE</t>
  </si>
  <si>
    <t>9579837</t>
  </si>
  <si>
    <t>9605178</t>
  </si>
  <si>
    <t>AD 27 REBATE</t>
  </si>
  <si>
    <t>74403</t>
  </si>
  <si>
    <t>SELF INSURANCE</t>
  </si>
  <si>
    <t>LOSS FROM ROOF LEAK DOC 74403</t>
  </si>
  <si>
    <t>74402</t>
  </si>
  <si>
    <t>LOSS FROM ROOF LEAK DOC 74402</t>
  </si>
  <si>
    <t>LOSS FROM ROOF LEAK DOC 74461</t>
  </si>
  <si>
    <t>74461</t>
  </si>
  <si>
    <t>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</si>
</sst>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0.0%"/>
    <numFmt numFmtId="168" formatCode="[$-409]mmmm\ d\,\ yyyy;@"/>
    <numFmt numFmtId="169" formatCode="[$-409]d\-mmm\-yy;@"/>
    <numFmt numFmtId="170" formatCode="000,000.00"/>
    <numFmt numFmtId="171" formatCode="00,000.00"/>
    <numFmt numFmtId="172" formatCode="0,000.00"/>
    <numFmt numFmtId="173" formatCode="mmmm\ d\,\ yyyy"/>
    <numFmt numFmtId="174" formatCode="0.000%"/>
    <numFmt numFmtId="175" formatCode="00,000"/>
    <numFmt numFmtId="176" formatCode="00.00"/>
    <numFmt numFmtId="177" formatCode="0,000"/>
    <numFmt numFmtId="178" formatCode="000,000"/>
    <numFmt numFmtId="179" formatCode="000,000,000.00"/>
    <numFmt numFmtId="180" formatCode="0000000.00"/>
    <numFmt numFmtId="181" formatCode="000.00"/>
    <numFmt numFmtId="182" formatCode="00000.00"/>
    <numFmt numFmtId="183" formatCode="0,000,000.00"/>
    <numFmt numFmtId="184" formatCode="00.0"/>
    <numFmt numFmtId="185" formatCode="0000.00"/>
    <numFmt numFmtId="186" formatCode="0.000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18"/>
      <name val="Arial"/>
      <family val="2"/>
    </font>
    <font>
      <b/>
      <i/>
      <sz val="14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8"/>
      <name val="Arial"/>
      <family val="2"/>
    </font>
    <font>
      <b/>
      <i/>
      <sz val="16"/>
      <name val="Arial"/>
      <family val="2"/>
    </font>
    <font>
      <sz val="8"/>
      <name val="Calibri"/>
      <family val="2"/>
      <scheme val="minor"/>
    </font>
    <font>
      <sz val="20"/>
      <name val="Arial"/>
      <family val="2"/>
    </font>
    <font>
      <b/>
      <sz val="24"/>
      <name val="Calibri"/>
      <family val="2"/>
      <scheme val="minor"/>
    </font>
    <font>
      <sz val="24"/>
      <color theme="4"/>
      <name val="Arial"/>
      <family val="2"/>
    </font>
    <font>
      <b/>
      <i/>
      <sz val="18"/>
      <name val="Arial"/>
      <family val="2"/>
    </font>
    <font>
      <b/>
      <i/>
      <sz val="20"/>
      <name val="Arial"/>
      <family val="2"/>
    </font>
    <font>
      <b/>
      <i/>
      <sz val="12"/>
      <name val="Arial"/>
      <family val="2"/>
    </font>
    <font>
      <sz val="10"/>
      <color indexed="12"/>
      <name val="Arial"/>
      <family val="2"/>
    </font>
    <font>
      <b/>
      <sz val="14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24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1"/>
      <color rgb="FF000000"/>
      <name val="Calibri"/>
      <family val="2"/>
    </font>
    <font>
      <u/>
      <sz val="20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rgb="FF000000"/>
      <name val="Arial"/>
      <family val="2"/>
    </font>
    <font>
      <b/>
      <u/>
      <sz val="16"/>
      <name val="Calibri"/>
      <family val="2"/>
      <scheme val="minor"/>
    </font>
    <font>
      <sz val="11"/>
      <color rgb="FF000000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b/>
      <sz val="12"/>
      <color theme="1"/>
      <name val="Arial"/>
      <family val="2"/>
    </font>
    <font>
      <b/>
      <u/>
      <sz val="14"/>
      <name val="Arial"/>
      <family val="2"/>
    </font>
    <font>
      <u/>
      <sz val="14"/>
      <name val="Arial"/>
      <family val="2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1">
    <xf numFmtId="0" fontId="0" fillId="0" borderId="0"/>
    <xf numFmtId="44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22" fillId="0" borderId="0"/>
    <xf numFmtId="9" fontId="1" fillId="0" borderId="0" applyFont="0" applyFill="0" applyBorder="0" applyAlignment="0" applyProtection="0"/>
    <xf numFmtId="49" fontId="20" fillId="0" borderId="0"/>
    <xf numFmtId="0" fontId="36" fillId="0" borderId="0"/>
    <xf numFmtId="0" fontId="37" fillId="0" borderId="0" applyNumberFormat="0" applyFill="0" applyBorder="0" applyAlignment="0" applyProtection="0"/>
    <xf numFmtId="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/>
    <xf numFmtId="0" fontId="38" fillId="0" borderId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2" fillId="0" borderId="0">
      <alignment vertical="top"/>
    </xf>
    <xf numFmtId="43" fontId="20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2" fillId="0" borderId="0"/>
    <xf numFmtId="0" fontId="1" fillId="0" borderId="0"/>
    <xf numFmtId="0" fontId="22" fillId="0" borderId="0"/>
    <xf numFmtId="44" fontId="1" fillId="0" borderId="0" applyFont="0" applyFill="0" applyBorder="0" applyAlignment="0" applyProtection="0"/>
    <xf numFmtId="0" fontId="40" fillId="0" borderId="0"/>
    <xf numFmtId="0" fontId="39" fillId="0" borderId="0"/>
    <xf numFmtId="44" fontId="1" fillId="0" borderId="0" applyFont="0" applyFill="0" applyBorder="0" applyAlignment="0" applyProtection="0"/>
    <xf numFmtId="0" fontId="1" fillId="0" borderId="0"/>
    <xf numFmtId="0" fontId="20" fillId="0" borderId="0"/>
    <xf numFmtId="0" fontId="20" fillId="0" borderId="0"/>
    <xf numFmtId="44" fontId="20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20" fillId="0" borderId="0"/>
    <xf numFmtId="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20" fillId="0" borderId="0"/>
    <xf numFmtId="0" fontId="1" fillId="0" borderId="0"/>
    <xf numFmtId="44" fontId="1" fillId="0" borderId="0" applyFont="0" applyFill="0" applyBorder="0" applyAlignment="0" applyProtection="0"/>
    <xf numFmtId="0" fontId="22" fillId="0" borderId="0"/>
    <xf numFmtId="44" fontId="1" fillId="0" borderId="0" applyFont="0" applyFill="0" applyBorder="0" applyAlignment="0" applyProtection="0"/>
    <xf numFmtId="0" fontId="40" fillId="0" borderId="0"/>
    <xf numFmtId="9" fontId="20" fillId="0" borderId="0" applyFont="0" applyFill="0" applyBorder="0" applyAlignment="0" applyProtection="0"/>
    <xf numFmtId="0" fontId="2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2" fontId="42" fillId="8" borderId="26">
      <alignment horizontal="right"/>
    </xf>
    <xf numFmtId="0" fontId="1" fillId="0" borderId="0"/>
    <xf numFmtId="49" fontId="20" fillId="0" borderId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57" fillId="0" borderId="0"/>
  </cellStyleXfs>
  <cellXfs count="497">
    <xf numFmtId="0" fontId="0" fillId="0" borderId="0" xfId="0"/>
    <xf numFmtId="49" fontId="9" fillId="0" borderId="1" xfId="0" applyNumberFormat="1" applyFont="1" applyBorder="1" applyProtection="1">
      <protection locked="0"/>
    </xf>
    <xf numFmtId="44" fontId="3" fillId="3" borderId="1" xfId="0" applyNumberFormat="1" applyFont="1" applyFill="1" applyBorder="1" applyProtection="1">
      <protection locked="0"/>
    </xf>
    <xf numFmtId="0" fontId="8" fillId="0" borderId="0" xfId="0" applyFont="1" applyAlignment="1" applyProtection="1">
      <alignment horizontal="right" vertical="center"/>
      <protection hidden="1"/>
    </xf>
    <xf numFmtId="0" fontId="0" fillId="0" borderId="0" xfId="0" applyProtection="1">
      <protection hidden="1"/>
    </xf>
    <xf numFmtId="0" fontId="8" fillId="0" borderId="0" xfId="0" applyFont="1" applyAlignment="1" applyProtection="1">
      <alignment horizontal="center" vertical="center"/>
      <protection hidden="1"/>
    </xf>
    <xf numFmtId="49" fontId="10" fillId="0" borderId="1" xfId="0" applyNumberFormat="1" applyFont="1" applyBorder="1" applyAlignment="1" applyProtection="1">
      <alignment horizontal="center" vertical="center" wrapText="1"/>
      <protection hidden="1"/>
    </xf>
    <xf numFmtId="49" fontId="6" fillId="0" borderId="1" xfId="0" applyNumberFormat="1" applyFont="1" applyBorder="1" applyAlignment="1" applyProtection="1">
      <alignment horizontal="center" vertical="center" wrapText="1"/>
      <protection hidden="1"/>
    </xf>
    <xf numFmtId="49" fontId="3" fillId="0" borderId="1" xfId="0" applyNumberFormat="1" applyFont="1" applyBorder="1" applyProtection="1">
      <protection hidden="1"/>
    </xf>
    <xf numFmtId="49" fontId="7" fillId="0" borderId="1" xfId="0" applyNumberFormat="1" applyFont="1" applyBorder="1" applyProtection="1">
      <protection hidden="1"/>
    </xf>
    <xf numFmtId="49" fontId="4" fillId="0" borderId="1" xfId="0" applyNumberFormat="1" applyFont="1" applyBorder="1" applyProtection="1">
      <protection hidden="1"/>
    </xf>
    <xf numFmtId="44" fontId="5" fillId="3" borderId="1" xfId="0" applyNumberFormat="1" applyFont="1" applyFill="1" applyBorder="1" applyProtection="1">
      <protection hidden="1"/>
    </xf>
    <xf numFmtId="0" fontId="2" fillId="0" borderId="0" xfId="0" applyFont="1" applyAlignment="1" applyProtection="1">
      <alignment wrapText="1"/>
      <protection locked="0"/>
    </xf>
    <xf numFmtId="0" fontId="0" fillId="0" borderId="0" xfId="0" applyProtection="1">
      <protection locked="0"/>
    </xf>
    <xf numFmtId="43" fontId="3" fillId="0" borderId="0" xfId="0" applyNumberFormat="1" applyFont="1" applyProtection="1">
      <protection locked="0"/>
    </xf>
    <xf numFmtId="44" fontId="12" fillId="0" borderId="1" xfId="1" applyFont="1" applyBorder="1" applyProtection="1">
      <protection locked="0"/>
    </xf>
    <xf numFmtId="44" fontId="12" fillId="0" borderId="6" xfId="1" applyFont="1" applyBorder="1" applyProtection="1">
      <protection locked="0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/>
      <protection locked="0"/>
    </xf>
    <xf numFmtId="167" fontId="13" fillId="0" borderId="0" xfId="0" applyNumberFormat="1" applyFont="1" applyAlignment="1" applyProtection="1">
      <alignment vertical="center"/>
      <protection hidden="1"/>
    </xf>
    <xf numFmtId="9" fontId="13" fillId="0" borderId="0" xfId="0" applyNumberFormat="1" applyFont="1" applyAlignment="1" applyProtection="1">
      <alignment horizontal="center" vertical="center"/>
      <protection locked="0"/>
    </xf>
    <xf numFmtId="2" fontId="13" fillId="0" borderId="0" xfId="0" applyNumberFormat="1" applyFont="1" applyAlignment="1" applyProtection="1">
      <alignment vertical="center"/>
      <protection hidden="1"/>
    </xf>
    <xf numFmtId="2" fontId="13" fillId="2" borderId="0" xfId="0" applyNumberFormat="1" applyFont="1" applyFill="1" applyAlignment="1" applyProtection="1">
      <alignment horizontal="center" vertical="center"/>
      <protection locked="0"/>
    </xf>
    <xf numFmtId="0" fontId="8" fillId="0" borderId="1" xfId="0" applyFont="1" applyBorder="1" applyProtection="1">
      <protection hidden="1"/>
    </xf>
    <xf numFmtId="49" fontId="16" fillId="0" borderId="1" xfId="0" applyNumberFormat="1" applyFont="1" applyBorder="1" applyAlignment="1" applyProtection="1">
      <alignment horizontal="center" vertical="center" wrapText="1"/>
      <protection hidden="1"/>
    </xf>
    <xf numFmtId="44" fontId="12" fillId="4" borderId="1" xfId="1" applyFont="1" applyFill="1" applyBorder="1" applyProtection="1">
      <protection locked="0"/>
    </xf>
    <xf numFmtId="167" fontId="13" fillId="2" borderId="0" xfId="0" applyNumberFormat="1" applyFont="1" applyFill="1" applyAlignment="1" applyProtection="1">
      <alignment vertical="center"/>
      <protection hidden="1"/>
    </xf>
    <xf numFmtId="49" fontId="17" fillId="0" borderId="1" xfId="0" applyNumberFormat="1" applyFont="1" applyBorder="1" applyAlignment="1" applyProtection="1">
      <alignment horizontal="center" vertical="center" wrapText="1"/>
      <protection hidden="1"/>
    </xf>
    <xf numFmtId="169" fontId="18" fillId="0" borderId="1" xfId="0" applyNumberFormat="1" applyFont="1" applyBorder="1" applyProtection="1">
      <protection hidden="1"/>
    </xf>
    <xf numFmtId="43" fontId="19" fillId="0" borderId="1" xfId="0" applyNumberFormat="1" applyFont="1" applyBorder="1" applyProtection="1">
      <protection hidden="1"/>
    </xf>
    <xf numFmtId="43" fontId="0" fillId="0" borderId="0" xfId="0" applyNumberFormat="1" applyProtection="1">
      <protection hidden="1"/>
    </xf>
    <xf numFmtId="169" fontId="0" fillId="0" borderId="0" xfId="0" applyNumberFormat="1" applyProtection="1">
      <protection hidden="1"/>
    </xf>
    <xf numFmtId="44" fontId="20" fillId="2" borderId="9" xfId="1" applyFont="1" applyFill="1" applyBorder="1" applyAlignment="1" applyProtection="1">
      <alignment horizontal="left" vertical="center"/>
      <protection locked="0" hidden="1"/>
    </xf>
    <xf numFmtId="44" fontId="20" fillId="2" borderId="10" xfId="1" applyFont="1" applyFill="1" applyBorder="1" applyAlignment="1" applyProtection="1">
      <alignment horizontal="left" vertical="center"/>
      <protection locked="0" hidden="1"/>
    </xf>
    <xf numFmtId="44" fontId="20" fillId="2" borderId="1" xfId="1" applyFont="1" applyFill="1" applyBorder="1" applyAlignment="1" applyProtection="1">
      <alignment horizontal="left" vertical="center"/>
      <protection locked="0" hidden="1"/>
    </xf>
    <xf numFmtId="44" fontId="20" fillId="2" borderId="11" xfId="1" applyFont="1" applyFill="1" applyBorder="1" applyAlignment="1" applyProtection="1">
      <alignment horizontal="left" vertical="center"/>
      <protection locked="0" hidden="1"/>
    </xf>
    <xf numFmtId="44" fontId="20" fillId="2" borderId="4" xfId="1" applyFont="1" applyFill="1" applyBorder="1" applyAlignment="1" applyProtection="1">
      <alignment horizontal="left" vertical="center"/>
      <protection locked="0" hidden="1"/>
    </xf>
    <xf numFmtId="44" fontId="20" fillId="2" borderId="5" xfId="1" applyFont="1" applyFill="1" applyBorder="1" applyAlignment="1" applyProtection="1">
      <alignment horizontal="left" vertical="center"/>
      <protection locked="0" hidden="1"/>
    </xf>
    <xf numFmtId="44" fontId="20" fillId="2" borderId="6" xfId="1" applyFont="1" applyFill="1" applyBorder="1" applyAlignment="1" applyProtection="1">
      <alignment horizontal="left" vertical="center"/>
      <protection locked="0" hidden="1"/>
    </xf>
    <xf numFmtId="44" fontId="20" fillId="2" borderId="12" xfId="1" applyFont="1" applyFill="1" applyBorder="1" applyAlignment="1" applyProtection="1">
      <alignment horizontal="left" vertical="center"/>
      <protection locked="0" hidden="1"/>
    </xf>
    <xf numFmtId="44" fontId="0" fillId="0" borderId="0" xfId="0" applyNumberFormat="1" applyProtection="1">
      <protection hidden="1"/>
    </xf>
    <xf numFmtId="44" fontId="20" fillId="2" borderId="13" xfId="1" applyFont="1" applyFill="1" applyBorder="1" applyAlignment="1" applyProtection="1">
      <alignment horizontal="left" vertical="center"/>
      <protection locked="0" hidden="1"/>
    </xf>
    <xf numFmtId="8" fontId="0" fillId="0" borderId="0" xfId="0" applyNumberFormat="1" applyProtection="1">
      <protection hidden="1"/>
    </xf>
    <xf numFmtId="169" fontId="21" fillId="0" borderId="0" xfId="0" applyNumberFormat="1" applyFont="1" applyProtection="1">
      <protection hidden="1"/>
    </xf>
    <xf numFmtId="0" fontId="22" fillId="0" borderId="0" xfId="3" applyAlignment="1" applyProtection="1">
      <alignment horizontal="left" vertical="top"/>
      <protection locked="0"/>
    </xf>
    <xf numFmtId="0" fontId="22" fillId="0" borderId="0" xfId="3"/>
    <xf numFmtId="49" fontId="6" fillId="0" borderId="15" xfId="0" applyNumberFormat="1" applyFont="1" applyBorder="1" applyAlignment="1" applyProtection="1">
      <alignment horizontal="center" vertical="center" wrapText="1"/>
      <protection hidden="1"/>
    </xf>
    <xf numFmtId="44" fontId="3" fillId="3" borderId="15" xfId="0" applyNumberFormat="1" applyFont="1" applyFill="1" applyBorder="1" applyProtection="1">
      <protection locked="0"/>
    </xf>
    <xf numFmtId="44" fontId="5" fillId="3" borderId="15" xfId="0" applyNumberFormat="1" applyFont="1" applyFill="1" applyBorder="1" applyProtection="1">
      <protection hidden="1"/>
    </xf>
    <xf numFmtId="49" fontId="6" fillId="0" borderId="9" xfId="0" applyNumberFormat="1" applyFont="1" applyBorder="1" applyAlignment="1" applyProtection="1">
      <alignment horizontal="center" vertical="center" wrapText="1"/>
      <protection hidden="1"/>
    </xf>
    <xf numFmtId="49" fontId="6" fillId="0" borderId="10" xfId="0" applyNumberFormat="1" applyFont="1" applyBorder="1" applyAlignment="1" applyProtection="1">
      <alignment horizontal="center" vertical="center" wrapText="1"/>
      <protection hidden="1"/>
    </xf>
    <xf numFmtId="44" fontId="12" fillId="4" borderId="11" xfId="1" applyFont="1" applyFill="1" applyBorder="1" applyProtection="1">
      <protection locked="0"/>
    </xf>
    <xf numFmtId="44" fontId="14" fillId="4" borderId="6" xfId="1" applyFont="1" applyFill="1" applyBorder="1" applyProtection="1">
      <protection locked="0"/>
    </xf>
    <xf numFmtId="44" fontId="14" fillId="4" borderId="12" xfId="1" applyFont="1" applyFill="1" applyBorder="1" applyProtection="1">
      <protection locked="0"/>
    </xf>
    <xf numFmtId="44" fontId="12" fillId="0" borderId="11" xfId="1" applyFont="1" applyBorder="1" applyProtection="1">
      <protection locked="0"/>
    </xf>
    <xf numFmtId="49" fontId="16" fillId="0" borderId="16" xfId="0" applyNumberFormat="1" applyFont="1" applyBorder="1" applyAlignment="1" applyProtection="1">
      <alignment horizontal="center" vertical="center" wrapText="1"/>
      <protection hidden="1"/>
    </xf>
    <xf numFmtId="49" fontId="16" fillId="0" borderId="17" xfId="0" applyNumberFormat="1" applyFont="1" applyBorder="1" applyAlignment="1" applyProtection="1">
      <alignment horizontal="center" vertical="center" wrapText="1"/>
      <protection hidden="1"/>
    </xf>
    <xf numFmtId="49" fontId="15" fillId="0" borderId="17" xfId="0" applyNumberFormat="1" applyFont="1" applyBorder="1" applyAlignment="1" applyProtection="1">
      <alignment horizontal="center" vertical="center" wrapText="1"/>
      <protection hidden="1"/>
    </xf>
    <xf numFmtId="49" fontId="15" fillId="0" borderId="18" xfId="0" applyNumberFormat="1" applyFont="1" applyBorder="1" applyAlignment="1" applyProtection="1">
      <alignment horizontal="center" vertical="center" wrapText="1"/>
      <protection hidden="1"/>
    </xf>
    <xf numFmtId="44" fontId="12" fillId="0" borderId="12" xfId="1" applyFont="1" applyBorder="1" applyProtection="1">
      <protection locked="0"/>
    </xf>
    <xf numFmtId="44" fontId="14" fillId="0" borderId="2" xfId="1" applyFont="1" applyBorder="1" applyProtection="1">
      <protection locked="0"/>
    </xf>
    <xf numFmtId="0" fontId="7" fillId="0" borderId="0" xfId="0" applyFont="1" applyAlignment="1" applyProtection="1">
      <alignment horizontal="right" indent="1"/>
      <protection hidden="1"/>
    </xf>
    <xf numFmtId="0" fontId="7" fillId="0" borderId="0" xfId="0" applyFont="1" applyAlignment="1" applyProtection="1">
      <alignment horizontal="right"/>
      <protection hidden="1"/>
    </xf>
    <xf numFmtId="168" fontId="7" fillId="0" borderId="8" xfId="0" applyNumberFormat="1" applyFont="1" applyBorder="1" applyAlignment="1" applyProtection="1">
      <alignment horizontal="center"/>
      <protection hidden="1"/>
    </xf>
    <xf numFmtId="0" fontId="8" fillId="2" borderId="0" xfId="0" applyFont="1" applyFill="1" applyAlignment="1" applyProtection="1">
      <alignment horizontal="center" vertical="center"/>
      <protection locked="0"/>
    </xf>
    <xf numFmtId="168" fontId="7" fillId="2" borderId="1" xfId="0" applyNumberFormat="1" applyFont="1" applyFill="1" applyBorder="1" applyAlignment="1" applyProtection="1">
      <alignment horizontal="center"/>
      <protection hidden="1"/>
    </xf>
    <xf numFmtId="43" fontId="19" fillId="0" borderId="0" xfId="0" applyNumberFormat="1" applyFont="1" applyProtection="1">
      <protection hidden="1"/>
    </xf>
    <xf numFmtId="49" fontId="7" fillId="0" borderId="1" xfId="0" applyNumberFormat="1" applyFont="1" applyBorder="1" applyProtection="1">
      <protection locked="0"/>
    </xf>
    <xf numFmtId="49" fontId="3" fillId="0" borderId="0" xfId="0" applyNumberFormat="1" applyFont="1" applyProtection="1">
      <protection hidden="1"/>
    </xf>
    <xf numFmtId="49" fontId="9" fillId="0" borderId="1" xfId="0" applyNumberFormat="1" applyFont="1" applyBorder="1" applyProtection="1">
      <protection hidden="1"/>
    </xf>
    <xf numFmtId="14" fontId="0" fillId="0" borderId="0" xfId="0" applyNumberFormat="1"/>
    <xf numFmtId="49" fontId="21" fillId="0" borderId="0" xfId="0" applyNumberFormat="1" applyFont="1"/>
    <xf numFmtId="49" fontId="20" fillId="0" borderId="0" xfId="5" applyProtection="1">
      <protection hidden="1"/>
    </xf>
    <xf numFmtId="49" fontId="21" fillId="0" borderId="0" xfId="5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44" fontId="0" fillId="2" borderId="22" xfId="1" applyFont="1" applyFill="1" applyBorder="1" applyProtection="1">
      <protection locked="0"/>
    </xf>
    <xf numFmtId="44" fontId="0" fillId="5" borderId="22" xfId="1" applyFont="1" applyFill="1" applyBorder="1" applyProtection="1">
      <protection locked="0"/>
    </xf>
    <xf numFmtId="44" fontId="0" fillId="0" borderId="0" xfId="0" applyNumberFormat="1"/>
    <xf numFmtId="0" fontId="0" fillId="0" borderId="0" xfId="0" applyAlignment="1">
      <alignment horizontal="center"/>
    </xf>
    <xf numFmtId="44" fontId="20" fillId="0" borderId="0" xfId="2" applyFont="1"/>
    <xf numFmtId="44" fontId="0" fillId="0" borderId="0" xfId="2" applyFont="1"/>
    <xf numFmtId="174" fontId="0" fillId="0" borderId="0" xfId="4" applyNumberFormat="1" applyFont="1"/>
    <xf numFmtId="0" fontId="20" fillId="0" borderId="0" xfId="0" applyFont="1"/>
    <xf numFmtId="0" fontId="28" fillId="0" borderId="0" xfId="0" applyFont="1"/>
    <xf numFmtId="9" fontId="28" fillId="0" borderId="0" xfId="4" applyFont="1"/>
    <xf numFmtId="0" fontId="28" fillId="0" borderId="23" xfId="0" applyFont="1" applyBorder="1"/>
    <xf numFmtId="10" fontId="28" fillId="0" borderId="9" xfId="4" applyNumberFormat="1" applyFont="1" applyBorder="1"/>
    <xf numFmtId="10" fontId="28" fillId="0" borderId="10" xfId="4" applyNumberFormat="1" applyFont="1" applyBorder="1"/>
    <xf numFmtId="0" fontId="28" fillId="0" borderId="25" xfId="0" applyFont="1" applyBorder="1"/>
    <xf numFmtId="10" fontId="28" fillId="0" borderId="6" xfId="4" applyNumberFormat="1" applyFont="1" applyBorder="1"/>
    <xf numFmtId="10" fontId="28" fillId="0" borderId="12" xfId="4" applyNumberFormat="1" applyFont="1" applyBorder="1"/>
    <xf numFmtId="0" fontId="28" fillId="7" borderId="23" xfId="0" applyFont="1" applyFill="1" applyBorder="1"/>
    <xf numFmtId="10" fontId="28" fillId="7" borderId="9" xfId="4" applyNumberFormat="1" applyFont="1" applyFill="1" applyBorder="1"/>
    <xf numFmtId="10" fontId="28" fillId="7" borderId="10" xfId="4" applyNumberFormat="1" applyFont="1" applyFill="1" applyBorder="1"/>
    <xf numFmtId="0" fontId="28" fillId="7" borderId="25" xfId="0" applyFont="1" applyFill="1" applyBorder="1"/>
    <xf numFmtId="10" fontId="28" fillId="7" borderId="6" xfId="4" applyNumberFormat="1" applyFont="1" applyFill="1" applyBorder="1"/>
    <xf numFmtId="10" fontId="28" fillId="7" borderId="12" xfId="4" applyNumberFormat="1" applyFont="1" applyFill="1" applyBorder="1"/>
    <xf numFmtId="0" fontId="28" fillId="0" borderId="0" xfId="0" applyFont="1" applyAlignment="1">
      <alignment horizontal="center"/>
    </xf>
    <xf numFmtId="4" fontId="28" fillId="0" borderId="0" xfId="0" applyNumberFormat="1" applyFont="1"/>
    <xf numFmtId="0" fontId="30" fillId="0" borderId="0" xfId="3" applyFont="1" applyAlignment="1" applyProtection="1">
      <alignment horizontal="center" vertical="top"/>
      <protection locked="0"/>
    </xf>
    <xf numFmtId="1" fontId="30" fillId="0" borderId="0" xfId="3" applyNumberFormat="1" applyFont="1" applyAlignment="1" applyProtection="1">
      <alignment horizontal="center" vertical="top"/>
      <protection locked="0"/>
    </xf>
    <xf numFmtId="0" fontId="30" fillId="0" borderId="0" xfId="3" applyFont="1" applyAlignment="1" applyProtection="1">
      <alignment horizontal="left" vertical="top"/>
      <protection locked="0"/>
    </xf>
    <xf numFmtId="0" fontId="30" fillId="0" borderId="0" xfId="3" applyFont="1" applyAlignment="1" applyProtection="1">
      <alignment horizontal="right" vertical="top"/>
      <protection locked="0"/>
    </xf>
    <xf numFmtId="1" fontId="22" fillId="0" borderId="0" xfId="3" applyNumberFormat="1" applyAlignment="1" applyProtection="1">
      <alignment horizontal="right" vertical="top"/>
      <protection locked="0"/>
    </xf>
    <xf numFmtId="175" fontId="31" fillId="0" borderId="0" xfId="3" applyNumberFormat="1" applyFont="1" applyAlignment="1" applyProtection="1">
      <alignment horizontal="right" vertical="top"/>
      <protection locked="0"/>
    </xf>
    <xf numFmtId="170" fontId="31" fillId="0" borderId="0" xfId="3" applyNumberFormat="1" applyFont="1" applyAlignment="1" applyProtection="1">
      <alignment horizontal="right" vertical="top"/>
      <protection locked="0"/>
    </xf>
    <xf numFmtId="171" fontId="31" fillId="0" borderId="0" xfId="3" applyNumberFormat="1" applyFont="1" applyAlignment="1" applyProtection="1">
      <alignment horizontal="right" vertical="top"/>
      <protection locked="0"/>
    </xf>
    <xf numFmtId="176" fontId="31" fillId="0" borderId="0" xfId="3" applyNumberFormat="1" applyFont="1" applyAlignment="1" applyProtection="1">
      <alignment horizontal="right" vertical="top"/>
      <protection locked="0"/>
    </xf>
    <xf numFmtId="177" fontId="31" fillId="0" borderId="0" xfId="3" applyNumberFormat="1" applyFont="1" applyAlignment="1" applyProtection="1">
      <alignment horizontal="right" vertical="top"/>
      <protection locked="0"/>
    </xf>
    <xf numFmtId="172" fontId="31" fillId="0" borderId="0" xfId="3" applyNumberFormat="1" applyFont="1" applyAlignment="1" applyProtection="1">
      <alignment horizontal="right" vertical="top"/>
      <protection locked="0"/>
    </xf>
    <xf numFmtId="2" fontId="31" fillId="0" borderId="0" xfId="3" applyNumberFormat="1" applyFont="1" applyAlignment="1" applyProtection="1">
      <alignment horizontal="right" vertical="top"/>
      <protection locked="0"/>
    </xf>
    <xf numFmtId="0" fontId="32" fillId="0" borderId="0" xfId="3" applyFont="1" applyAlignment="1" applyProtection="1">
      <alignment horizontal="left" vertical="top"/>
      <protection locked="0"/>
    </xf>
    <xf numFmtId="178" fontId="30" fillId="0" borderId="0" xfId="3" applyNumberFormat="1" applyFont="1" applyAlignment="1" applyProtection="1">
      <alignment horizontal="right" vertical="top"/>
      <protection locked="0"/>
    </xf>
    <xf numFmtId="170" fontId="30" fillId="0" borderId="0" xfId="3" applyNumberFormat="1" applyFont="1" applyAlignment="1" applyProtection="1">
      <alignment horizontal="right" vertical="top"/>
      <protection locked="0"/>
    </xf>
    <xf numFmtId="171" fontId="30" fillId="0" borderId="0" xfId="3" applyNumberFormat="1" applyFont="1" applyAlignment="1" applyProtection="1">
      <alignment horizontal="right" vertical="top"/>
      <protection locked="0"/>
    </xf>
    <xf numFmtId="176" fontId="30" fillId="0" borderId="0" xfId="3" applyNumberFormat="1" applyFont="1" applyAlignment="1" applyProtection="1">
      <alignment horizontal="right" vertical="top"/>
      <protection locked="0"/>
    </xf>
    <xf numFmtId="175" fontId="30" fillId="0" borderId="0" xfId="3" applyNumberFormat="1" applyFont="1" applyAlignment="1" applyProtection="1">
      <alignment horizontal="right" vertical="top"/>
      <protection locked="0"/>
    </xf>
    <xf numFmtId="1" fontId="31" fillId="0" borderId="0" xfId="3" applyNumberFormat="1" applyFont="1" applyAlignment="1" applyProtection="1">
      <alignment horizontal="right" vertical="top"/>
      <protection locked="0"/>
    </xf>
    <xf numFmtId="177" fontId="30" fillId="0" borderId="0" xfId="3" applyNumberFormat="1" applyFont="1" applyAlignment="1" applyProtection="1">
      <alignment horizontal="right" vertical="top"/>
      <protection locked="0"/>
    </xf>
    <xf numFmtId="172" fontId="30" fillId="0" borderId="0" xfId="3" applyNumberFormat="1" applyFont="1" applyAlignment="1" applyProtection="1">
      <alignment horizontal="right" vertical="top"/>
      <protection locked="0"/>
    </xf>
    <xf numFmtId="179" fontId="31" fillId="0" borderId="0" xfId="3" applyNumberFormat="1" applyFont="1" applyAlignment="1" applyProtection="1">
      <alignment horizontal="right" vertical="top"/>
      <protection locked="0"/>
    </xf>
    <xf numFmtId="180" fontId="31" fillId="0" borderId="0" xfId="3" applyNumberFormat="1" applyFont="1" applyAlignment="1" applyProtection="1">
      <alignment horizontal="right" vertical="top"/>
      <protection locked="0"/>
    </xf>
    <xf numFmtId="179" fontId="30" fillId="0" borderId="0" xfId="3" applyNumberFormat="1" applyFont="1" applyAlignment="1" applyProtection="1">
      <alignment horizontal="right" vertical="top"/>
      <protection locked="0"/>
    </xf>
    <xf numFmtId="180" fontId="30" fillId="0" borderId="0" xfId="3" applyNumberFormat="1" applyFont="1" applyAlignment="1" applyProtection="1">
      <alignment horizontal="right" vertical="top"/>
      <protection locked="0"/>
    </xf>
    <xf numFmtId="1" fontId="30" fillId="0" borderId="0" xfId="3" applyNumberFormat="1" applyFont="1" applyAlignment="1" applyProtection="1">
      <alignment horizontal="right" vertical="top"/>
      <protection locked="0"/>
    </xf>
    <xf numFmtId="2" fontId="30" fillId="0" borderId="0" xfId="3" applyNumberFormat="1" applyFont="1" applyAlignment="1" applyProtection="1">
      <alignment horizontal="right" vertical="top"/>
      <protection locked="0"/>
    </xf>
    <xf numFmtId="181" fontId="31" fillId="0" borderId="0" xfId="3" applyNumberFormat="1" applyFont="1" applyAlignment="1" applyProtection="1">
      <alignment horizontal="right" vertical="top"/>
      <protection locked="0"/>
    </xf>
    <xf numFmtId="181" fontId="30" fillId="0" borderId="0" xfId="3" applyNumberFormat="1" applyFont="1" applyAlignment="1" applyProtection="1">
      <alignment horizontal="right" vertical="top"/>
      <protection locked="0"/>
    </xf>
    <xf numFmtId="0" fontId="33" fillId="0" borderId="0" xfId="3" applyFont="1" applyAlignment="1" applyProtection="1">
      <alignment horizontal="left" vertical="top"/>
      <protection locked="0"/>
    </xf>
    <xf numFmtId="178" fontId="34" fillId="0" borderId="0" xfId="3" applyNumberFormat="1" applyFont="1" applyAlignment="1" applyProtection="1">
      <alignment horizontal="right" vertical="top"/>
      <protection locked="0"/>
    </xf>
    <xf numFmtId="170" fontId="34" fillId="0" borderId="0" xfId="3" applyNumberFormat="1" applyFont="1" applyAlignment="1" applyProtection="1">
      <alignment horizontal="right" vertical="top"/>
      <protection locked="0"/>
    </xf>
    <xf numFmtId="179" fontId="34" fillId="0" borderId="0" xfId="3" applyNumberFormat="1" applyFont="1" applyAlignment="1" applyProtection="1">
      <alignment horizontal="right" vertical="top"/>
      <protection locked="0"/>
    </xf>
    <xf numFmtId="182" fontId="34" fillId="0" borderId="0" xfId="3" applyNumberFormat="1" applyFont="1" applyAlignment="1" applyProtection="1">
      <alignment horizontal="right" vertical="top"/>
      <protection locked="0"/>
    </xf>
    <xf numFmtId="0" fontId="35" fillId="0" borderId="0" xfId="3" applyFont="1" applyAlignment="1" applyProtection="1">
      <alignment horizontal="left" vertical="top"/>
      <protection locked="0"/>
    </xf>
    <xf numFmtId="183" fontId="34" fillId="0" borderId="0" xfId="3" applyNumberFormat="1" applyFont="1" applyAlignment="1" applyProtection="1">
      <alignment horizontal="right" vertical="top"/>
      <protection locked="0"/>
    </xf>
    <xf numFmtId="1" fontId="31" fillId="0" borderId="0" xfId="3" applyNumberFormat="1" applyFont="1" applyAlignment="1" applyProtection="1">
      <alignment horizontal="left" vertical="top"/>
      <protection locked="0"/>
    </xf>
    <xf numFmtId="0" fontId="31" fillId="0" borderId="0" xfId="3" applyFont="1" applyAlignment="1" applyProtection="1">
      <alignment horizontal="left" vertical="top"/>
      <protection locked="0"/>
    </xf>
    <xf numFmtId="10" fontId="28" fillId="0" borderId="0" xfId="4" applyNumberFormat="1" applyFont="1"/>
    <xf numFmtId="4" fontId="22" fillId="0" borderId="0" xfId="3" applyNumberFormat="1"/>
    <xf numFmtId="0" fontId="3" fillId="0" borderId="0" xfId="0" applyFont="1" applyProtection="1">
      <protection locked="0"/>
    </xf>
    <xf numFmtId="164" fontId="24" fillId="0" borderId="0" xfId="0" applyNumberFormat="1" applyFont="1" applyProtection="1">
      <protection locked="0"/>
    </xf>
    <xf numFmtId="44" fontId="0" fillId="0" borderId="0" xfId="1" applyFont="1"/>
    <xf numFmtId="181" fontId="22" fillId="0" borderId="0" xfId="3" applyNumberFormat="1" applyAlignment="1" applyProtection="1">
      <alignment horizontal="right" vertical="top"/>
      <protection locked="0"/>
    </xf>
    <xf numFmtId="176" fontId="22" fillId="0" borderId="0" xfId="3" applyNumberFormat="1" applyAlignment="1" applyProtection="1">
      <alignment horizontal="right" vertical="top"/>
      <protection locked="0"/>
    </xf>
    <xf numFmtId="185" fontId="22" fillId="0" borderId="0" xfId="3" applyNumberFormat="1" applyAlignment="1" applyProtection="1">
      <alignment horizontal="right" vertical="top"/>
      <protection locked="0"/>
    </xf>
    <xf numFmtId="44" fontId="0" fillId="6" borderId="0" xfId="2" applyFont="1" applyFill="1"/>
    <xf numFmtId="44" fontId="0" fillId="0" borderId="0" xfId="1" applyFont="1" applyBorder="1"/>
    <xf numFmtId="0" fontId="43" fillId="0" borderId="0" xfId="0" applyFont="1" applyProtection="1">
      <protection locked="0"/>
    </xf>
    <xf numFmtId="0" fontId="44" fillId="0" borderId="0" xfId="0" applyFont="1" applyProtection="1">
      <protection locked="0"/>
    </xf>
    <xf numFmtId="0" fontId="45" fillId="0" borderId="0" xfId="0" applyFont="1" applyProtection="1">
      <protection locked="0"/>
    </xf>
    <xf numFmtId="176" fontId="22" fillId="2" borderId="0" xfId="3" applyNumberFormat="1" applyFill="1" applyAlignment="1" applyProtection="1">
      <alignment horizontal="right" vertical="top"/>
      <protection locked="0"/>
    </xf>
    <xf numFmtId="181" fontId="22" fillId="2" borderId="0" xfId="3" applyNumberFormat="1" applyFill="1" applyAlignment="1" applyProtection="1">
      <alignment horizontal="right" vertical="top"/>
      <protection locked="0"/>
    </xf>
    <xf numFmtId="44" fontId="20" fillId="0" borderId="1" xfId="2" applyFont="1" applyBorder="1"/>
    <xf numFmtId="44" fontId="0" fillId="6" borderId="1" xfId="2" applyFont="1" applyFill="1" applyBorder="1"/>
    <xf numFmtId="44" fontId="0" fillId="0" borderId="1" xfId="2" applyFont="1" applyBorder="1"/>
    <xf numFmtId="44" fontId="0" fillId="0" borderId="27" xfId="2" applyFont="1" applyBorder="1"/>
    <xf numFmtId="44" fontId="0" fillId="6" borderId="27" xfId="2" applyFont="1" applyFill="1" applyBorder="1"/>
    <xf numFmtId="44" fontId="20" fillId="6" borderId="27" xfId="2" applyFont="1" applyFill="1" applyBorder="1"/>
    <xf numFmtId="0" fontId="27" fillId="0" borderId="0" xfId="0" applyFont="1" applyProtection="1">
      <protection locked="0"/>
    </xf>
    <xf numFmtId="10" fontId="28" fillId="0" borderId="13" xfId="4" applyNumberFormat="1" applyFont="1" applyBorder="1"/>
    <xf numFmtId="10" fontId="28" fillId="0" borderId="5" xfId="4" applyNumberFormat="1" applyFont="1" applyBorder="1"/>
    <xf numFmtId="10" fontId="28" fillId="7" borderId="13" xfId="4" applyNumberFormat="1" applyFont="1" applyFill="1" applyBorder="1"/>
    <xf numFmtId="10" fontId="28" fillId="7" borderId="5" xfId="4" applyNumberFormat="1" applyFont="1" applyFill="1" applyBorder="1"/>
    <xf numFmtId="10" fontId="28" fillId="0" borderId="26" xfId="4" applyNumberFormat="1" applyFont="1" applyBorder="1"/>
    <xf numFmtId="10" fontId="28" fillId="0" borderId="30" xfId="4" applyNumberFormat="1" applyFont="1" applyBorder="1"/>
    <xf numFmtId="10" fontId="28" fillId="7" borderId="26" xfId="4" applyNumberFormat="1" applyFont="1" applyFill="1" applyBorder="1"/>
    <xf numFmtId="10" fontId="28" fillId="7" borderId="30" xfId="4" applyNumberFormat="1" applyFont="1" applyFill="1" applyBorder="1"/>
    <xf numFmtId="10" fontId="28" fillId="2" borderId="31" xfId="4" applyNumberFormat="1" applyFont="1" applyFill="1" applyBorder="1"/>
    <xf numFmtId="10" fontId="28" fillId="2" borderId="32" xfId="4" applyNumberFormat="1" applyFont="1" applyFill="1" applyBorder="1"/>
    <xf numFmtId="10" fontId="28" fillId="7" borderId="31" xfId="4" applyNumberFormat="1" applyFont="1" applyFill="1" applyBorder="1"/>
    <xf numFmtId="10" fontId="28" fillId="7" borderId="32" xfId="4" applyNumberFormat="1" applyFont="1" applyFill="1" applyBorder="1"/>
    <xf numFmtId="44" fontId="46" fillId="4" borderId="1" xfId="1" applyFont="1" applyFill="1" applyBorder="1" applyProtection="1">
      <protection locked="0"/>
    </xf>
    <xf numFmtId="44" fontId="0" fillId="0" borderId="1" xfId="1" applyFont="1" applyBorder="1"/>
    <xf numFmtId="44" fontId="0" fillId="0" borderId="0" xfId="1" applyFont="1" applyProtection="1">
      <protection locked="0"/>
    </xf>
    <xf numFmtId="44" fontId="0" fillId="0" borderId="0" xfId="0" applyNumberFormat="1" applyProtection="1">
      <protection locked="0"/>
    </xf>
    <xf numFmtId="9" fontId="0" fillId="0" borderId="0" xfId="4" applyFont="1" applyProtection="1">
      <protection locked="0"/>
    </xf>
    <xf numFmtId="10" fontId="0" fillId="0" borderId="0" xfId="4" applyNumberFormat="1" applyFont="1" applyProtection="1">
      <protection locked="0"/>
    </xf>
    <xf numFmtId="16" fontId="0" fillId="0" borderId="0" xfId="0" applyNumberFormat="1" applyProtection="1">
      <protection locked="0"/>
    </xf>
    <xf numFmtId="15" fontId="0" fillId="0" borderId="0" xfId="0" applyNumberFormat="1" applyProtection="1">
      <protection locked="0"/>
    </xf>
    <xf numFmtId="44" fontId="4" fillId="0" borderId="8" xfId="1" applyFont="1" applyBorder="1" applyAlignment="1" applyProtection="1">
      <alignment horizontal="left" vertical="center"/>
      <protection hidden="1"/>
    </xf>
    <xf numFmtId="44" fontId="19" fillId="0" borderId="14" xfId="1" applyFont="1" applyBorder="1" applyProtection="1">
      <protection hidden="1"/>
    </xf>
    <xf numFmtId="44" fontId="0" fillId="0" borderId="0" xfId="1" applyFont="1" applyProtection="1">
      <protection hidden="1"/>
    </xf>
    <xf numFmtId="44" fontId="19" fillId="0" borderId="0" xfId="1" applyFont="1" applyProtection="1">
      <protection hidden="1"/>
    </xf>
    <xf numFmtId="44" fontId="20" fillId="6" borderId="35" xfId="2" applyFont="1" applyFill="1" applyBorder="1"/>
    <xf numFmtId="0" fontId="0" fillId="0" borderId="27" xfId="0" applyBorder="1" applyAlignment="1">
      <alignment horizontal="center"/>
    </xf>
    <xf numFmtId="44" fontId="0" fillId="6" borderId="15" xfId="2" applyFont="1" applyFill="1" applyBorder="1"/>
    <xf numFmtId="44" fontId="0" fillId="0" borderId="15" xfId="2" applyFont="1" applyBorder="1"/>
    <xf numFmtId="44" fontId="0" fillId="0" borderId="34" xfId="2" applyFont="1" applyBorder="1"/>
    <xf numFmtId="44" fontId="0" fillId="6" borderId="34" xfId="2" applyFont="1" applyFill="1" applyBorder="1"/>
    <xf numFmtId="44" fontId="20" fillId="6" borderId="34" xfId="2" applyFont="1" applyFill="1" applyBorder="1"/>
    <xf numFmtId="44" fontId="20" fillId="6" borderId="36" xfId="2" applyFont="1" applyFill="1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49" fillId="0" borderId="38" xfId="0" applyFont="1" applyBorder="1" applyAlignment="1">
      <alignment horizontal="center"/>
    </xf>
    <xf numFmtId="44" fontId="0" fillId="0" borderId="0" xfId="2" applyFont="1" applyAlignment="1">
      <alignment horizontal="center"/>
    </xf>
    <xf numFmtId="0" fontId="49" fillId="0" borderId="41" xfId="0" applyFont="1" applyBorder="1" applyAlignment="1">
      <alignment horizontal="center"/>
    </xf>
    <xf numFmtId="44" fontId="49" fillId="0" borderId="15" xfId="0" applyNumberFormat="1" applyFont="1" applyBorder="1"/>
    <xf numFmtId="44" fontId="49" fillId="0" borderId="40" xfId="0" applyNumberFormat="1" applyFont="1" applyBorder="1"/>
    <xf numFmtId="44" fontId="22" fillId="0" borderId="0" xfId="1" applyFont="1" applyAlignment="1" applyProtection="1">
      <alignment horizontal="left" vertical="top"/>
      <protection hidden="1"/>
    </xf>
    <xf numFmtId="44" fontId="22" fillId="0" borderId="0" xfId="1" applyFont="1" applyProtection="1">
      <protection hidden="1"/>
    </xf>
    <xf numFmtId="44" fontId="22" fillId="0" borderId="0" xfId="1" applyFont="1" applyAlignment="1" applyProtection="1">
      <alignment horizontal="right" vertical="top"/>
      <protection hidden="1"/>
    </xf>
    <xf numFmtId="44" fontId="0" fillId="2" borderId="0" xfId="1" applyFont="1" applyFill="1" applyProtection="1">
      <protection locked="0" hidden="1"/>
    </xf>
    <xf numFmtId="16" fontId="43" fillId="0" borderId="0" xfId="0" applyNumberFormat="1" applyFont="1" applyProtection="1">
      <protection locked="0"/>
    </xf>
    <xf numFmtId="0" fontId="43" fillId="2" borderId="0" xfId="0" applyFont="1" applyFill="1" applyProtection="1">
      <protection locked="0"/>
    </xf>
    <xf numFmtId="0" fontId="37" fillId="0" borderId="0" xfId="7" applyProtection="1">
      <protection hidden="1"/>
    </xf>
    <xf numFmtId="43" fontId="37" fillId="0" borderId="0" xfId="7" quotePrefix="1" applyNumberFormat="1" applyProtection="1">
      <protection locked="0"/>
    </xf>
    <xf numFmtId="43" fontId="50" fillId="0" borderId="0" xfId="7" quotePrefix="1" applyNumberFormat="1" applyFont="1" applyProtection="1">
      <protection locked="0"/>
    </xf>
    <xf numFmtId="44" fontId="51" fillId="0" borderId="0" xfId="7" quotePrefix="1" applyNumberFormat="1" applyFont="1" applyAlignment="1" applyProtection="1">
      <alignment horizontal="center"/>
      <protection hidden="1"/>
    </xf>
    <xf numFmtId="1" fontId="52" fillId="0" borderId="0" xfId="0" applyNumberFormat="1" applyFont="1" applyAlignment="1" applyProtection="1">
      <alignment horizontal="center" vertical="center"/>
      <protection hidden="1"/>
    </xf>
    <xf numFmtId="0" fontId="53" fillId="0" borderId="0" xfId="0" applyFont="1"/>
    <xf numFmtId="44" fontId="54" fillId="0" borderId="0" xfId="7" quotePrefix="1" applyNumberFormat="1" applyFont="1" applyAlignment="1" applyProtection="1">
      <alignment horizontal="center"/>
      <protection hidden="1"/>
    </xf>
    <xf numFmtId="0" fontId="53" fillId="0" borderId="0" xfId="0" applyFont="1" applyProtection="1">
      <protection locked="0"/>
    </xf>
    <xf numFmtId="0" fontId="8" fillId="0" borderId="0" xfId="0" applyFont="1" applyProtection="1">
      <protection hidden="1"/>
    </xf>
    <xf numFmtId="44" fontId="14" fillId="0" borderId="42" xfId="1" applyFont="1" applyBorder="1" applyProtection="1">
      <protection locked="0"/>
    </xf>
    <xf numFmtId="44" fontId="14" fillId="0" borderId="43" xfId="1" applyFont="1" applyBorder="1" applyProtection="1">
      <protection locked="0"/>
    </xf>
    <xf numFmtId="44" fontId="14" fillId="0" borderId="0" xfId="1" applyFont="1" applyBorder="1" applyProtection="1">
      <protection locked="0"/>
    </xf>
    <xf numFmtId="1" fontId="9" fillId="0" borderId="1" xfId="0" applyNumberFormat="1" applyFont="1" applyBorder="1" applyProtection="1">
      <protection hidden="1"/>
    </xf>
    <xf numFmtId="0" fontId="43" fillId="0" borderId="0" xfId="0" applyFont="1" applyAlignment="1" applyProtection="1">
      <alignment wrapText="1"/>
      <protection locked="0"/>
    </xf>
    <xf numFmtId="0" fontId="55" fillId="0" borderId="0" xfId="0" applyFont="1" applyAlignment="1" applyProtection="1">
      <alignment wrapText="1"/>
      <protection locked="0"/>
    </xf>
    <xf numFmtId="49" fontId="16" fillId="0" borderId="17" xfId="0" applyNumberFormat="1" applyFont="1" applyBorder="1" applyAlignment="1" applyProtection="1">
      <alignment horizontal="center" vertical="center"/>
      <protection hidden="1"/>
    </xf>
    <xf numFmtId="49" fontId="10" fillId="0" borderId="1" xfId="0" applyNumberFormat="1" applyFont="1" applyBorder="1" applyAlignment="1" applyProtection="1">
      <alignment horizontal="center" vertical="center"/>
      <protection hidden="1"/>
    </xf>
    <xf numFmtId="43" fontId="50" fillId="0" borderId="0" xfId="7" quotePrefix="1" applyNumberFormat="1" applyFont="1" applyAlignment="1" applyProtection="1">
      <alignment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7" fontId="13" fillId="0" borderId="0" xfId="0" applyNumberFormat="1" applyFont="1" applyAlignment="1" applyProtection="1">
      <alignment vertical="center" wrapText="1"/>
      <protection hidden="1"/>
    </xf>
    <xf numFmtId="9" fontId="13" fillId="0" borderId="0" xfId="0" applyNumberFormat="1" applyFont="1" applyAlignment="1" applyProtection="1">
      <alignment horizontal="center" vertical="center" wrapText="1"/>
      <protection locked="0"/>
    </xf>
    <xf numFmtId="2" fontId="13" fillId="0" borderId="0" xfId="0" applyNumberFormat="1" applyFont="1" applyAlignment="1" applyProtection="1">
      <alignment vertical="center" wrapText="1"/>
      <protection hidden="1"/>
    </xf>
    <xf numFmtId="2" fontId="13" fillId="2" borderId="0" xfId="0" applyNumberFormat="1" applyFont="1" applyFill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right" wrapText="1"/>
      <protection hidden="1"/>
    </xf>
    <xf numFmtId="0" fontId="0" fillId="0" borderId="0" xfId="0" applyAlignment="1" applyProtection="1">
      <alignment wrapText="1"/>
      <protection hidden="1"/>
    </xf>
    <xf numFmtId="49" fontId="9" fillId="0" borderId="1" xfId="0" applyNumberFormat="1" applyFont="1" applyBorder="1" applyAlignment="1" applyProtection="1">
      <alignment wrapText="1"/>
      <protection locked="0"/>
    </xf>
    <xf numFmtId="44" fontId="12" fillId="0" borderId="1" xfId="1" applyFont="1" applyBorder="1" applyAlignment="1" applyProtection="1">
      <alignment wrapText="1"/>
      <protection locked="0"/>
    </xf>
    <xf numFmtId="44" fontId="12" fillId="0" borderId="11" xfId="1" applyFont="1" applyBorder="1" applyAlignment="1" applyProtection="1">
      <alignment wrapText="1"/>
      <protection locked="0"/>
    </xf>
    <xf numFmtId="49" fontId="7" fillId="0" borderId="1" xfId="0" applyNumberFormat="1" applyFont="1" applyBorder="1" applyAlignment="1" applyProtection="1">
      <alignment wrapText="1"/>
      <protection hidden="1"/>
    </xf>
    <xf numFmtId="44" fontId="12" fillId="0" borderId="6" xfId="1" applyFont="1" applyBorder="1" applyAlignment="1" applyProtection="1">
      <alignment wrapText="1"/>
      <protection locked="0"/>
    </xf>
    <xf numFmtId="44" fontId="12" fillId="0" borderId="12" xfId="1" applyFont="1" applyBorder="1" applyAlignment="1" applyProtection="1">
      <alignment wrapText="1"/>
      <protection locked="0"/>
    </xf>
    <xf numFmtId="0" fontId="8" fillId="0" borderId="1" xfId="0" applyFont="1" applyBorder="1" applyAlignment="1" applyProtection="1">
      <alignment wrapText="1"/>
      <protection hidden="1"/>
    </xf>
    <xf numFmtId="44" fontId="14" fillId="0" borderId="2" xfId="1" applyFont="1" applyBorder="1" applyAlignment="1" applyProtection="1">
      <alignment wrapText="1"/>
      <protection locked="0"/>
    </xf>
    <xf numFmtId="49" fontId="3" fillId="0" borderId="0" xfId="0" applyNumberFormat="1" applyFont="1" applyAlignment="1" applyProtection="1">
      <alignment wrapText="1"/>
      <protection hidden="1"/>
    </xf>
    <xf numFmtId="43" fontId="3" fillId="0" borderId="0" xfId="0" applyNumberFormat="1" applyFont="1" applyAlignment="1" applyProtection="1">
      <alignment wrapText="1"/>
      <protection locked="0"/>
    </xf>
    <xf numFmtId="49" fontId="9" fillId="0" borderId="1" xfId="0" applyNumberFormat="1" applyFont="1" applyBorder="1" applyAlignment="1" applyProtection="1">
      <alignment wrapText="1"/>
      <protection hidden="1"/>
    </xf>
    <xf numFmtId="44" fontId="12" fillId="4" borderId="1" xfId="1" applyFont="1" applyFill="1" applyBorder="1" applyAlignment="1" applyProtection="1">
      <alignment wrapText="1"/>
      <protection locked="0"/>
    </xf>
    <xf numFmtId="44" fontId="12" fillId="4" borderId="11" xfId="1" applyFont="1" applyFill="1" applyBorder="1" applyAlignment="1" applyProtection="1">
      <alignment wrapText="1"/>
      <protection locked="0"/>
    </xf>
    <xf numFmtId="44" fontId="3" fillId="3" borderId="15" xfId="0" applyNumberFormat="1" applyFont="1" applyFill="1" applyBorder="1" applyAlignment="1" applyProtection="1">
      <alignment wrapText="1"/>
      <protection locked="0"/>
    </xf>
    <xf numFmtId="44" fontId="3" fillId="3" borderId="1" xfId="0" applyNumberFormat="1" applyFont="1" applyFill="1" applyBorder="1" applyAlignment="1" applyProtection="1">
      <alignment wrapText="1"/>
      <protection locked="0"/>
    </xf>
    <xf numFmtId="44" fontId="14" fillId="4" borderId="6" xfId="1" applyFont="1" applyFill="1" applyBorder="1" applyAlignment="1" applyProtection="1">
      <alignment wrapText="1"/>
      <protection locked="0"/>
    </xf>
    <xf numFmtId="44" fontId="14" fillId="4" borderId="12" xfId="1" applyFont="1" applyFill="1" applyBorder="1" applyAlignment="1" applyProtection="1">
      <alignment wrapText="1"/>
      <protection locked="0"/>
    </xf>
    <xf numFmtId="44" fontId="5" fillId="3" borderId="15" xfId="0" applyNumberFormat="1" applyFont="1" applyFill="1" applyBorder="1" applyAlignment="1" applyProtection="1">
      <alignment wrapText="1"/>
      <protection hidden="1"/>
    </xf>
    <xf numFmtId="44" fontId="5" fillId="3" borderId="1" xfId="0" applyNumberFormat="1" applyFont="1" applyFill="1" applyBorder="1" applyAlignment="1" applyProtection="1">
      <alignment wrapText="1"/>
      <protection hidden="1"/>
    </xf>
    <xf numFmtId="44" fontId="0" fillId="0" borderId="1" xfId="2" applyFont="1" applyBorder="1" applyAlignment="1">
      <alignment wrapText="1"/>
    </xf>
    <xf numFmtId="44" fontId="0" fillId="0" borderId="34" xfId="2" applyFont="1" applyBorder="1" applyAlignment="1">
      <alignment wrapText="1"/>
    </xf>
    <xf numFmtId="44" fontId="28" fillId="0" borderId="0" xfId="1" applyFont="1"/>
    <xf numFmtId="2" fontId="31" fillId="0" borderId="0" xfId="13" applyNumberFormat="1" applyFont="1" applyAlignment="1" applyProtection="1">
      <alignment horizontal="right" vertical="top"/>
      <protection locked="0"/>
    </xf>
    <xf numFmtId="184" fontId="31" fillId="0" borderId="0" xfId="13" applyNumberFormat="1" applyFont="1" applyAlignment="1" applyProtection="1">
      <alignment horizontal="right" vertical="top"/>
      <protection locked="0"/>
    </xf>
    <xf numFmtId="0" fontId="0" fillId="2" borderId="0" xfId="0" applyFill="1"/>
    <xf numFmtId="44" fontId="12" fillId="0" borderId="1" xfId="1" applyFont="1" applyFill="1" applyBorder="1" applyProtection="1">
      <protection locked="0"/>
    </xf>
    <xf numFmtId="44" fontId="0" fillId="0" borderId="0" xfId="1" applyFont="1" applyFill="1" applyProtection="1">
      <protection locked="0"/>
    </xf>
    <xf numFmtId="0" fontId="4" fillId="0" borderId="44" xfId="0" applyFont="1" applyBorder="1" applyProtection="1">
      <protection hidden="1"/>
    </xf>
    <xf numFmtId="43" fontId="23" fillId="0" borderId="0" xfId="0" applyNumberFormat="1" applyFont="1" applyAlignment="1" applyProtection="1">
      <alignment wrapText="1"/>
      <protection locked="0"/>
    </xf>
    <xf numFmtId="49" fontId="7" fillId="0" borderId="1" xfId="0" applyNumberFormat="1" applyFont="1" applyBorder="1" applyAlignment="1" applyProtection="1">
      <alignment wrapText="1"/>
      <protection locked="0"/>
    </xf>
    <xf numFmtId="44" fontId="12" fillId="0" borderId="8" xfId="1" applyFont="1" applyBorder="1" applyProtection="1">
      <protection locked="0"/>
    </xf>
    <xf numFmtId="44" fontId="12" fillId="0" borderId="45" xfId="1" applyFont="1" applyBorder="1" applyProtection="1">
      <protection locked="0"/>
    </xf>
    <xf numFmtId="0" fontId="0" fillId="0" borderId="0" xfId="0" applyAlignment="1">
      <alignment horizontal="right"/>
    </xf>
    <xf numFmtId="16" fontId="0" fillId="0" borderId="0" xfId="0" applyNumberFormat="1" applyAlignment="1">
      <alignment horizontal="center"/>
    </xf>
    <xf numFmtId="0" fontId="28" fillId="5" borderId="0" xfId="0" applyFont="1" applyFill="1"/>
    <xf numFmtId="14" fontId="0" fillId="0" borderId="0" xfId="0" applyNumberFormat="1" applyAlignment="1">
      <alignment horizontal="center" vertical="center"/>
    </xf>
    <xf numFmtId="44" fontId="0" fillId="5" borderId="21" xfId="1" applyFont="1" applyFill="1" applyBorder="1" applyProtection="1">
      <protection locked="0"/>
    </xf>
    <xf numFmtId="1" fontId="0" fillId="2" borderId="2" xfId="1" applyNumberFormat="1" applyFont="1" applyFill="1" applyBorder="1" applyAlignment="1" applyProtection="1">
      <alignment horizontal="center"/>
      <protection locked="0"/>
    </xf>
    <xf numFmtId="44" fontId="0" fillId="0" borderId="21" xfId="1" applyFont="1" applyFill="1" applyBorder="1" applyProtection="1"/>
    <xf numFmtId="44" fontId="0" fillId="0" borderId="22" xfId="1" applyFont="1" applyFill="1" applyBorder="1" applyProtection="1"/>
    <xf numFmtId="1" fontId="0" fillId="0" borderId="2" xfId="1" applyNumberFormat="1" applyFont="1" applyFill="1" applyBorder="1" applyAlignment="1" applyProtection="1">
      <alignment horizontal="center"/>
    </xf>
    <xf numFmtId="15" fontId="0" fillId="0" borderId="23" xfId="1" applyNumberFormat="1" applyFont="1" applyBorder="1"/>
    <xf numFmtId="15" fontId="0" fillId="0" borderId="42" xfId="1" applyNumberFormat="1" applyFont="1" applyBorder="1"/>
    <xf numFmtId="15" fontId="0" fillId="0" borderId="43" xfId="1" applyNumberFormat="1" applyFont="1" applyBorder="1"/>
    <xf numFmtId="15" fontId="0" fillId="0" borderId="0" xfId="1" applyNumberFormat="1" applyFont="1"/>
    <xf numFmtId="44" fontId="0" fillId="0" borderId="3" xfId="1" applyFont="1" applyBorder="1"/>
    <xf numFmtId="44" fontId="0" fillId="0" borderId="46" xfId="1" applyFont="1" applyBorder="1"/>
    <xf numFmtId="0" fontId="0" fillId="0" borderId="3" xfId="0" applyBorder="1"/>
    <xf numFmtId="0" fontId="0" fillId="0" borderId="46" xfId="0" applyBorder="1"/>
    <xf numFmtId="44" fontId="0" fillId="0" borderId="50" xfId="1" applyFont="1" applyBorder="1"/>
    <xf numFmtId="44" fontId="0" fillId="0" borderId="19" xfId="1" applyFont="1" applyBorder="1"/>
    <xf numFmtId="44" fontId="0" fillId="0" borderId="51" xfId="1" applyFont="1" applyBorder="1"/>
    <xf numFmtId="44" fontId="28" fillId="0" borderId="3" xfId="1" applyFont="1" applyBorder="1"/>
    <xf numFmtId="44" fontId="28" fillId="0" borderId="0" xfId="1" applyFont="1" applyBorder="1"/>
    <xf numFmtId="44" fontId="28" fillId="0" borderId="46" xfId="1" applyFont="1" applyBorder="1"/>
    <xf numFmtId="44" fontId="28" fillId="0" borderId="19" xfId="1" applyFont="1" applyBorder="1"/>
    <xf numFmtId="0" fontId="0" fillId="0" borderId="19" xfId="0" applyBorder="1" applyAlignment="1">
      <alignment horizontal="center"/>
    </xf>
    <xf numFmtId="44" fontId="28" fillId="0" borderId="1" xfId="1" applyFont="1" applyBorder="1"/>
    <xf numFmtId="0" fontId="0" fillId="0" borderId="49" xfId="0" applyBorder="1" applyAlignment="1">
      <alignment horizontal="center"/>
    </xf>
    <xf numFmtId="44" fontId="0" fillId="0" borderId="4" xfId="1" applyFont="1" applyBorder="1"/>
    <xf numFmtId="44" fontId="0" fillId="0" borderId="11" xfId="1" applyFont="1" applyBorder="1"/>
    <xf numFmtId="44" fontId="0" fillId="0" borderId="15" xfId="1" applyFont="1" applyBorder="1"/>
    <xf numFmtId="44" fontId="0" fillId="0" borderId="49" xfId="1" applyFont="1" applyBorder="1"/>
    <xf numFmtId="165" fontId="0" fillId="0" borderId="0" xfId="0" quotePrefix="1" applyNumberFormat="1"/>
    <xf numFmtId="15" fontId="0" fillId="9" borderId="3" xfId="1" applyNumberFormat="1" applyFont="1" applyFill="1" applyBorder="1"/>
    <xf numFmtId="15" fontId="0" fillId="9" borderId="0" xfId="1" applyNumberFormat="1" applyFont="1" applyFill="1" applyBorder="1"/>
    <xf numFmtId="15" fontId="0" fillId="9" borderId="46" xfId="1" applyNumberFormat="1" applyFont="1" applyFill="1" applyBorder="1"/>
    <xf numFmtId="15" fontId="0" fillId="9" borderId="0" xfId="1" applyNumberFormat="1" applyFont="1" applyFill="1"/>
    <xf numFmtId="15" fontId="0" fillId="9" borderId="3" xfId="0" applyNumberFormat="1" applyFill="1" applyBorder="1"/>
    <xf numFmtId="15" fontId="0" fillId="9" borderId="0" xfId="0" applyNumberFormat="1" applyFill="1"/>
    <xf numFmtId="15" fontId="0" fillId="9" borderId="46" xfId="0" applyNumberFormat="1" applyFill="1" applyBorder="1"/>
    <xf numFmtId="44" fontId="0" fillId="0" borderId="52" xfId="1" applyFont="1" applyBorder="1"/>
    <xf numFmtId="44" fontId="0" fillId="0" borderId="8" xfId="1" applyFont="1" applyBorder="1"/>
    <xf numFmtId="44" fontId="0" fillId="0" borderId="45" xfId="1" applyFont="1" applyBorder="1"/>
    <xf numFmtId="44" fontId="0" fillId="0" borderId="5" xfId="1" applyFont="1" applyBorder="1"/>
    <xf numFmtId="44" fontId="0" fillId="0" borderId="6" xfId="1" applyFont="1" applyBorder="1"/>
    <xf numFmtId="44" fontId="0" fillId="0" borderId="30" xfId="1" applyFont="1" applyBorder="1"/>
    <xf numFmtId="15" fontId="0" fillId="9" borderId="23" xfId="0" applyNumberFormat="1" applyFill="1" applyBorder="1"/>
    <xf numFmtId="15" fontId="0" fillId="9" borderId="42" xfId="0" applyNumberFormat="1" applyFill="1" applyBorder="1"/>
    <xf numFmtId="15" fontId="0" fillId="9" borderId="43" xfId="0" applyNumberFormat="1" applyFill="1" applyBorder="1"/>
    <xf numFmtId="44" fontId="28" fillId="0" borderId="0" xfId="1" applyFont="1" applyFill="1" applyBorder="1"/>
    <xf numFmtId="186" fontId="0" fillId="0" borderId="0" xfId="0" applyNumberFormat="1"/>
    <xf numFmtId="186" fontId="0" fillId="0" borderId="46" xfId="0" applyNumberFormat="1" applyBorder="1"/>
    <xf numFmtId="0" fontId="28" fillId="0" borderId="3" xfId="0" applyFont="1" applyBorder="1"/>
    <xf numFmtId="0" fontId="28" fillId="0" borderId="46" xfId="0" applyFont="1" applyBorder="1"/>
    <xf numFmtId="0" fontId="0" fillId="10" borderId="3" xfId="0" applyFill="1" applyBorder="1"/>
    <xf numFmtId="0" fontId="0" fillId="10" borderId="0" xfId="0" applyFill="1"/>
    <xf numFmtId="0" fontId="0" fillId="10" borderId="46" xfId="0" applyFill="1" applyBorder="1"/>
    <xf numFmtId="0" fontId="0" fillId="2" borderId="3" xfId="0" applyFill="1" applyBorder="1"/>
    <xf numFmtId="0" fontId="0" fillId="2" borderId="46" xfId="0" applyFill="1" applyBorder="1"/>
    <xf numFmtId="0" fontId="0" fillId="0" borderId="25" xfId="0" applyBorder="1"/>
    <xf numFmtId="0" fontId="0" fillId="0" borderId="47" xfId="0" applyBorder="1"/>
    <xf numFmtId="0" fontId="0" fillId="0" borderId="48" xfId="0" applyBorder="1"/>
    <xf numFmtId="2" fontId="0" fillId="0" borderId="0" xfId="0" applyNumberFormat="1"/>
    <xf numFmtId="0" fontId="23" fillId="0" borderId="0" xfId="0" applyFont="1" applyProtection="1">
      <protection locked="0"/>
    </xf>
    <xf numFmtId="44" fontId="23" fillId="0" borderId="0" xfId="2" applyFont="1" applyAlignment="1" applyProtection="1">
      <alignment horizontal="center"/>
      <protection locked="0"/>
    </xf>
    <xf numFmtId="44" fontId="23" fillId="0" borderId="0" xfId="1" applyFont="1" applyAlignment="1" applyProtection="1">
      <alignment horizontal="center" vertical="center"/>
      <protection locked="0"/>
    </xf>
    <xf numFmtId="8" fontId="0" fillId="0" borderId="0" xfId="0" applyNumberFormat="1" applyProtection="1">
      <protection locked="0"/>
    </xf>
    <xf numFmtId="173" fontId="58" fillId="0" borderId="4" xfId="0" applyNumberFormat="1" applyFont="1" applyBorder="1" applyAlignment="1" applyProtection="1">
      <alignment horizontal="left" wrapText="1"/>
      <protection hidden="1"/>
    </xf>
    <xf numFmtId="10" fontId="3" fillId="0" borderId="0" xfId="0" applyNumberFormat="1" applyFont="1" applyProtection="1">
      <protection hidden="1"/>
    </xf>
    <xf numFmtId="44" fontId="0" fillId="2" borderId="0" xfId="1" applyFont="1" applyFill="1" applyProtection="1">
      <protection locked="0"/>
    </xf>
    <xf numFmtId="44" fontId="1" fillId="2" borderId="0" xfId="1" applyFont="1" applyFill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alignment horizontal="right"/>
      <protection locked="0"/>
    </xf>
    <xf numFmtId="0" fontId="28" fillId="0" borderId="0" xfId="0" applyFont="1" applyProtection="1">
      <protection hidden="1"/>
    </xf>
    <xf numFmtId="44" fontId="1" fillId="0" borderId="0" xfId="1" applyFont="1" applyProtection="1">
      <protection hidden="1"/>
    </xf>
    <xf numFmtId="0" fontId="28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23" xfId="0" applyBorder="1" applyProtection="1">
      <protection hidden="1"/>
    </xf>
    <xf numFmtId="0" fontId="0" fillId="0" borderId="42" xfId="0" applyBorder="1" applyProtection="1">
      <protection hidden="1"/>
    </xf>
    <xf numFmtId="0" fontId="0" fillId="0" borderId="42" xfId="0" applyBorder="1" applyAlignment="1" applyProtection="1">
      <alignment horizontal="center"/>
      <protection hidden="1"/>
    </xf>
    <xf numFmtId="0" fontId="0" fillId="0" borderId="43" xfId="0" applyBorder="1" applyProtection="1">
      <protection hidden="1"/>
    </xf>
    <xf numFmtId="0" fontId="0" fillId="0" borderId="3" xfId="0" applyBorder="1" applyProtection="1">
      <protection hidden="1"/>
    </xf>
    <xf numFmtId="44" fontId="0" fillId="0" borderId="0" xfId="1" applyFont="1" applyBorder="1" applyProtection="1">
      <protection hidden="1"/>
    </xf>
    <xf numFmtId="0" fontId="0" fillId="0" borderId="46" xfId="0" applyBorder="1" applyProtection="1">
      <protection hidden="1"/>
    </xf>
    <xf numFmtId="0" fontId="0" fillId="11" borderId="0" xfId="0" applyFill="1" applyProtection="1">
      <protection hidden="1"/>
    </xf>
    <xf numFmtId="44" fontId="0" fillId="11" borderId="0" xfId="1" applyFont="1" applyFill="1" applyBorder="1" applyProtection="1">
      <protection hidden="1"/>
    </xf>
    <xf numFmtId="44" fontId="0" fillId="11" borderId="0" xfId="0" applyNumberFormat="1" applyFill="1" applyProtection="1">
      <protection hidden="1"/>
    </xf>
    <xf numFmtId="0" fontId="0" fillId="12" borderId="0" xfId="0" applyFill="1" applyProtection="1">
      <protection hidden="1"/>
    </xf>
    <xf numFmtId="44" fontId="0" fillId="12" borderId="0" xfId="1" applyFont="1" applyFill="1" applyBorder="1" applyProtection="1">
      <protection hidden="1"/>
    </xf>
    <xf numFmtId="44" fontId="0" fillId="12" borderId="0" xfId="0" applyNumberFormat="1" applyFill="1" applyProtection="1">
      <protection hidden="1"/>
    </xf>
    <xf numFmtId="44" fontId="0" fillId="0" borderId="1" xfId="0" applyNumberFormat="1" applyBorder="1" applyProtection="1">
      <protection hidden="1"/>
    </xf>
    <xf numFmtId="0" fontId="0" fillId="0" borderId="1" xfId="0" applyBorder="1" applyProtection="1">
      <protection hidden="1"/>
    </xf>
    <xf numFmtId="44" fontId="0" fillId="0" borderId="1" xfId="1" applyFont="1" applyFill="1" applyBorder="1" applyProtection="1">
      <protection hidden="1"/>
    </xf>
    <xf numFmtId="10" fontId="0" fillId="0" borderId="0" xfId="0" applyNumberFormat="1" applyProtection="1">
      <protection hidden="1"/>
    </xf>
    <xf numFmtId="0" fontId="28" fillId="0" borderId="1" xfId="0" applyFont="1" applyBorder="1" applyProtection="1">
      <protection hidden="1"/>
    </xf>
    <xf numFmtId="0" fontId="0" fillId="11" borderId="1" xfId="0" applyFill="1" applyBorder="1" applyProtection="1">
      <protection hidden="1"/>
    </xf>
    <xf numFmtId="0" fontId="0" fillId="0" borderId="25" xfId="0" applyBorder="1" applyProtection="1">
      <protection hidden="1"/>
    </xf>
    <xf numFmtId="0" fontId="0" fillId="0" borderId="47" xfId="0" applyBorder="1" applyProtection="1">
      <protection hidden="1"/>
    </xf>
    <xf numFmtId="0" fontId="0" fillId="0" borderId="48" xfId="0" applyBorder="1" applyProtection="1">
      <protection hidden="1"/>
    </xf>
    <xf numFmtId="14" fontId="0" fillId="0" borderId="42" xfId="0" applyNumberFormat="1" applyBorder="1" applyAlignment="1" applyProtection="1">
      <alignment horizontal="center"/>
      <protection hidden="1"/>
    </xf>
    <xf numFmtId="0" fontId="59" fillId="2" borderId="2" xfId="0" applyFont="1" applyFill="1" applyBorder="1" applyAlignment="1" applyProtection="1">
      <alignment horizontal="center" vertical="center"/>
      <protection hidden="1"/>
    </xf>
    <xf numFmtId="0" fontId="59" fillId="0" borderId="33" xfId="0" applyFont="1" applyBorder="1" applyAlignment="1" applyProtection="1">
      <alignment horizontal="center"/>
      <protection hidden="1"/>
    </xf>
    <xf numFmtId="49" fontId="24" fillId="0" borderId="51" xfId="0" applyNumberFormat="1" applyFont="1" applyBorder="1" applyAlignment="1" applyProtection="1">
      <alignment horizontal="center"/>
      <protection hidden="1"/>
    </xf>
    <xf numFmtId="0" fontId="28" fillId="0" borderId="23" xfId="0" applyFont="1" applyBorder="1" applyProtection="1">
      <protection hidden="1"/>
    </xf>
    <xf numFmtId="44" fontId="28" fillId="13" borderId="43" xfId="0" applyNumberFormat="1" applyFont="1" applyFill="1" applyBorder="1" applyProtection="1">
      <protection hidden="1"/>
    </xf>
    <xf numFmtId="0" fontId="28" fillId="0" borderId="3" xfId="0" applyFont="1" applyBorder="1" applyProtection="1">
      <protection hidden="1"/>
    </xf>
    <xf numFmtId="10" fontId="28" fillId="13" borderId="46" xfId="4" applyNumberFormat="1" applyFont="1" applyFill="1" applyBorder="1" applyProtection="1">
      <protection hidden="1"/>
    </xf>
    <xf numFmtId="164" fontId="28" fillId="13" borderId="46" xfId="0" applyNumberFormat="1" applyFont="1" applyFill="1" applyBorder="1" applyProtection="1">
      <protection hidden="1"/>
    </xf>
    <xf numFmtId="44" fontId="28" fillId="13" borderId="46" xfId="0" applyNumberFormat="1" applyFont="1" applyFill="1" applyBorder="1" applyProtection="1">
      <protection hidden="1"/>
    </xf>
    <xf numFmtId="0" fontId="28" fillId="0" borderId="25" xfId="0" applyFont="1" applyBorder="1" applyProtection="1">
      <protection hidden="1"/>
    </xf>
    <xf numFmtId="44" fontId="28" fillId="13" borderId="48" xfId="0" applyNumberFormat="1" applyFont="1" applyFill="1" applyBorder="1" applyProtection="1">
      <protection hidden="1"/>
    </xf>
    <xf numFmtId="44" fontId="28" fillId="2" borderId="43" xfId="1" applyFont="1" applyFill="1" applyBorder="1" applyProtection="1">
      <protection hidden="1"/>
    </xf>
    <xf numFmtId="44" fontId="28" fillId="13" borderId="46" xfId="1" applyFont="1" applyFill="1" applyBorder="1" applyProtection="1">
      <protection hidden="1"/>
    </xf>
    <xf numFmtId="0" fontId="61" fillId="9" borderId="44" xfId="0" applyFont="1" applyFill="1" applyBorder="1" applyProtection="1">
      <protection hidden="1"/>
    </xf>
    <xf numFmtId="10" fontId="61" fillId="9" borderId="2" xfId="4" applyNumberFormat="1" applyFont="1" applyFill="1" applyBorder="1" applyProtection="1">
      <protection hidden="1"/>
    </xf>
    <xf numFmtId="10" fontId="28" fillId="2" borderId="43" xfId="4" applyNumberFormat="1" applyFont="1" applyFill="1" applyBorder="1" applyProtection="1">
      <protection hidden="1"/>
    </xf>
    <xf numFmtId="10" fontId="28" fillId="13" borderId="48" xfId="4" applyNumberFormat="1" applyFont="1" applyFill="1" applyBorder="1" applyProtection="1">
      <protection hidden="1"/>
    </xf>
    <xf numFmtId="10" fontId="28" fillId="13" borderId="43" xfId="4" applyNumberFormat="1" applyFont="1" applyFill="1" applyBorder="1" applyProtection="1">
      <protection hidden="1"/>
    </xf>
    <xf numFmtId="0" fontId="60" fillId="0" borderId="3" xfId="0" applyFont="1" applyBorder="1" applyProtection="1">
      <protection hidden="1"/>
    </xf>
    <xf numFmtId="10" fontId="3" fillId="0" borderId="46" xfId="0" applyNumberFormat="1" applyFont="1" applyBorder="1" applyProtection="1">
      <protection hidden="1"/>
    </xf>
    <xf numFmtId="0" fontId="0" fillId="0" borderId="0" xfId="0" applyProtection="1">
      <protection locked="0" hidden="1"/>
    </xf>
    <xf numFmtId="0" fontId="0" fillId="0" borderId="46" xfId="0" applyBorder="1" applyProtection="1">
      <protection locked="0" hidden="1"/>
    </xf>
    <xf numFmtId="164" fontId="24" fillId="0" borderId="0" xfId="0" applyNumberFormat="1" applyFont="1" applyAlignment="1" applyProtection="1">
      <alignment horizontal="right"/>
      <protection locked="0" hidden="1"/>
    </xf>
    <xf numFmtId="0" fontId="0" fillId="0" borderId="3" xfId="0" applyBorder="1" applyProtection="1">
      <protection locked="0" hidden="1"/>
    </xf>
    <xf numFmtId="44" fontId="28" fillId="0" borderId="0" xfId="0" applyNumberFormat="1" applyFont="1" applyProtection="1">
      <protection hidden="1"/>
    </xf>
    <xf numFmtId="0" fontId="0" fillId="0" borderId="46" xfId="0" applyBorder="1" applyProtection="1">
      <protection locked="0"/>
    </xf>
    <xf numFmtId="0" fontId="0" fillId="0" borderId="25" xfId="0" applyBorder="1" applyProtection="1">
      <protection locked="0" hidden="1"/>
    </xf>
    <xf numFmtId="0" fontId="0" fillId="0" borderId="48" xfId="0" applyBorder="1" applyProtection="1">
      <protection locked="0"/>
    </xf>
    <xf numFmtId="10" fontId="28" fillId="15" borderId="28" xfId="4" applyNumberFormat="1" applyFont="1" applyFill="1" applyBorder="1"/>
    <xf numFmtId="10" fontId="28" fillId="0" borderId="29" xfId="4" applyNumberFormat="1" applyFont="1" applyBorder="1"/>
    <xf numFmtId="10" fontId="28" fillId="7" borderId="29" xfId="4" applyNumberFormat="1" applyFont="1" applyFill="1" applyBorder="1"/>
    <xf numFmtId="10" fontId="28" fillId="0" borderId="54" xfId="4" applyNumberFormat="1" applyFont="1" applyBorder="1"/>
    <xf numFmtId="10" fontId="28" fillId="0" borderId="55" xfId="4" applyNumberFormat="1" applyFont="1" applyBorder="1"/>
    <xf numFmtId="10" fontId="28" fillId="0" borderId="56" xfId="4" applyNumberFormat="1" applyFont="1" applyBorder="1"/>
    <xf numFmtId="10" fontId="28" fillId="2" borderId="22" xfId="4" applyNumberFormat="1" applyFont="1" applyFill="1" applyBorder="1"/>
    <xf numFmtId="10" fontId="28" fillId="0" borderId="46" xfId="4" applyNumberFormat="1" applyFont="1" applyBorder="1"/>
    <xf numFmtId="10" fontId="28" fillId="0" borderId="24" xfId="4" applyNumberFormat="1" applyFont="1" applyBorder="1"/>
    <xf numFmtId="10" fontId="28" fillId="0" borderId="32" xfId="4" applyNumberFormat="1" applyFont="1" applyFill="1" applyBorder="1"/>
    <xf numFmtId="10" fontId="28" fillId="0" borderId="54" xfId="4" applyNumberFormat="1" applyFont="1" applyFill="1" applyBorder="1"/>
    <xf numFmtId="10" fontId="28" fillId="0" borderId="0" xfId="4" applyNumberFormat="1" applyFont="1" applyFill="1" applyBorder="1"/>
    <xf numFmtId="49" fontId="63" fillId="0" borderId="1" xfId="0" applyNumberFormat="1" applyFont="1" applyBorder="1" applyProtection="1">
      <protection hidden="1"/>
    </xf>
    <xf numFmtId="0" fontId="59" fillId="0" borderId="2" xfId="0" applyFont="1" applyBorder="1" applyAlignment="1" applyProtection="1">
      <alignment horizontal="center" vertical="center"/>
      <protection hidden="1"/>
    </xf>
    <xf numFmtId="164" fontId="47" fillId="0" borderId="20" xfId="0" applyNumberFormat="1" applyFont="1" applyBorder="1" applyProtection="1">
      <protection hidden="1"/>
    </xf>
    <xf numFmtId="10" fontId="47" fillId="0" borderId="53" xfId="4" applyNumberFormat="1" applyFont="1" applyBorder="1" applyProtection="1">
      <protection hidden="1"/>
    </xf>
    <xf numFmtId="164" fontId="48" fillId="0" borderId="44" xfId="0" applyNumberFormat="1" applyFont="1" applyBorder="1" applyProtection="1">
      <protection hidden="1"/>
    </xf>
    <xf numFmtId="10" fontId="48" fillId="0" borderId="33" xfId="4" applyNumberFormat="1" applyFont="1" applyBorder="1" applyProtection="1">
      <protection hidden="1"/>
    </xf>
    <xf numFmtId="44" fontId="28" fillId="0" borderId="2" xfId="0" applyNumberFormat="1" applyFont="1" applyBorder="1" applyProtection="1">
      <protection hidden="1"/>
    </xf>
    <xf numFmtId="0" fontId="28" fillId="0" borderId="46" xfId="0" applyFont="1" applyBorder="1" applyProtection="1">
      <protection hidden="1"/>
    </xf>
    <xf numFmtId="164" fontId="24" fillId="0" borderId="0" xfId="0" applyNumberFormat="1" applyFont="1" applyAlignment="1" applyProtection="1">
      <alignment horizontal="right"/>
      <protection hidden="1"/>
    </xf>
    <xf numFmtId="44" fontId="28" fillId="0" borderId="2" xfId="1" applyFont="1" applyBorder="1" applyProtection="1">
      <protection hidden="1"/>
    </xf>
    <xf numFmtId="0" fontId="0" fillId="0" borderId="3" xfId="0" applyBorder="1" applyProtection="1">
      <protection locked="0"/>
    </xf>
    <xf numFmtId="0" fontId="28" fillId="0" borderId="46" xfId="0" applyFont="1" applyBorder="1" applyProtection="1">
      <protection locked="0"/>
    </xf>
    <xf numFmtId="10" fontId="28" fillId="2" borderId="43" xfId="4" applyNumberFormat="1" applyFont="1" applyFill="1" applyBorder="1" applyProtection="1">
      <protection locked="0"/>
    </xf>
    <xf numFmtId="167" fontId="3" fillId="0" borderId="0" xfId="0" applyNumberFormat="1" applyFont="1" applyProtection="1">
      <protection locked="0"/>
    </xf>
    <xf numFmtId="0" fontId="0" fillId="0" borderId="25" xfId="0" applyBorder="1" applyProtection="1">
      <protection locked="0"/>
    </xf>
    <xf numFmtId="0" fontId="0" fillId="0" borderId="47" xfId="0" applyBorder="1" applyProtection="1">
      <protection locked="0"/>
    </xf>
    <xf numFmtId="44" fontId="0" fillId="0" borderId="0" xfId="0" applyNumberFormat="1" applyProtection="1">
      <protection locked="0" hidden="1"/>
    </xf>
    <xf numFmtId="0" fontId="0" fillId="0" borderId="48" xfId="0" applyBorder="1" applyProtection="1">
      <protection locked="0" hidden="1"/>
    </xf>
    <xf numFmtId="0" fontId="59" fillId="2" borderId="2" xfId="0" applyFont="1" applyFill="1" applyBorder="1" applyAlignment="1" applyProtection="1">
      <alignment horizontal="center" vertical="center"/>
      <protection locked="0"/>
    </xf>
    <xf numFmtId="44" fontId="0" fillId="0" borderId="0" xfId="1" applyFont="1" applyFill="1" applyBorder="1" applyProtection="1"/>
    <xf numFmtId="1" fontId="0" fillId="0" borderId="0" xfId="1" applyNumberFormat="1" applyFont="1" applyFill="1" applyBorder="1" applyAlignment="1" applyProtection="1">
      <alignment horizontal="center"/>
    </xf>
    <xf numFmtId="44" fontId="24" fillId="0" borderId="2" xfId="0" applyNumberFormat="1" applyFont="1" applyBorder="1" applyProtection="1">
      <protection hidden="1"/>
    </xf>
    <xf numFmtId="44" fontId="28" fillId="2" borderId="43" xfId="1" applyFont="1" applyFill="1" applyBorder="1" applyProtection="1">
      <protection locked="0"/>
    </xf>
    <xf numFmtId="44" fontId="28" fillId="2" borderId="46" xfId="1" applyFont="1" applyFill="1" applyBorder="1" applyProtection="1">
      <protection locked="0"/>
    </xf>
    <xf numFmtId="44" fontId="58" fillId="0" borderId="11" xfId="0" applyNumberFormat="1" applyFont="1" applyBorder="1" applyProtection="1">
      <protection hidden="1"/>
    </xf>
    <xf numFmtId="0" fontId="25" fillId="0" borderId="50" xfId="0" applyFont="1" applyBorder="1" applyAlignment="1" applyProtection="1">
      <alignment horizontal="left"/>
      <protection hidden="1"/>
    </xf>
    <xf numFmtId="0" fontId="3" fillId="0" borderId="0" xfId="0" applyFont="1" applyAlignment="1" applyProtection="1">
      <alignment horizontal="center"/>
      <protection locked="0"/>
    </xf>
    <xf numFmtId="44" fontId="62" fillId="2" borderId="0" xfId="1" applyFont="1" applyFill="1" applyProtection="1">
      <protection locked="0"/>
    </xf>
    <xf numFmtId="44" fontId="0" fillId="0" borderId="0" xfId="1" applyFont="1" applyProtection="1"/>
    <xf numFmtId="8" fontId="3" fillId="0" borderId="0" xfId="0" applyNumberFormat="1" applyFont="1" applyProtection="1">
      <protection locked="0"/>
    </xf>
    <xf numFmtId="44" fontId="3" fillId="0" borderId="0" xfId="0" applyNumberFormat="1" applyFont="1" applyProtection="1">
      <protection locked="0"/>
    </xf>
    <xf numFmtId="0" fontId="28" fillId="0" borderId="0" xfId="0" applyFont="1" applyAlignment="1" applyProtection="1">
      <alignment horizontal="right" wrapText="1"/>
      <protection hidden="1"/>
    </xf>
    <xf numFmtId="44" fontId="0" fillId="0" borderId="2" xfId="1" applyFont="1" applyBorder="1" applyProtection="1">
      <protection hidden="1"/>
    </xf>
    <xf numFmtId="44" fontId="0" fillId="14" borderId="2" xfId="0" applyNumberFormat="1" applyFill="1" applyBorder="1" applyProtection="1">
      <protection hidden="1"/>
    </xf>
    <xf numFmtId="0" fontId="0" fillId="0" borderId="0" xfId="0" quotePrefix="1" applyProtection="1">
      <protection locked="0"/>
    </xf>
    <xf numFmtId="173" fontId="58" fillId="5" borderId="4" xfId="0" applyNumberFormat="1" applyFont="1" applyFill="1" applyBorder="1" applyAlignment="1" applyProtection="1">
      <alignment horizontal="left" wrapText="1"/>
      <protection hidden="1"/>
    </xf>
    <xf numFmtId="10" fontId="28" fillId="2" borderId="46" xfId="4" applyNumberFormat="1" applyFont="1" applyFill="1" applyBorder="1" applyProtection="1">
      <protection hidden="1"/>
    </xf>
    <xf numFmtId="44" fontId="28" fillId="5" borderId="46" xfId="1" applyFont="1" applyFill="1" applyBorder="1" applyProtection="1">
      <protection hidden="1"/>
    </xf>
    <xf numFmtId="44" fontId="28" fillId="0" borderId="46" xfId="1" applyFont="1" applyFill="1" applyBorder="1" applyProtection="1">
      <protection hidden="1"/>
    </xf>
    <xf numFmtId="44" fontId="28" fillId="13" borderId="2" xfId="1" applyFont="1" applyFill="1" applyBorder="1" applyProtection="1">
      <protection hidden="1"/>
    </xf>
    <xf numFmtId="0" fontId="64" fillId="9" borderId="44" xfId="0" applyFont="1" applyFill="1" applyBorder="1" applyProtection="1">
      <protection hidden="1"/>
    </xf>
    <xf numFmtId="10" fontId="64" fillId="9" borderId="2" xfId="4" applyNumberFormat="1" applyFont="1" applyFill="1" applyBorder="1" applyProtection="1">
      <protection hidden="1"/>
    </xf>
    <xf numFmtId="10" fontId="28" fillId="11" borderId="46" xfId="4" applyNumberFormat="1" applyFont="1" applyFill="1" applyBorder="1" applyProtection="1">
      <protection hidden="1"/>
    </xf>
    <xf numFmtId="44" fontId="58" fillId="5" borderId="11" xfId="0" applyNumberFormat="1" applyFont="1" applyFill="1" applyBorder="1" applyProtection="1">
      <protection hidden="1"/>
    </xf>
    <xf numFmtId="44" fontId="47" fillId="0" borderId="20" xfId="0" applyNumberFormat="1" applyFont="1" applyBorder="1" applyProtection="1">
      <protection hidden="1"/>
    </xf>
    <xf numFmtId="44" fontId="48" fillId="0" borderId="44" xfId="0" applyNumberFormat="1" applyFont="1" applyBorder="1" applyProtection="1">
      <protection hidden="1"/>
    </xf>
    <xf numFmtId="44" fontId="47" fillId="5" borderId="20" xfId="0" applyNumberFormat="1" applyFont="1" applyFill="1" applyBorder="1" applyProtection="1">
      <protection hidden="1"/>
    </xf>
    <xf numFmtId="0" fontId="4" fillId="0" borderId="2" xfId="0" applyFont="1" applyBorder="1" applyProtection="1">
      <protection hidden="1"/>
    </xf>
    <xf numFmtId="44" fontId="58" fillId="0" borderId="45" xfId="0" applyNumberFormat="1" applyFont="1" applyBorder="1" applyProtection="1">
      <protection hidden="1"/>
    </xf>
    <xf numFmtId="44" fontId="58" fillId="0" borderId="2" xfId="0" applyNumberFormat="1" applyFont="1" applyBorder="1" applyProtection="1">
      <protection hidden="1"/>
    </xf>
    <xf numFmtId="0" fontId="65" fillId="10" borderId="23" xfId="0" applyFont="1" applyFill="1" applyBorder="1" applyProtection="1">
      <protection hidden="1"/>
    </xf>
    <xf numFmtId="44" fontId="28" fillId="0" borderId="43" xfId="0" applyNumberFormat="1" applyFont="1" applyBorder="1" applyProtection="1">
      <protection hidden="1"/>
    </xf>
    <xf numFmtId="10" fontId="28" fillId="0" borderId="46" xfId="4" applyNumberFormat="1" applyFont="1" applyFill="1" applyBorder="1" applyProtection="1">
      <protection hidden="1"/>
    </xf>
    <xf numFmtId="164" fontId="28" fillId="0" borderId="46" xfId="0" applyNumberFormat="1" applyFont="1" applyBorder="1" applyProtection="1">
      <protection hidden="1"/>
    </xf>
    <xf numFmtId="44" fontId="28" fillId="0" borderId="46" xfId="0" applyNumberFormat="1" applyFont="1" applyBorder="1" applyProtection="1">
      <protection hidden="1"/>
    </xf>
    <xf numFmtId="44" fontId="28" fillId="0" borderId="48" xfId="0" applyNumberFormat="1" applyFont="1" applyBorder="1" applyProtection="1">
      <protection hidden="1"/>
    </xf>
    <xf numFmtId="44" fontId="28" fillId="0" borderId="43" xfId="1" applyFont="1" applyFill="1" applyBorder="1" applyProtection="1">
      <protection hidden="1"/>
    </xf>
    <xf numFmtId="44" fontId="28" fillId="0" borderId="2" xfId="1" applyFont="1" applyFill="1" applyBorder="1" applyProtection="1">
      <protection hidden="1"/>
    </xf>
    <xf numFmtId="10" fontId="28" fillId="0" borderId="43" xfId="4" applyNumberFormat="1" applyFont="1" applyFill="1" applyBorder="1" applyProtection="1">
      <protection hidden="1"/>
    </xf>
    <xf numFmtId="10" fontId="28" fillId="0" borderId="48" xfId="4" applyNumberFormat="1" applyFont="1" applyFill="1" applyBorder="1" applyProtection="1">
      <protection hidden="1"/>
    </xf>
    <xf numFmtId="0" fontId="59" fillId="0" borderId="33" xfId="0" applyFont="1" applyBorder="1" applyAlignment="1" applyProtection="1">
      <alignment horizontal="center"/>
      <protection locked="0"/>
    </xf>
    <xf numFmtId="49" fontId="24" fillId="0" borderId="51" xfId="0" applyNumberFormat="1" applyFont="1" applyBorder="1" applyAlignment="1" applyProtection="1">
      <alignment horizontal="center"/>
      <protection locked="0"/>
    </xf>
    <xf numFmtId="44" fontId="58" fillId="5" borderId="11" xfId="0" applyNumberFormat="1" applyFont="1" applyFill="1" applyBorder="1" applyProtection="1">
      <protection locked="0"/>
    </xf>
    <xf numFmtId="10" fontId="28" fillId="2" borderId="46" xfId="4" applyNumberFormat="1" applyFont="1" applyFill="1" applyBorder="1" applyProtection="1">
      <protection locked="0"/>
    </xf>
    <xf numFmtId="44" fontId="28" fillId="5" borderId="46" xfId="1" applyFont="1" applyFill="1" applyBorder="1" applyProtection="1">
      <protection locked="0"/>
    </xf>
    <xf numFmtId="44" fontId="0" fillId="0" borderId="0" xfId="1" applyFont="1" applyProtection="1">
      <protection locked="0" hidden="1"/>
    </xf>
    <xf numFmtId="0" fontId="28" fillId="5" borderId="3" xfId="0" applyFont="1" applyFill="1" applyBorder="1" applyProtection="1">
      <protection hidden="1"/>
    </xf>
    <xf numFmtId="44" fontId="47" fillId="5" borderId="20" xfId="0" applyNumberFormat="1" applyFont="1" applyFill="1" applyBorder="1" applyProtection="1">
      <protection locked="0" hidden="1"/>
    </xf>
    <xf numFmtId="1" fontId="0" fillId="0" borderId="3" xfId="1" applyNumberFormat="1" applyFont="1" applyBorder="1" applyAlignment="1">
      <alignment horizontal="center"/>
    </xf>
    <xf numFmtId="0" fontId="66" fillId="0" borderId="0" xfId="0" applyFont="1" applyProtection="1">
      <protection locked="0"/>
    </xf>
    <xf numFmtId="9" fontId="43" fillId="0" borderId="0" xfId="0" applyNumberFormat="1" applyFont="1" applyProtection="1">
      <protection locked="0"/>
    </xf>
    <xf numFmtId="8" fontId="0" fillId="2" borderId="0" xfId="1" applyNumberFormat="1" applyFont="1" applyFill="1" applyProtection="1">
      <protection locked="0"/>
    </xf>
    <xf numFmtId="1" fontId="28" fillId="0" borderId="3" xfId="1" applyNumberFormat="1" applyFont="1" applyBorder="1" applyAlignment="1">
      <alignment horizontal="center"/>
    </xf>
    <xf numFmtId="1" fontId="28" fillId="0" borderId="3" xfId="0" applyNumberFormat="1" applyFont="1" applyBorder="1" applyAlignment="1">
      <alignment horizontal="center"/>
    </xf>
    <xf numFmtId="1" fontId="28" fillId="0" borderId="0" xfId="0" applyNumberFormat="1" applyFont="1" applyAlignment="1">
      <alignment horizontal="center"/>
    </xf>
    <xf numFmtId="1" fontId="28" fillId="0" borderId="0" xfId="1" applyNumberFormat="1" applyFont="1" applyAlignment="1">
      <alignment horizontal="center"/>
    </xf>
    <xf numFmtId="0" fontId="28" fillId="0" borderId="3" xfId="0" applyFont="1" applyBorder="1" applyAlignment="1">
      <alignment horizontal="center"/>
    </xf>
    <xf numFmtId="49" fontId="7" fillId="2" borderId="1" xfId="0" applyNumberFormat="1" applyFont="1" applyFill="1" applyBorder="1" applyProtection="1">
      <protection locked="0"/>
    </xf>
    <xf numFmtId="44" fontId="43" fillId="2" borderId="0" xfId="1" applyFont="1" applyFill="1" applyProtection="1">
      <protection locked="0"/>
    </xf>
    <xf numFmtId="44" fontId="28" fillId="0" borderId="0" xfId="1" applyFont="1" applyAlignment="1">
      <alignment vertical="center"/>
    </xf>
    <xf numFmtId="0" fontId="28" fillId="0" borderId="0" xfId="0" applyFont="1" applyAlignment="1">
      <alignment vertical="center"/>
    </xf>
    <xf numFmtId="44" fontId="56" fillId="0" borderId="0" xfId="1" applyFont="1" applyAlignment="1" applyProtection="1">
      <alignment horizontal="left" vertical="center"/>
      <protection locked="0"/>
    </xf>
    <xf numFmtId="0" fontId="22" fillId="0" borderId="0" xfId="3" applyAlignment="1">
      <alignment vertical="center"/>
    </xf>
    <xf numFmtId="44" fontId="28" fillId="0" borderId="0" xfId="0" applyNumberFormat="1" applyFont="1" applyAlignment="1">
      <alignment vertical="center"/>
    </xf>
    <xf numFmtId="0" fontId="0" fillId="0" borderId="49" xfId="0" applyBorder="1" applyAlignment="1" applyProtection="1">
      <alignment horizontal="left"/>
      <protection hidden="1"/>
    </xf>
    <xf numFmtId="0" fontId="0" fillId="0" borderId="15" xfId="0" applyBorder="1" applyAlignment="1" applyProtection="1">
      <alignment horizontal="left"/>
      <protection hidden="1"/>
    </xf>
    <xf numFmtId="43" fontId="0" fillId="0" borderId="0" xfId="0" applyNumberForma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center" vertical="center"/>
      <protection hidden="1"/>
    </xf>
    <xf numFmtId="0" fontId="20" fillId="0" borderId="3" xfId="0" applyFont="1" applyBorder="1" applyAlignment="1" applyProtection="1">
      <alignment horizontal="center"/>
      <protection hidden="1"/>
    </xf>
  </cellXfs>
  <cellStyles count="91">
    <cellStyle name="Comma 2" xfId="15" xr:uid="{81D5200E-3EDC-4499-9BEE-ECCB886B8396}"/>
    <cellStyle name="Comma 2 2" xfId="59" xr:uid="{3E63DAA2-EEA5-4508-8E64-82D62F8114CD}"/>
    <cellStyle name="Comma 3" xfId="16" xr:uid="{7CF4FAA2-36E0-46F8-BECE-D85BC3C6EF8F}"/>
    <cellStyle name="Comma 4" xfId="17" xr:uid="{42778CF5-2844-4C45-8497-58367EF1FF52}"/>
    <cellStyle name="Comma 5" xfId="23" xr:uid="{E06B29C9-340D-48C3-BA57-59941E1C1F24}"/>
    <cellStyle name="Comma 6" xfId="20" xr:uid="{5F247BFF-D518-4CF8-9CA3-17C6B48D9C42}"/>
    <cellStyle name="Currency" xfId="1" builtinId="4"/>
    <cellStyle name="Currency 2" xfId="25" xr:uid="{990CDBAE-2C61-4EF1-A02D-BD2CD112B05B}"/>
    <cellStyle name="Currency 2 2" xfId="10" xr:uid="{097B3F6F-28A9-45D9-8B31-2F8F12C9B714}"/>
    <cellStyle name="Currency 2 2 2" xfId="2" xr:uid="{85E699FA-C876-4D21-9F00-191E46C33541}"/>
    <cellStyle name="Currency 2 2 3" xfId="9" xr:uid="{8D6239E5-A173-48A1-888E-430127A2530F}"/>
    <cellStyle name="Currency 2 3" xfId="46" xr:uid="{96208B49-8E7A-443B-A659-8DB0A5A5A252}"/>
    <cellStyle name="Currency 2 4" xfId="52" xr:uid="{FAFE5793-A7B0-434F-BAF0-078BA5C58CF9}"/>
    <cellStyle name="Currency 2 4 2" xfId="67" xr:uid="{E0BA86E9-8637-4455-BEA3-CB4F6B066A96}"/>
    <cellStyle name="Currency 2 4 3" xfId="79" xr:uid="{DDB0EC0F-4DDE-4CE3-A47F-53DE1F90AA1A}"/>
    <cellStyle name="Currency 2 5" xfId="47" xr:uid="{B2809751-1514-4C02-A4AD-8E9855859D54}"/>
    <cellStyle name="Currency 3" xfId="29" xr:uid="{240B8BE6-A2C7-41F5-B748-023F7D1843CE}"/>
    <cellStyle name="Currency 3 2" xfId="54" xr:uid="{8F34EFC7-967F-491F-B14B-1C48D1BF5334}"/>
    <cellStyle name="Currency 3 2 2" xfId="69" xr:uid="{C516ECCE-D9E5-409C-8DE3-0CEF9D979434}"/>
    <cellStyle name="Currency 3 2 3" xfId="81" xr:uid="{B91EF835-C691-4F65-9471-E701D337340D}"/>
    <cellStyle name="Currency 3 3" xfId="63" xr:uid="{674EFA8D-47D3-49C5-B28D-E857D7CEE840}"/>
    <cellStyle name="Currency 3 4" xfId="49" xr:uid="{CB949026-931A-42D3-9BEF-7B767FE01AF4}"/>
    <cellStyle name="Currency 3 5" xfId="45" xr:uid="{AD557F6F-61F9-4939-BFC9-423E1F4FFB1A}"/>
    <cellStyle name="Currency 4" xfId="32" xr:uid="{57498331-187A-4BFE-95BA-43242BA8F4A2}"/>
    <cellStyle name="Currency 4 2" xfId="70" xr:uid="{77281625-F0F1-44D6-A2E4-969FC58B96DA}"/>
    <cellStyle name="Currency 4 3" xfId="82" xr:uid="{C3EA73A2-C60E-4E60-A493-C19788986154}"/>
    <cellStyle name="Currency 5" xfId="36" xr:uid="{EDB7A0E3-D51A-4EE3-BABA-D4D87A6EB160}"/>
    <cellStyle name="Currency 6" xfId="38" xr:uid="{F7C0C75A-3D68-4073-BEE6-EC6F88521C5D}"/>
    <cellStyle name="Currency 6 2" xfId="73" xr:uid="{3D5942E7-E1F9-4941-ABC5-7CE30CF63217}"/>
    <cellStyle name="Currency 6 3" xfId="85" xr:uid="{628D8692-F371-4502-A6AC-3ACDAF62BBB7}"/>
    <cellStyle name="Currency 7" xfId="40" xr:uid="{419A421C-9274-495B-9FCE-AEC4E67EA960}"/>
    <cellStyle name="Currency 7 2" xfId="75" xr:uid="{91A4FEDD-0DAC-4771-BC08-2ADC53143122}"/>
    <cellStyle name="Currency 7 3" xfId="87" xr:uid="{09BF7559-F733-4632-A9E6-942E26DB5124}"/>
    <cellStyle name="Hyperlink" xfId="7" builtinId="8"/>
    <cellStyle name="Hyperlink 2" xfId="42" xr:uid="{0EF260FF-CC20-4985-8A6F-A3834FF65DC3}"/>
    <cellStyle name="Normal" xfId="0" builtinId="0"/>
    <cellStyle name="Normal 10" xfId="39" xr:uid="{B0502345-A45F-4F77-8594-BFE85BED6C44}"/>
    <cellStyle name="Normal 10 2" xfId="74" xr:uid="{1DE6C204-3464-49E2-9944-358BB3D13688}"/>
    <cellStyle name="Normal 10 3" xfId="86" xr:uid="{3DB2E295-D3A1-4A0C-9ABA-C6516BC8B858}"/>
    <cellStyle name="Normal 11" xfId="14" xr:uid="{80E47AB4-31D3-4ABC-9161-742CAC2F2FF1}"/>
    <cellStyle name="Normal 11 2" xfId="41" xr:uid="{8453B54F-A3EB-4AF5-913D-2D8C1F39BD15}"/>
    <cellStyle name="Normal 12" xfId="90" xr:uid="{7749E411-7A60-4DD8-9D38-28902EE309FD}"/>
    <cellStyle name="Normal 2" xfId="3" xr:uid="{FB020071-66FD-4686-BA52-524329825976}"/>
    <cellStyle name="Normal 2 2" xfId="26" xr:uid="{3E2CEB77-C66C-4045-BB55-DDBEB921B479}"/>
    <cellStyle name="Normal 2 2 2" xfId="35" xr:uid="{AF1ECA4A-B820-4240-810E-CB61EE661198}"/>
    <cellStyle name="Normal 2 2 3" xfId="53" xr:uid="{4413723C-FB46-48D9-B562-C86334254A45}"/>
    <cellStyle name="Normal 2 3" xfId="30" xr:uid="{729DBB46-0431-4415-8931-2D4F360012C3}"/>
    <cellStyle name="Normal 2 3 2" xfId="55" xr:uid="{BE620D5B-FFCE-4206-8BC3-7CE5C50326B6}"/>
    <cellStyle name="Normal 2 3 3" xfId="43" xr:uid="{542F76BF-6BC8-4555-B064-34DCE2518EE0}"/>
    <cellStyle name="Normal 2 4" xfId="34" xr:uid="{750A17E1-DA44-4F56-9A92-B523D1452B2F}"/>
    <cellStyle name="Normal 2 5" xfId="18" xr:uid="{39B6EB85-435C-4F86-805F-1DD0DB5ED388}"/>
    <cellStyle name="Normal 3" xfId="5" xr:uid="{1673F28D-D881-4C97-9C75-E16357CFAEC5}"/>
    <cellStyle name="Normal 3 2" xfId="28" xr:uid="{5107A948-5505-4F38-ADED-3C5ECB4E825C}"/>
    <cellStyle name="Normal 3 3" xfId="21" xr:uid="{F1AA4537-B91C-4D7C-828D-F729421DDFFC}"/>
    <cellStyle name="Normal 3 3 2" xfId="62" xr:uid="{9C077876-A5BD-4BD6-BB19-046C54007DD6}"/>
    <cellStyle name="Normal 4" xfId="6" xr:uid="{873A49F1-7651-4602-9F24-3E8434C32BF7}"/>
    <cellStyle name="Normal 4 2" xfId="22" xr:uid="{605380C9-6C3D-412D-9A2D-E32D3732706D}"/>
    <cellStyle name="Normal 4 2 2" xfId="57" xr:uid="{C163D320-C195-41D3-9DEC-A8D4120602AF}"/>
    <cellStyle name="Normal 4 3" xfId="13" xr:uid="{97027B79-A8DF-4C8A-839E-7B237637CACC}"/>
    <cellStyle name="Normal 5" xfId="24" xr:uid="{14E6F206-DEA3-4F3C-95B8-B00350366647}"/>
    <cellStyle name="Normal 5 2" xfId="51" xr:uid="{ACE80498-517C-4CDC-9EB0-E6BB1EF0BF03}"/>
    <cellStyle name="Normal 5 2 2" xfId="66" xr:uid="{76FE2C1E-C9C6-4859-A5D3-8ECF8956AF91}"/>
    <cellStyle name="Normal 5 2 3" xfId="78" xr:uid="{2099F860-F842-4ABA-9029-0BDE86D3E0B1}"/>
    <cellStyle name="Normal 5 3" xfId="50" xr:uid="{2D88B40B-A331-41C1-AA7F-37B9B4148D8A}"/>
    <cellStyle name="Normal 6" xfId="27" xr:uid="{208608E3-AE3A-454A-AA6B-B91AEC00566E}"/>
    <cellStyle name="Normal 6 2" xfId="68" xr:uid="{CDF6E437-303A-4A68-B665-F1408F68C4B6}"/>
    <cellStyle name="Normal 6 3" xfId="80" xr:uid="{A2FDE40A-ECCC-4BA2-A234-EC59FC9A8788}"/>
    <cellStyle name="Normal 7" xfId="31" xr:uid="{56BBFAFA-DDA8-448E-82FB-F226A899CF94}"/>
    <cellStyle name="Normal 8" xfId="33" xr:uid="{79E2F3A1-B5D8-434F-A33F-55CE99CA7873}"/>
    <cellStyle name="Normal 8 2" xfId="71" xr:uid="{6991268C-B2A2-460D-8827-5C96D3D6F16C}"/>
    <cellStyle name="Normal 8 3" xfId="83" xr:uid="{F253F7CD-6CA3-465A-86F2-DB5DAEF96514}"/>
    <cellStyle name="Normal 9" xfId="37" xr:uid="{DDE952AD-67EA-417A-B756-26982A26CB49}"/>
    <cellStyle name="Normal 9 2" xfId="72" xr:uid="{14A9E924-DB61-490F-BB08-BF6474EA090D}"/>
    <cellStyle name="Normal 9 3" xfId="84" xr:uid="{AD8A651C-159D-4B07-954F-9A693B81047B}"/>
    <cellStyle name="Percent" xfId="4" builtinId="5"/>
    <cellStyle name="Percent 2" xfId="19" xr:uid="{36218E08-B55A-41AA-9BD8-1D23124ACF8F}"/>
    <cellStyle name="Percent 2 2" xfId="11" xr:uid="{CED1D010-6336-4CA3-878F-07420C9C97E9}"/>
    <cellStyle name="Percent 2 2 2" xfId="64" xr:uid="{3FDC5FBD-D308-434C-B863-B73946AA80C7}"/>
    <cellStyle name="Percent 2 2 3" xfId="44" xr:uid="{05DD280D-1872-4772-AEFC-1EC64623A1D6}"/>
    <cellStyle name="Percent 2 3" xfId="56" xr:uid="{C06DBBC7-9087-4D12-BB43-60DAF77EF38B}"/>
    <cellStyle name="Percent 2 4" xfId="48" xr:uid="{6498F7A3-3C71-4593-9F2A-87D93BEE28E7}"/>
    <cellStyle name="Percent 3" xfId="8" xr:uid="{BABD573B-254B-4A1F-953B-F3820D050ABF}"/>
    <cellStyle name="Percent 3 2" xfId="65" xr:uid="{457489A1-9E68-43A0-BE3A-131B0E0D6B45}"/>
    <cellStyle name="Percent 3 3" xfId="12" xr:uid="{CFD9CA04-EB34-4D1B-B548-C3275C179CA6}"/>
    <cellStyle name="Percent 4" xfId="58" xr:uid="{802E8BCD-829C-40D6-A26F-BFD2BE06AE9E}"/>
    <cellStyle name="Percent 4 2" xfId="76" xr:uid="{574D98A1-5A1C-4CC0-A091-CFAACBA8AB9A}"/>
    <cellStyle name="Percent 4 3" xfId="88" xr:uid="{14CDB88F-DDA1-4055-9004-0E00B20CB1A8}"/>
    <cellStyle name="Style 1" xfId="60" xr:uid="{1BD27BD8-6F7C-4BAD-AAE9-5EF93BDF6A4E}"/>
    <cellStyle name="Style 2" xfId="61" xr:uid="{F34C5451-B271-40E4-93F8-DBBFB05CE41C}"/>
    <cellStyle name="Style 2 2" xfId="77" xr:uid="{3ACD99C8-5574-4CBC-BF00-EE93885C3401}"/>
    <cellStyle name="Style 2 3" xfId="89" xr:uid="{B4BC2AC3-13C7-427F-B4EC-36C3264FDB5D}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2585357</xdr:colOff>
      <xdr:row>3</xdr:row>
      <xdr:rowOff>20536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7A9098-9406-47C2-9FB9-0C073E7D5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85357" cy="1393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2585357</xdr:colOff>
      <xdr:row>3</xdr:row>
      <xdr:rowOff>1486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A69F7E-6D05-4AAA-9B71-09C7CBD7F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85357" cy="14016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0</xdr:col>
      <xdr:colOff>2632982</xdr:colOff>
      <xdr:row>2</xdr:row>
      <xdr:rowOff>410835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FF03CF-7C43-4196-B13E-48FFF8EA5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0"/>
          <a:ext cx="2585357" cy="13919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404811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575587-9C22-43B0-AB52-E8DD71717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811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2655454</xdr:colOff>
      <xdr:row>2</xdr:row>
      <xdr:rowOff>404811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4FD4-11B2-44B6-8616-E616DC03B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0"/>
          <a:ext cx="2569729" cy="13858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404811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59F23C-49DF-4443-B345-01F98B77F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811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404811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AF1134-485C-4A79-8C9B-AB708F82C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811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AA8477-56E7-4ABC-BB9D-811B3C21D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811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C9FB32-44C1-4195-BDC5-9D8DF6DAF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DBFD4E-2843-4E1D-BF81-F9023015A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13E2A7-3638-421E-95B5-0B09EFACD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99187-071A-45FD-A47A-2B8119C39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84394C-3FD4-4ABD-BB6E-793B8E431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21E89B-B96E-4AF0-8C1C-113676E0A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9774C0-3417-4286-8635-FF22C8A7E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3AEBBC-BA4B-496A-A512-2946EAAEB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9DA771-91BB-4FA9-9DF4-D10C9754D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0</xdr:col>
      <xdr:colOff>2855479</xdr:colOff>
      <xdr:row>2</xdr:row>
      <xdr:rowOff>392111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F1D865-6A94-4266-8107-F456D5B0A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2569729" cy="137318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27214</xdr:rowOff>
    </xdr:from>
    <xdr:to>
      <xdr:col>0</xdr:col>
      <xdr:colOff>2569729</xdr:colOff>
      <xdr:row>3</xdr:row>
      <xdr:rowOff>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44C56D-65B2-474A-BF68-B6CD10719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14"/>
          <a:ext cx="2569729" cy="137182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EB3A5F-7A07-42F0-95BE-B427EDF1B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093A5B-1A1B-4A57-B6CE-0CDDB9E3B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DBF14-CE06-4DB6-820F-17851704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387349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97D6D5-9559-4EC4-A1D0-C0067F97B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69B14E-FE83-4326-9845-226D3CAAA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366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AE4C4-3C4A-45F5-95BE-D8CDC7DF6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</xdr:colOff>
      <xdr:row>0</xdr:row>
      <xdr:rowOff>0</xdr:rowOff>
    </xdr:from>
    <xdr:to>
      <xdr:col>0</xdr:col>
      <xdr:colOff>2593541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079F27-860F-45A2-84C0-FECB3FEAD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" y="0"/>
          <a:ext cx="2569729" cy="13589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12694A-3F62-47F1-9C79-424480E22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395287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CD6458-858E-45B1-AD21-773EDBBC2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3E966B-12D6-4A42-80A9-B7E9D69D1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7F83FC-4E2A-4C6F-890C-6F2930EC0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5E557D-49DB-417A-A2C2-4D5C33455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3A7252-6D2A-4BF1-8456-9773C8545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5A6A70-B81B-4B5F-A235-E488C9843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121F8F-CBDA-43B2-91D8-CC32F1B14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52FD4E-2717-4172-9809-2EC66AAC1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108857</xdr:colOff>
      <xdr:row>0</xdr:row>
      <xdr:rowOff>0</xdr:rowOff>
    </xdr:from>
    <xdr:to>
      <xdr:col>0</xdr:col>
      <xdr:colOff>2204357</xdr:colOff>
      <xdr:row>2</xdr:row>
      <xdr:rowOff>409974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74B177-EF2B-4C21-ACBD-A21D75582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7" y="0"/>
          <a:ext cx="2095500" cy="1389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CF9E-FD8A-4D9E-A38D-312395776F42}">
  <dimension ref="A1:O110"/>
  <sheetViews>
    <sheetView zoomScale="60" zoomScaleNormal="60" workbookViewId="0">
      <pane ySplit="5" topLeftCell="A6" activePane="bottomLeft" state="frozen"/>
      <selection pane="bottomLeft" activeCell="A10" sqref="A10"/>
    </sheetView>
  </sheetViews>
  <sheetFormatPr defaultColWidth="9.140625" defaultRowHeight="15" x14ac:dyDescent="0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3" customWidth="1"/>
    <col min="16" max="16384" width="9.140625" style="13"/>
  </cols>
  <sheetData>
    <row r="1" spans="1:15" ht="44.25" customHeight="1" x14ac:dyDescent="0.5">
      <c r="A1" s="12"/>
      <c r="B1" s="3" t="s">
        <v>0</v>
      </c>
      <c r="C1" s="17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 x14ac:dyDescent="0.5">
      <c r="A2" s="12"/>
      <c r="B2" s="5" t="s">
        <v>12</v>
      </c>
      <c r="C2" s="20">
        <f>1-E2-F2-G2-H2-I2-J2-K2-L2</f>
        <v>0.47799999999999998</v>
      </c>
      <c r="E2" s="27">
        <v>9.9000000000000005E-2</v>
      </c>
      <c r="F2" s="20">
        <v>0</v>
      </c>
      <c r="G2" s="20">
        <v>0</v>
      </c>
      <c r="H2" s="20">
        <v>0</v>
      </c>
      <c r="I2" s="27">
        <v>0.159</v>
      </c>
      <c r="J2" s="27">
        <v>0.122</v>
      </c>
      <c r="K2" s="27">
        <v>0.14199999999999999</v>
      </c>
      <c r="L2" s="20">
        <v>0</v>
      </c>
      <c r="M2" s="20"/>
      <c r="N2" s="21">
        <f>SUM(C2:M2)</f>
        <v>1</v>
      </c>
    </row>
    <row r="3" spans="1:15" ht="33" customHeight="1" x14ac:dyDescent="0.5">
      <c r="A3" s="12"/>
      <c r="B3" s="65" t="s">
        <v>13</v>
      </c>
      <c r="C3" s="22">
        <f>C2*$N$3</f>
        <v>123.79722</v>
      </c>
      <c r="E3" s="22">
        <f t="shared" ref="E3:L3" si="0">E2*$N$3</f>
        <v>25.640010000000004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41.179410000000004</v>
      </c>
      <c r="J3" s="22">
        <f t="shared" si="0"/>
        <v>31.596779999999999</v>
      </c>
      <c r="K3" s="22">
        <f t="shared" si="0"/>
        <v>36.776579999999996</v>
      </c>
      <c r="L3" s="22">
        <f t="shared" si="0"/>
        <v>0</v>
      </c>
      <c r="M3" s="22"/>
      <c r="N3" s="23">
        <v>258.99</v>
      </c>
    </row>
    <row r="4" spans="1:15" ht="21" customHeight="1" thickBot="1" x14ac:dyDescent="0.35">
      <c r="A4" s="63" t="s">
        <v>14</v>
      </c>
      <c r="B4" s="66">
        <v>46194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thickBot="1" x14ac:dyDescent="0.3">
      <c r="A5" s="25" t="s">
        <v>15</v>
      </c>
      <c r="B5" s="25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29.25" customHeight="1" x14ac:dyDescent="0.35">
      <c r="A6" s="1" t="s">
        <v>28</v>
      </c>
      <c r="B6" s="68" t="s">
        <v>29</v>
      </c>
      <c r="C6" s="15">
        <f t="shared" ref="C6:C12" si="1">N6-D6-E6-F6-G6-H6-I6-J6-K6-L6-M6-D60-E60-F60-G60-H60-I60-J60-K60-L60-C60</f>
        <v>246.09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>
        <v>246.09</v>
      </c>
    </row>
    <row r="7" spans="1:15" ht="29.25" customHeight="1" x14ac:dyDescent="0.35">
      <c r="A7" s="1" t="s">
        <v>30</v>
      </c>
      <c r="B7" s="68" t="s">
        <v>31</v>
      </c>
      <c r="C7" s="15">
        <f t="shared" si="1"/>
        <v>1.8207657603852567E-14</v>
      </c>
      <c r="D7" s="15"/>
      <c r="E7" s="15"/>
      <c r="F7" s="15"/>
      <c r="G7" s="15"/>
      <c r="H7" s="15"/>
      <c r="I7" s="15"/>
      <c r="J7" s="15"/>
      <c r="K7" s="15">
        <v>2699.31</v>
      </c>
      <c r="L7" s="15"/>
      <c r="M7" s="15">
        <v>0.48</v>
      </c>
      <c r="N7" s="55">
        <v>2699.79</v>
      </c>
    </row>
    <row r="8" spans="1:15" ht="29.25" customHeight="1" x14ac:dyDescent="0.35">
      <c r="A8" s="1" t="s">
        <v>32</v>
      </c>
      <c r="B8" s="68" t="s">
        <v>33</v>
      </c>
      <c r="C8" s="15">
        <f t="shared" si="1"/>
        <v>-1.7763568394002505E-15</v>
      </c>
      <c r="D8" s="15"/>
      <c r="E8" s="15"/>
      <c r="F8" s="15"/>
      <c r="G8" s="15"/>
      <c r="H8" s="15"/>
      <c r="I8" s="15">
        <v>250.1</v>
      </c>
      <c r="J8" s="15"/>
      <c r="K8" s="15"/>
      <c r="L8" s="15"/>
      <c r="M8" s="15">
        <v>8.9700000000000006</v>
      </c>
      <c r="N8" s="55">
        <v>259.07</v>
      </c>
    </row>
    <row r="9" spans="1:15" ht="29.25" customHeight="1" x14ac:dyDescent="0.35">
      <c r="A9" s="1" t="s">
        <v>34</v>
      </c>
      <c r="B9" s="68" t="s">
        <v>35</v>
      </c>
      <c r="C9" s="15">
        <f t="shared" si="1"/>
        <v>93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>
        <v>93</v>
      </c>
    </row>
    <row r="10" spans="1:15" ht="29.25" customHeight="1" x14ac:dyDescent="0.35">
      <c r="A10" s="1" t="s">
        <v>36</v>
      </c>
      <c r="B10" s="68" t="s">
        <v>37</v>
      </c>
      <c r="C10" s="15">
        <f t="shared" si="1"/>
        <v>0</v>
      </c>
      <c r="D10" s="15"/>
      <c r="E10" s="15">
        <v>47.02</v>
      </c>
      <c r="F10" s="15"/>
      <c r="G10" s="15"/>
      <c r="H10" s="15"/>
      <c r="I10" s="15"/>
      <c r="J10" s="15"/>
      <c r="K10" s="15"/>
      <c r="L10" s="15"/>
      <c r="M10" s="15"/>
      <c r="N10" s="55">
        <v>47.02</v>
      </c>
    </row>
    <row r="11" spans="1:15" ht="29.25" customHeight="1" x14ac:dyDescent="0.35">
      <c r="A11" s="1" t="s">
        <v>38</v>
      </c>
      <c r="B11" s="68" t="s">
        <v>39</v>
      </c>
      <c r="C11" s="15">
        <f t="shared" si="1"/>
        <v>0</v>
      </c>
      <c r="D11" s="15"/>
      <c r="E11" s="15">
        <v>2034.75</v>
      </c>
      <c r="F11" s="15"/>
      <c r="G11" s="15"/>
      <c r="H11" s="15"/>
      <c r="I11" s="15"/>
      <c r="J11" s="15"/>
      <c r="K11" s="15"/>
      <c r="L11" s="15"/>
      <c r="M11" s="15"/>
      <c r="N11" s="55">
        <v>2034.75</v>
      </c>
    </row>
    <row r="12" spans="1:15" ht="29.25" customHeight="1" x14ac:dyDescent="0.35">
      <c r="A12" s="1" t="s">
        <v>40</v>
      </c>
      <c r="B12" s="68" t="s">
        <v>39</v>
      </c>
      <c r="C12" s="15">
        <f t="shared" si="1"/>
        <v>0</v>
      </c>
      <c r="D12" s="15"/>
      <c r="E12" s="15">
        <v>436.05</v>
      </c>
      <c r="F12" s="15"/>
      <c r="G12" s="15"/>
      <c r="H12" s="15"/>
      <c r="I12" s="15"/>
      <c r="J12" s="15"/>
      <c r="K12" s="15"/>
      <c r="L12" s="15"/>
      <c r="M12" s="15"/>
      <c r="N12" s="55">
        <v>436.05</v>
      </c>
    </row>
    <row r="13" spans="1:15" ht="29.25" customHeight="1" x14ac:dyDescent="0.35">
      <c r="A13" s="1" t="s">
        <v>41</v>
      </c>
      <c r="B13" s="68" t="s">
        <v>39</v>
      </c>
      <c r="C13" s="15">
        <f t="shared" ref="C13:C42" si="2">N13-D13-E13-F13-G13-H13-I13-J13-K13-L13-M13-D67-E67-F67-G67-H67-I67-J67-K67-L67-C67</f>
        <v>61.72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>
        <v>61.72</v>
      </c>
    </row>
    <row r="14" spans="1:15" ht="29.25" customHeight="1" x14ac:dyDescent="0.35">
      <c r="A14" s="1" t="s">
        <v>42</v>
      </c>
      <c r="B14" s="68" t="s">
        <v>39</v>
      </c>
      <c r="C14" s="15">
        <f t="shared" si="2"/>
        <v>148.32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>
        <v>148.32</v>
      </c>
    </row>
    <row r="15" spans="1:15" ht="29.25" customHeight="1" x14ac:dyDescent="0.35">
      <c r="A15" s="1" t="s">
        <v>43</v>
      </c>
      <c r="B15" s="68" t="s">
        <v>39</v>
      </c>
      <c r="C15" s="15">
        <f t="shared" si="2"/>
        <v>552.57000000000005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>
        <v>552.57000000000005</v>
      </c>
    </row>
    <row r="16" spans="1:15" ht="29.25" customHeight="1" x14ac:dyDescent="0.35">
      <c r="A16" s="1" t="s">
        <v>44</v>
      </c>
      <c r="B16" s="68" t="s">
        <v>39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>
        <v>101.34</v>
      </c>
      <c r="O16" s="13" t="s">
        <v>45</v>
      </c>
    </row>
    <row r="17" spans="1:15" ht="29.25" customHeight="1" x14ac:dyDescent="0.35">
      <c r="A17" s="1" t="s">
        <v>46</v>
      </c>
      <c r="B17" s="68" t="s">
        <v>39</v>
      </c>
      <c r="C17" s="15">
        <f t="shared" si="2"/>
        <v>325.68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>
        <v>325.68</v>
      </c>
    </row>
    <row r="18" spans="1:15" ht="29.25" customHeight="1" x14ac:dyDescent="0.35">
      <c r="A18" s="1" t="s">
        <v>47</v>
      </c>
      <c r="B18" s="68" t="s">
        <v>39</v>
      </c>
      <c r="C18" s="15">
        <f t="shared" si="2"/>
        <v>0</v>
      </c>
      <c r="D18" s="15"/>
      <c r="E18" s="15">
        <v>73.59</v>
      </c>
      <c r="F18" s="15"/>
      <c r="G18" s="15"/>
      <c r="H18" s="15"/>
      <c r="I18" s="15"/>
      <c r="J18" s="15"/>
      <c r="K18" s="15"/>
      <c r="L18" s="15"/>
      <c r="M18" s="15"/>
      <c r="N18" s="55">
        <v>73.59</v>
      </c>
    </row>
    <row r="19" spans="1:15" ht="29.25" customHeight="1" x14ac:dyDescent="0.35">
      <c r="A19" s="1" t="s">
        <v>48</v>
      </c>
      <c r="B19" s="68" t="s">
        <v>39</v>
      </c>
      <c r="C19" s="15">
        <f t="shared" si="2"/>
        <v>0</v>
      </c>
      <c r="D19" s="15"/>
      <c r="E19" s="15">
        <v>61.66</v>
      </c>
      <c r="F19" s="15"/>
      <c r="G19" s="15"/>
      <c r="H19" s="15"/>
      <c r="I19" s="15"/>
      <c r="J19" s="15"/>
      <c r="K19" s="15"/>
      <c r="L19" s="15"/>
      <c r="M19" s="15"/>
      <c r="N19" s="55">
        <v>61.66</v>
      </c>
    </row>
    <row r="20" spans="1:15" ht="29.25" customHeight="1" x14ac:dyDescent="0.35">
      <c r="A20" s="1" t="s">
        <v>49</v>
      </c>
      <c r="B20" s="68" t="s">
        <v>39</v>
      </c>
      <c r="C20" s="15">
        <f t="shared" si="2"/>
        <v>422.16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>
        <v>422.16</v>
      </c>
    </row>
    <row r="21" spans="1:15" ht="29.25" customHeight="1" x14ac:dyDescent="0.35">
      <c r="A21" s="1" t="s">
        <v>50</v>
      </c>
      <c r="B21" s="68" t="s">
        <v>39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>
        <v>36.369999999999997</v>
      </c>
      <c r="L21" s="15"/>
      <c r="M21" s="15"/>
      <c r="N21" s="55">
        <v>36.369999999999997</v>
      </c>
    </row>
    <row r="22" spans="1:15" ht="29.25" customHeight="1" x14ac:dyDescent="0.35">
      <c r="A22" s="1" t="s">
        <v>51</v>
      </c>
      <c r="B22" s="68" t="s">
        <v>39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>
        <v>17.670000000000002</v>
      </c>
      <c r="L22" s="15"/>
      <c r="M22" s="15"/>
      <c r="N22" s="55">
        <v>17.670000000000002</v>
      </c>
    </row>
    <row r="23" spans="1:15" ht="29.25" customHeight="1" x14ac:dyDescent="0.35">
      <c r="A23" s="1" t="s">
        <v>52</v>
      </c>
      <c r="B23" s="68" t="s">
        <v>39</v>
      </c>
      <c r="C23" s="15">
        <f t="shared" si="2"/>
        <v>152.44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>
        <v>152.44</v>
      </c>
    </row>
    <row r="24" spans="1:15" ht="29.25" customHeight="1" x14ac:dyDescent="0.35">
      <c r="A24" s="1" t="s">
        <v>53</v>
      </c>
      <c r="B24" s="68" t="s">
        <v>39</v>
      </c>
      <c r="C24" s="15">
        <f t="shared" si="2"/>
        <v>127.22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>
        <v>127.22</v>
      </c>
    </row>
    <row r="25" spans="1:15" ht="29.25" customHeight="1" x14ac:dyDescent="0.35">
      <c r="A25" s="1" t="s">
        <v>54</v>
      </c>
      <c r="B25" s="68" t="s">
        <v>39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>
        <v>351.91</v>
      </c>
      <c r="O25" s="13" t="s">
        <v>55</v>
      </c>
    </row>
    <row r="26" spans="1:15" ht="29.25" customHeight="1" x14ac:dyDescent="0.35">
      <c r="A26" s="1" t="s">
        <v>56</v>
      </c>
      <c r="B26" s="68" t="s">
        <v>39</v>
      </c>
      <c r="C26" s="15">
        <f t="shared" si="2"/>
        <v>168.81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>
        <v>168.81</v>
      </c>
    </row>
    <row r="27" spans="1:15" ht="29.25" customHeight="1" x14ac:dyDescent="0.35">
      <c r="A27" s="1" t="s">
        <v>57</v>
      </c>
      <c r="B27" s="68" t="s">
        <v>39</v>
      </c>
      <c r="C27" s="15">
        <f t="shared" si="2"/>
        <v>2333.06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>
        <v>2333.06</v>
      </c>
    </row>
    <row r="28" spans="1:15" ht="29.25" customHeight="1" x14ac:dyDescent="0.35">
      <c r="A28" s="1" t="s">
        <v>58</v>
      </c>
      <c r="B28" s="68" t="s">
        <v>39</v>
      </c>
      <c r="C28" s="15">
        <f t="shared" si="2"/>
        <v>1780.41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>
        <v>1780.41</v>
      </c>
    </row>
    <row r="29" spans="1:15" ht="29.25" customHeight="1" x14ac:dyDescent="0.35">
      <c r="A29" s="1" t="s">
        <v>59</v>
      </c>
      <c r="B29" s="68" t="s">
        <v>39</v>
      </c>
      <c r="C29" s="15">
        <f t="shared" si="2"/>
        <v>0</v>
      </c>
      <c r="D29" s="15"/>
      <c r="E29" s="15"/>
      <c r="F29" s="15"/>
      <c r="G29" s="15"/>
      <c r="H29" s="15"/>
      <c r="I29" s="15"/>
      <c r="J29" s="15"/>
      <c r="K29" s="15">
        <v>1265.9100000000001</v>
      </c>
      <c r="L29" s="15"/>
      <c r="M29" s="15"/>
      <c r="N29" s="55">
        <v>1265.9100000000001</v>
      </c>
    </row>
    <row r="30" spans="1:15" ht="29.25" customHeight="1" x14ac:dyDescent="0.35">
      <c r="A30" s="1" t="s">
        <v>60</v>
      </c>
      <c r="B30" s="68" t="s">
        <v>39</v>
      </c>
      <c r="C30" s="15">
        <f t="shared" si="2"/>
        <v>14120.7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>
        <v>14120.7</v>
      </c>
    </row>
    <row r="31" spans="1:15" ht="29.25" customHeight="1" x14ac:dyDescent="0.35">
      <c r="A31" s="1" t="s">
        <v>61</v>
      </c>
      <c r="B31" s="68" t="s">
        <v>39</v>
      </c>
      <c r="C31" s="15">
        <f t="shared" si="2"/>
        <v>0</v>
      </c>
      <c r="D31" s="15"/>
      <c r="E31" s="15">
        <v>764.27</v>
      </c>
      <c r="F31" s="15"/>
      <c r="G31" s="15"/>
      <c r="H31" s="15"/>
      <c r="I31" s="15"/>
      <c r="J31" s="15"/>
      <c r="K31" s="15"/>
      <c r="L31" s="15"/>
      <c r="M31" s="15"/>
      <c r="N31" s="55">
        <v>764.27</v>
      </c>
    </row>
    <row r="32" spans="1:15" ht="29.25" customHeight="1" x14ac:dyDescent="0.35">
      <c r="A32" s="1" t="s">
        <v>62</v>
      </c>
      <c r="B32" s="68" t="s">
        <v>39</v>
      </c>
      <c r="C32" s="15">
        <f t="shared" si="2"/>
        <v>0</v>
      </c>
      <c r="D32" s="15"/>
      <c r="E32" s="15">
        <v>974.51</v>
      </c>
      <c r="F32" s="15"/>
      <c r="G32" s="15"/>
      <c r="H32" s="15"/>
      <c r="I32" s="15"/>
      <c r="J32" s="15"/>
      <c r="K32" s="15"/>
      <c r="L32" s="15"/>
      <c r="M32" s="15"/>
      <c r="N32" s="55">
        <v>974.51</v>
      </c>
    </row>
    <row r="33" spans="1:14" ht="29.25" customHeight="1" x14ac:dyDescent="0.35">
      <c r="A33" s="1" t="s">
        <v>63</v>
      </c>
      <c r="B33" s="68" t="s">
        <v>39</v>
      </c>
      <c r="C33" s="15">
        <f t="shared" si="2"/>
        <v>5578.24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>
        <v>5578.24</v>
      </c>
    </row>
    <row r="34" spans="1:14" ht="29.25" customHeight="1" x14ac:dyDescent="0.35">
      <c r="A34" s="1" t="s">
        <v>64</v>
      </c>
      <c r="B34" s="68" t="s">
        <v>39</v>
      </c>
      <c r="C34" s="15">
        <f t="shared" si="2"/>
        <v>5077.32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>
        <v>5077.32</v>
      </c>
    </row>
    <row r="35" spans="1:14" ht="29.25" customHeight="1" x14ac:dyDescent="0.35">
      <c r="A35" s="1" t="s">
        <v>65</v>
      </c>
      <c r="B35" s="68" t="s">
        <v>39</v>
      </c>
      <c r="C35" s="15">
        <f t="shared" si="2"/>
        <v>152.44000000000005</v>
      </c>
      <c r="D35" s="15"/>
      <c r="E35" s="15">
        <v>1833.49</v>
      </c>
      <c r="F35" s="15"/>
      <c r="G35" s="15"/>
      <c r="H35" s="15"/>
      <c r="I35" s="15"/>
      <c r="J35" s="15"/>
      <c r="K35" s="15"/>
      <c r="L35" s="15"/>
      <c r="M35" s="15"/>
      <c r="N35" s="55">
        <v>1985.93</v>
      </c>
    </row>
    <row r="36" spans="1:14" ht="29.25" customHeight="1" x14ac:dyDescent="0.35">
      <c r="A36" s="1" t="s">
        <v>66</v>
      </c>
      <c r="B36" s="68" t="s">
        <v>39</v>
      </c>
      <c r="C36" s="15">
        <f t="shared" si="2"/>
        <v>0</v>
      </c>
      <c r="D36" s="15"/>
      <c r="E36" s="15">
        <v>459.9</v>
      </c>
      <c r="F36" s="15"/>
      <c r="G36" s="15"/>
      <c r="H36" s="15"/>
      <c r="I36" s="15"/>
      <c r="J36" s="15"/>
      <c r="K36" s="15"/>
      <c r="L36" s="15"/>
      <c r="M36" s="15"/>
      <c r="N36" s="55">
        <v>459.9</v>
      </c>
    </row>
    <row r="37" spans="1:14" ht="29.25" customHeight="1" x14ac:dyDescent="0.35">
      <c r="A37" s="1" t="s">
        <v>67</v>
      </c>
      <c r="B37" s="68" t="s">
        <v>39</v>
      </c>
      <c r="C37" s="15">
        <f t="shared" si="2"/>
        <v>1776.7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>
        <v>1776.7</v>
      </c>
    </row>
    <row r="38" spans="1:14" ht="29.25" customHeight="1" x14ac:dyDescent="0.35">
      <c r="A38" s="1" t="s">
        <v>68</v>
      </c>
      <c r="B38" s="68" t="s">
        <v>39</v>
      </c>
      <c r="C38" s="15">
        <f t="shared" si="2"/>
        <v>43.02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>
        <v>43.02</v>
      </c>
    </row>
    <row r="39" spans="1:14" ht="29.25" customHeight="1" x14ac:dyDescent="0.35">
      <c r="A39" s="1" t="s">
        <v>69</v>
      </c>
      <c r="B39" s="68" t="s">
        <v>39</v>
      </c>
      <c r="C39" s="15">
        <f t="shared" si="2"/>
        <v>829.78</v>
      </c>
      <c r="D39" s="15"/>
      <c r="E39" s="15">
        <v>364.59</v>
      </c>
      <c r="F39" s="15"/>
      <c r="G39" s="15"/>
      <c r="H39" s="15"/>
      <c r="I39" s="15"/>
      <c r="J39" s="15"/>
      <c r="K39" s="15"/>
      <c r="L39" s="15"/>
      <c r="M39" s="15"/>
      <c r="N39" s="55">
        <v>1194.3699999999999</v>
      </c>
    </row>
    <row r="40" spans="1:14" ht="29.25" customHeight="1" x14ac:dyDescent="0.35">
      <c r="A40" s="1" t="s">
        <v>70</v>
      </c>
      <c r="B40" s="68" t="s">
        <v>39</v>
      </c>
      <c r="C40" s="15">
        <f t="shared" si="2"/>
        <v>0</v>
      </c>
      <c r="D40" s="15"/>
      <c r="E40" s="15"/>
      <c r="F40" s="15"/>
      <c r="G40" s="15"/>
      <c r="H40" s="15"/>
      <c r="I40" s="15"/>
      <c r="J40" s="15"/>
      <c r="K40" s="15">
        <v>534.04</v>
      </c>
      <c r="L40" s="15"/>
      <c r="M40" s="15"/>
      <c r="N40" s="55">
        <v>534.04</v>
      </c>
    </row>
    <row r="41" spans="1:14" ht="29.25" customHeight="1" x14ac:dyDescent="0.35">
      <c r="A41" s="1" t="s">
        <v>71</v>
      </c>
      <c r="B41" s="68" t="s">
        <v>39</v>
      </c>
      <c r="C41" s="15">
        <f t="shared" si="2"/>
        <v>0</v>
      </c>
      <c r="D41" s="15"/>
      <c r="E41" s="15">
        <v>55.14</v>
      </c>
      <c r="F41" s="15"/>
      <c r="G41" s="15"/>
      <c r="H41" s="15"/>
      <c r="I41" s="15"/>
      <c r="J41" s="15"/>
      <c r="K41" s="15">
        <v>169.82</v>
      </c>
      <c r="L41" s="15"/>
      <c r="M41" s="15"/>
      <c r="N41" s="55">
        <v>224.96</v>
      </c>
    </row>
    <row r="42" spans="1:14" ht="29.25" customHeight="1" x14ac:dyDescent="0.35">
      <c r="A42" s="1" t="s">
        <v>72</v>
      </c>
      <c r="B42" s="68" t="s">
        <v>39</v>
      </c>
      <c r="C42" s="15">
        <f t="shared" si="2"/>
        <v>0</v>
      </c>
      <c r="D42" s="15"/>
      <c r="E42" s="15"/>
      <c r="F42" s="15"/>
      <c r="G42" s="15"/>
      <c r="H42" s="15"/>
      <c r="I42" s="15">
        <v>575.29999999999995</v>
      </c>
      <c r="J42" s="15"/>
      <c r="K42" s="15"/>
      <c r="L42" s="15"/>
      <c r="M42" s="15"/>
      <c r="N42" s="55">
        <v>575.29999999999995</v>
      </c>
    </row>
    <row r="43" spans="1:14" ht="29.25" customHeight="1" x14ac:dyDescent="0.35">
      <c r="A43" s="1" t="s">
        <v>73</v>
      </c>
      <c r="B43" s="68" t="s">
        <v>39</v>
      </c>
      <c r="C43" s="15">
        <f t="shared" ref="C43:C44" si="3">N43-D43-E43-F43-G43-H43-I43-J43-K43-L43-M43-D97-E97-F97-G97-H97-I97-J97-K97-L97-C97</f>
        <v>0</v>
      </c>
      <c r="D43" s="15"/>
      <c r="E43" s="15"/>
      <c r="F43" s="15"/>
      <c r="G43" s="15"/>
      <c r="H43" s="15"/>
      <c r="I43" s="15">
        <v>72.45</v>
      </c>
      <c r="J43" s="15"/>
      <c r="K43" s="15"/>
      <c r="L43" s="15"/>
      <c r="M43" s="15"/>
      <c r="N43" s="55">
        <v>72.45</v>
      </c>
    </row>
    <row r="44" spans="1:14" ht="29.25" customHeight="1" x14ac:dyDescent="0.35">
      <c r="A44" s="1" t="s">
        <v>74</v>
      </c>
      <c r="B44" s="68" t="s">
        <v>39</v>
      </c>
      <c r="C44" s="15">
        <f t="shared" si="3"/>
        <v>0</v>
      </c>
      <c r="D44" s="15"/>
      <c r="E44" s="15"/>
      <c r="F44" s="15"/>
      <c r="G44" s="15"/>
      <c r="H44" s="15"/>
      <c r="I44" s="15">
        <v>5506.23</v>
      </c>
      <c r="J44" s="15"/>
      <c r="K44" s="15"/>
      <c r="L44" s="15"/>
      <c r="M44" s="15"/>
      <c r="N44" s="55">
        <v>5506.23</v>
      </c>
    </row>
    <row r="45" spans="1:14" ht="29.25" customHeight="1" x14ac:dyDescent="0.35">
      <c r="A45" s="1" t="s">
        <v>75</v>
      </c>
      <c r="B45" s="68" t="s">
        <v>39</v>
      </c>
      <c r="C45" s="15">
        <f t="shared" ref="C45:C54" si="4">N45-D45-E45-F45-G45-H45-I45-J45-K45-L45-M45-D99-E99-F99-G99-H99-I99-J99-K99-L99-C99</f>
        <v>0</v>
      </c>
      <c r="D45" s="15"/>
      <c r="E45" s="15"/>
      <c r="F45" s="15"/>
      <c r="G45" s="15"/>
      <c r="H45" s="15"/>
      <c r="I45" s="15">
        <v>267.8</v>
      </c>
      <c r="J45" s="15"/>
      <c r="K45" s="15"/>
      <c r="L45" s="15"/>
      <c r="M45" s="15"/>
      <c r="N45" s="55">
        <v>267.8</v>
      </c>
    </row>
    <row r="46" spans="1:14" ht="29.25" customHeight="1" x14ac:dyDescent="0.35">
      <c r="A46" s="1" t="s">
        <v>76</v>
      </c>
      <c r="B46" s="68" t="s">
        <v>77</v>
      </c>
      <c r="C46" s="15">
        <f t="shared" si="4"/>
        <v>29.49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>
        <v>29.49</v>
      </c>
    </row>
    <row r="47" spans="1:14" ht="29.25" customHeight="1" x14ac:dyDescent="0.35">
      <c r="A47" s="1" t="s">
        <v>78</v>
      </c>
      <c r="B47" s="68" t="s">
        <v>77</v>
      </c>
      <c r="C47" s="15">
        <f t="shared" si="4"/>
        <v>33.64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>
        <v>33.64</v>
      </c>
    </row>
    <row r="48" spans="1:14" ht="29.25" customHeight="1" x14ac:dyDescent="0.35">
      <c r="A48" s="1" t="s">
        <v>79</v>
      </c>
      <c r="B48" s="68" t="s">
        <v>77</v>
      </c>
      <c r="C48" s="15">
        <f t="shared" si="4"/>
        <v>1257.19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>
        <v>1257.19</v>
      </c>
    </row>
    <row r="49" spans="1:15" ht="29.25" customHeight="1" x14ac:dyDescent="0.35">
      <c r="A49" s="1" t="s">
        <v>80</v>
      </c>
      <c r="B49" s="68" t="s">
        <v>77</v>
      </c>
      <c r="C49" s="15">
        <f t="shared" si="4"/>
        <v>120.9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>
        <v>120.9</v>
      </c>
    </row>
    <row r="50" spans="1:15" ht="29.25" customHeight="1" x14ac:dyDescent="0.35">
      <c r="A50" s="1" t="s">
        <v>81</v>
      </c>
      <c r="B50" s="68" t="s">
        <v>77</v>
      </c>
      <c r="C50" s="15">
        <f t="shared" si="4"/>
        <v>153.96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>
        <v>153.96</v>
      </c>
    </row>
    <row r="51" spans="1:15" ht="29.25" customHeight="1" x14ac:dyDescent="0.35">
      <c r="A51" s="1" t="s">
        <v>82</v>
      </c>
      <c r="B51" s="68" t="s">
        <v>82</v>
      </c>
      <c r="C51" s="15">
        <f t="shared" si="4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4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4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4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5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thickBot="1" x14ac:dyDescent="0.4">
      <c r="A56" s="9" t="s">
        <v>0</v>
      </c>
      <c r="B56" s="9" t="s">
        <v>39</v>
      </c>
      <c r="C56" s="16">
        <f>C3</f>
        <v>123.79722</v>
      </c>
      <c r="D56" s="16"/>
      <c r="E56" s="16">
        <f>E3</f>
        <v>25.640010000000004</v>
      </c>
      <c r="F56" s="16">
        <f t="shared" ref="F56:L56" si="6">F3</f>
        <v>0</v>
      </c>
      <c r="G56" s="16">
        <f t="shared" si="6"/>
        <v>0</v>
      </c>
      <c r="H56" s="16">
        <f t="shared" si="6"/>
        <v>0</v>
      </c>
      <c r="I56" s="16">
        <f t="shared" si="6"/>
        <v>41.179410000000004</v>
      </c>
      <c r="J56" s="16">
        <f t="shared" si="6"/>
        <v>31.596779999999999</v>
      </c>
      <c r="K56" s="16">
        <f t="shared" si="6"/>
        <v>36.776579999999996</v>
      </c>
      <c r="L56" s="16">
        <f t="shared" si="6"/>
        <v>0</v>
      </c>
      <c r="M56" s="16"/>
      <c r="N56" s="60">
        <f>SUM(C56:M56)+SUM(C118:J118)</f>
        <v>258.99</v>
      </c>
      <c r="O56" s="474" t="s">
        <v>83</v>
      </c>
    </row>
    <row r="57" spans="1:15" ht="29.25" customHeight="1" thickBot="1" x14ac:dyDescent="0.45">
      <c r="A57" s="24" t="s">
        <v>84</v>
      </c>
      <c r="B57" s="10"/>
      <c r="C57" s="61">
        <f t="shared" ref="C57:M57" si="7">SUM(C6:C56)</f>
        <v>35708.657219999994</v>
      </c>
      <c r="D57" s="61">
        <f t="shared" si="7"/>
        <v>0</v>
      </c>
      <c r="E57" s="61">
        <f t="shared" si="7"/>
        <v>7130.6100100000003</v>
      </c>
      <c r="F57" s="61">
        <f t="shared" si="7"/>
        <v>0</v>
      </c>
      <c r="G57" s="61">
        <f t="shared" si="7"/>
        <v>0</v>
      </c>
      <c r="H57" s="61">
        <f t="shared" si="7"/>
        <v>0</v>
      </c>
      <c r="I57" s="61">
        <f t="shared" si="7"/>
        <v>6713.0594099999998</v>
      </c>
      <c r="J57" s="61">
        <f t="shared" si="7"/>
        <v>31.596779999999999</v>
      </c>
      <c r="K57" s="61">
        <f t="shared" si="7"/>
        <v>4759.8965799999996</v>
      </c>
      <c r="L57" s="61">
        <f t="shared" si="7"/>
        <v>0</v>
      </c>
      <c r="M57" s="61">
        <f t="shared" si="7"/>
        <v>9.4500000000000011</v>
      </c>
      <c r="N57" s="61">
        <f>SUM(N6:N56)</f>
        <v>54806.51999999999</v>
      </c>
    </row>
    <row r="58" spans="1:15" ht="29.25" customHeight="1" thickBot="1" x14ac:dyDescent="0.3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5" ht="45.75" customHeight="1" x14ac:dyDescent="0.25">
      <c r="A59" s="6" t="str">
        <f t="shared" ref="A59:B61" si="8">A5</f>
        <v>Invoice Number</v>
      </c>
      <c r="B59" s="6" t="str">
        <f t="shared" si="8"/>
        <v>Supplier Name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 t="shared" si="8"/>
        <v>126281</v>
      </c>
      <c r="B60" s="9" t="str">
        <f t="shared" si="8"/>
        <v>ITALIAN BAKERY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209" t="s">
        <v>82</v>
      </c>
    </row>
    <row r="61" spans="1:15" ht="29.25" customHeight="1" x14ac:dyDescent="0.35">
      <c r="A61" s="70" t="str">
        <f t="shared" si="8"/>
        <v>4003652120</v>
      </c>
      <c r="B61" s="9" t="str">
        <f t="shared" si="8"/>
        <v>SAPUTO DAIRY PRODUCTS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209"/>
    </row>
    <row r="62" spans="1:15" ht="29.25" customHeight="1" x14ac:dyDescent="0.35">
      <c r="A62" s="70" t="str">
        <f t="shared" ref="A62:B62" si="9">A8</f>
        <v>SO185613</v>
      </c>
      <c r="B62" s="9" t="str">
        <f t="shared" si="9"/>
        <v>STAR PRODUCE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209"/>
    </row>
    <row r="63" spans="1:15" ht="29.25" customHeight="1" x14ac:dyDescent="0.35">
      <c r="A63" s="70" t="str">
        <f t="shared" ref="A63:B63" si="10">A9</f>
        <v>771176</v>
      </c>
      <c r="B63" s="9" t="str">
        <f t="shared" si="10"/>
        <v>PACIFIC FRESH FISH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209"/>
    </row>
    <row r="64" spans="1:15" ht="29.25" customHeight="1" x14ac:dyDescent="0.35">
      <c r="A64" s="70" t="str">
        <f t="shared" ref="A64:B64" si="11">A10</f>
        <v>3278879</v>
      </c>
      <c r="B64" s="9" t="str">
        <f t="shared" si="11"/>
        <v>LILYDALE SOFINA FOODS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209"/>
    </row>
    <row r="65" spans="1:13" ht="29.25" customHeight="1" x14ac:dyDescent="0.35">
      <c r="A65" s="70" t="str">
        <f t="shared" ref="A65:B65" si="12">A11</f>
        <v>6644176</v>
      </c>
      <c r="B65" s="9" t="str">
        <f t="shared" si="12"/>
        <v>THE GROCERY PEOPLE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209"/>
    </row>
    <row r="66" spans="1:13" ht="29.25" customHeight="1" x14ac:dyDescent="0.35">
      <c r="A66" s="70" t="str">
        <f t="shared" ref="A66:B67" si="13">A12</f>
        <v>6644717</v>
      </c>
      <c r="B66" s="9" t="str">
        <f t="shared" ref="B66" si="14">B12</f>
        <v>THE GROCERY PEOPLE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209"/>
    </row>
    <row r="67" spans="1:13" ht="29.25" customHeight="1" x14ac:dyDescent="0.35">
      <c r="A67" s="70" t="str">
        <f t="shared" si="13"/>
        <v>6647609</v>
      </c>
      <c r="B67" s="9" t="str">
        <f t="shared" si="13"/>
        <v>THE GROCERY PEOPLE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209"/>
    </row>
    <row r="68" spans="1:13" ht="29.25" customHeight="1" x14ac:dyDescent="0.35">
      <c r="A68" s="70" t="str">
        <f t="shared" ref="A68:B68" si="15">A14</f>
        <v>6644304</v>
      </c>
      <c r="B68" s="9" t="str">
        <f t="shared" si="15"/>
        <v>THE GROCERY PEOPLE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209"/>
    </row>
    <row r="69" spans="1:13" ht="29.25" customHeight="1" x14ac:dyDescent="0.35">
      <c r="A69" s="70" t="str">
        <f t="shared" ref="A69:B69" si="16">A15</f>
        <v>6644306</v>
      </c>
      <c r="B69" s="9" t="str">
        <f t="shared" si="16"/>
        <v>THE GROCERY PEOPLE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209"/>
    </row>
    <row r="70" spans="1:13" ht="29.25" customHeight="1" x14ac:dyDescent="0.35">
      <c r="A70" s="70" t="str">
        <f t="shared" ref="A70:B70" si="17">A16</f>
        <v>6645036</v>
      </c>
      <c r="B70" s="9" t="str">
        <f t="shared" si="17"/>
        <v>THE GROCERY PEOPLE</v>
      </c>
      <c r="C70" s="26"/>
      <c r="D70" s="26"/>
      <c r="E70" s="26">
        <v>101.34</v>
      </c>
      <c r="F70" s="26"/>
      <c r="G70" s="26"/>
      <c r="H70" s="26"/>
      <c r="I70" s="26"/>
      <c r="J70" s="52"/>
      <c r="K70" s="48"/>
      <c r="L70" s="2"/>
      <c r="M70" s="209" t="s">
        <v>94</v>
      </c>
    </row>
    <row r="71" spans="1:13" ht="29.25" customHeight="1" x14ac:dyDescent="0.35">
      <c r="A71" s="70" t="str">
        <f t="shared" ref="A71:B71" si="18">A17</f>
        <v>6445919</v>
      </c>
      <c r="B71" s="9" t="str">
        <f t="shared" si="18"/>
        <v>THE GROCERY PEOPLE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209"/>
    </row>
    <row r="72" spans="1:13" ht="29.25" customHeight="1" x14ac:dyDescent="0.35">
      <c r="A72" s="70" t="str">
        <f t="shared" ref="A72:B72" si="19">A18</f>
        <v>6646756</v>
      </c>
      <c r="B72" s="9" t="str">
        <f t="shared" si="19"/>
        <v>THE GROCERY PEOPLE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209"/>
    </row>
    <row r="73" spans="1:13" ht="29.25" customHeight="1" x14ac:dyDescent="0.35">
      <c r="A73" s="70" t="str">
        <f t="shared" ref="A73:B73" si="20">A19</f>
        <v>6646757</v>
      </c>
      <c r="B73" s="9" t="str">
        <f t="shared" si="20"/>
        <v>THE GROCERY PEOPLE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209"/>
    </row>
    <row r="74" spans="1:13" ht="29.25" customHeight="1" x14ac:dyDescent="0.35">
      <c r="A74" s="70" t="str">
        <f t="shared" ref="A74:B74" si="21">A20</f>
        <v>6647235</v>
      </c>
      <c r="B74" s="9" t="str">
        <f t="shared" si="21"/>
        <v>THE GROCERY PEOPLE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209"/>
    </row>
    <row r="75" spans="1:13" ht="29.25" customHeight="1" x14ac:dyDescent="0.35">
      <c r="A75" s="70" t="str">
        <f t="shared" ref="A75:B75" si="22">A21</f>
        <v>6650196</v>
      </c>
      <c r="B75" s="9" t="str">
        <f t="shared" si="22"/>
        <v>THE GROCERY PEOPLE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209"/>
    </row>
    <row r="76" spans="1:13" ht="29.25" customHeight="1" x14ac:dyDescent="0.35">
      <c r="A76" s="70" t="str">
        <f t="shared" ref="A76:B76" si="23">A22</f>
        <v>6650197</v>
      </c>
      <c r="B76" s="9" t="str">
        <f t="shared" si="23"/>
        <v>THE GROCERY PEOPLE</v>
      </c>
      <c r="C76" s="26"/>
      <c r="D76" s="26"/>
      <c r="E76" s="26"/>
      <c r="F76" s="26"/>
      <c r="G76" s="26"/>
      <c r="H76" s="26"/>
      <c r="I76" s="26"/>
      <c r="J76" s="52"/>
      <c r="K76" s="48"/>
      <c r="L76" s="2"/>
    </row>
    <row r="77" spans="1:13" ht="29.25" customHeight="1" x14ac:dyDescent="0.35">
      <c r="A77" s="70" t="str">
        <f t="shared" ref="A77:B77" si="24">A23</f>
        <v>5624761</v>
      </c>
      <c r="B77" s="9" t="str">
        <f t="shared" si="24"/>
        <v>THE GROCERY PEOPLE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209"/>
    </row>
    <row r="78" spans="1:13" ht="29.25" customHeight="1" x14ac:dyDescent="0.35">
      <c r="A78" s="70" t="str">
        <f t="shared" ref="A78:B78" si="25">A24</f>
        <v>5625509</v>
      </c>
      <c r="B78" s="9" t="str">
        <f t="shared" si="25"/>
        <v>THE GROCERY PEOPLE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209"/>
    </row>
    <row r="79" spans="1:13" ht="29.25" customHeight="1" x14ac:dyDescent="0.35">
      <c r="A79" s="70" t="str">
        <f t="shared" ref="A79:B79" si="26">A25</f>
        <v>5626052</v>
      </c>
      <c r="B79" s="9" t="str">
        <f t="shared" si="26"/>
        <v>THE GROCERY PEOPLE</v>
      </c>
      <c r="C79" s="26"/>
      <c r="D79" s="26"/>
      <c r="E79" s="26">
        <v>351.91</v>
      </c>
      <c r="F79" s="26"/>
      <c r="G79" s="26"/>
      <c r="H79" s="26"/>
      <c r="I79" s="26"/>
      <c r="J79" s="52"/>
      <c r="K79" s="48"/>
      <c r="L79" s="2"/>
      <c r="M79" s="13" t="s">
        <v>55</v>
      </c>
    </row>
    <row r="80" spans="1:13" ht="29.25" customHeight="1" x14ac:dyDescent="0.35">
      <c r="A80" s="70" t="str">
        <f t="shared" ref="A80:B80" si="27">A26</f>
        <v>5626479</v>
      </c>
      <c r="B80" s="9" t="str">
        <f t="shared" si="27"/>
        <v>THE GROCERY PEOPLE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209"/>
    </row>
    <row r="81" spans="1:13" ht="29.25" customHeight="1" x14ac:dyDescent="0.35">
      <c r="A81" s="70" t="str">
        <f t="shared" ref="A81:B81" si="28">A27</f>
        <v>5626709</v>
      </c>
      <c r="B81" s="9" t="str">
        <f t="shared" si="28"/>
        <v>THE GROCERY PEOPLE</v>
      </c>
      <c r="C81" s="26"/>
      <c r="D81" s="26"/>
      <c r="E81" s="26"/>
      <c r="F81" s="26"/>
      <c r="G81" s="26"/>
      <c r="H81" s="26"/>
      <c r="I81" s="26"/>
      <c r="J81" s="52"/>
      <c r="K81" s="48"/>
      <c r="L81" s="2"/>
    </row>
    <row r="82" spans="1:13" ht="29.25" customHeight="1" x14ac:dyDescent="0.35">
      <c r="A82" s="70" t="str">
        <f t="shared" ref="A82:B82" si="29">A28</f>
        <v>5627364</v>
      </c>
      <c r="B82" s="9" t="str">
        <f t="shared" si="29"/>
        <v>THE GROCERY PEOPLE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209"/>
    </row>
    <row r="83" spans="1:13" ht="29.25" customHeight="1" x14ac:dyDescent="0.35">
      <c r="A83" s="70" t="str">
        <f t="shared" ref="A83:B83" si="30">A29</f>
        <v>5627676</v>
      </c>
      <c r="B83" s="9" t="str">
        <f t="shared" si="30"/>
        <v>THE GROCERY PEOPLE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209"/>
    </row>
    <row r="84" spans="1:13" ht="29.25" customHeight="1" x14ac:dyDescent="0.35">
      <c r="A84" s="70" t="str">
        <f t="shared" ref="A84:B84" si="31">A30</f>
        <v>5628111</v>
      </c>
      <c r="B84" s="9" t="str">
        <f t="shared" si="31"/>
        <v>THE GROCERY PEOPLE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209"/>
    </row>
    <row r="85" spans="1:13" ht="29.25" customHeight="1" x14ac:dyDescent="0.35">
      <c r="A85" s="70" t="str">
        <f t="shared" ref="A85:B85" si="32">A31</f>
        <v>8239352</v>
      </c>
      <c r="B85" s="9" t="str">
        <f t="shared" si="32"/>
        <v>THE GROCERY PEOPLE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209"/>
    </row>
    <row r="86" spans="1:13" ht="29.25" customHeight="1" x14ac:dyDescent="0.35">
      <c r="A86" s="70" t="str">
        <f t="shared" ref="A86:B86" si="33">A32</f>
        <v>8239683</v>
      </c>
      <c r="B86" s="9" t="str">
        <f t="shared" si="33"/>
        <v>THE GROCERY PEOPLE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209"/>
    </row>
    <row r="87" spans="1:13" ht="29.25" customHeight="1" x14ac:dyDescent="0.35">
      <c r="A87" s="70" t="str">
        <f t="shared" ref="A87:B87" si="34">A33</f>
        <v>5624975</v>
      </c>
      <c r="B87" s="9" t="str">
        <f t="shared" si="34"/>
        <v>THE GROCERY PEOPLE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209"/>
    </row>
    <row r="88" spans="1:13" ht="29.25" customHeight="1" x14ac:dyDescent="0.35">
      <c r="A88" s="70" t="str">
        <f t="shared" ref="A88:B88" si="35">A34</f>
        <v>5625079</v>
      </c>
      <c r="B88" s="9" t="str">
        <f t="shared" si="35"/>
        <v>THE GROCERY PEOPLE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209"/>
    </row>
    <row r="89" spans="1:13" ht="29.25" customHeight="1" x14ac:dyDescent="0.35">
      <c r="A89" s="70" t="str">
        <f t="shared" ref="A89:B89" si="36">A35</f>
        <v>5627277</v>
      </c>
      <c r="B89" s="9" t="str">
        <f t="shared" si="36"/>
        <v>THE GROCERY PEOPLE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209"/>
    </row>
    <row r="90" spans="1:13" ht="29.25" customHeight="1" x14ac:dyDescent="0.35">
      <c r="A90" s="70" t="str">
        <f t="shared" ref="A90:B90" si="37">A36</f>
        <v>5627365</v>
      </c>
      <c r="B90" s="9" t="str">
        <f t="shared" si="37"/>
        <v>THE GROCERY PEOPLE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209"/>
    </row>
    <row r="91" spans="1:13" ht="29.25" customHeight="1" x14ac:dyDescent="0.35">
      <c r="A91" s="70" t="str">
        <f t="shared" ref="A91:B91" si="38">A37</f>
        <v>5624976</v>
      </c>
      <c r="B91" s="9" t="str">
        <f t="shared" si="38"/>
        <v>THE GROCERY PEOPLE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209"/>
    </row>
    <row r="92" spans="1:13" ht="29.25" customHeight="1" x14ac:dyDescent="0.35">
      <c r="A92" s="70" t="str">
        <f t="shared" ref="A92:B92" si="39">A38</f>
        <v>5627404</v>
      </c>
      <c r="B92" s="9" t="str">
        <f t="shared" si="39"/>
        <v>THE GROCERY PEOPLE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209"/>
    </row>
    <row r="93" spans="1:13" ht="29.25" customHeight="1" x14ac:dyDescent="0.35">
      <c r="A93" s="70" t="str">
        <f t="shared" ref="A93:B93" si="40">A39</f>
        <v>5627560</v>
      </c>
      <c r="B93" s="9" t="str">
        <f t="shared" si="40"/>
        <v>THE GROCERY PEOPLE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209"/>
    </row>
    <row r="94" spans="1:13" ht="29.25" customHeight="1" x14ac:dyDescent="0.35">
      <c r="A94" s="70" t="str">
        <f t="shared" ref="A94:B94" si="41">A40</f>
        <v>5627677</v>
      </c>
      <c r="B94" s="9" t="str">
        <f t="shared" si="41"/>
        <v>THE GROCERY PEOPLE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209"/>
    </row>
    <row r="95" spans="1:13" ht="29.25" customHeight="1" x14ac:dyDescent="0.35">
      <c r="A95" s="70" t="str">
        <f t="shared" ref="A95:B95" si="42">A41</f>
        <v>5628243</v>
      </c>
      <c r="B95" s="9" t="str">
        <f t="shared" si="42"/>
        <v>THE GROCERY PEOPLE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209"/>
    </row>
    <row r="96" spans="1:13" ht="29.25" customHeight="1" x14ac:dyDescent="0.35">
      <c r="A96" s="70" t="str">
        <f t="shared" ref="A96:B96" si="43">A42</f>
        <v>5628265</v>
      </c>
      <c r="B96" s="9" t="str">
        <f t="shared" si="43"/>
        <v>THE GROCERY PEOPLE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209"/>
    </row>
    <row r="97" spans="1:14" ht="29.25" customHeight="1" x14ac:dyDescent="0.35">
      <c r="A97" s="70" t="str">
        <f t="shared" ref="A97:B97" si="44">A43</f>
        <v>5628266</v>
      </c>
      <c r="B97" s="9" t="str">
        <f t="shared" si="44"/>
        <v>THE GROCERY PEOPLE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209"/>
    </row>
    <row r="98" spans="1:14" ht="29.25" customHeight="1" x14ac:dyDescent="0.35">
      <c r="A98" s="70" t="str">
        <f t="shared" ref="A98:B98" si="45">A44</f>
        <v>5628288</v>
      </c>
      <c r="B98" s="9" t="str">
        <f t="shared" si="45"/>
        <v>THE GROCERY PEOPLE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209"/>
    </row>
    <row r="99" spans="1:14" ht="29.25" customHeight="1" x14ac:dyDescent="0.35">
      <c r="A99" s="70" t="str">
        <f t="shared" ref="A99:B99" si="46">A45</f>
        <v>5628408</v>
      </c>
      <c r="B99" s="9" t="str">
        <f t="shared" si="46"/>
        <v>THE GROCERY PEOPLE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209"/>
      <c r="N99" s="13" t="s">
        <v>82</v>
      </c>
    </row>
    <row r="100" spans="1:14" ht="29.25" customHeight="1" x14ac:dyDescent="0.35">
      <c r="A100" s="70" t="str">
        <f t="shared" ref="A100:B100" si="47">A46</f>
        <v>6637875</v>
      </c>
      <c r="B100" s="9" t="str">
        <f t="shared" si="47"/>
        <v>FEDERATED CO-OPERATIVES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209"/>
    </row>
    <row r="101" spans="1:14" ht="29.25" customHeight="1" x14ac:dyDescent="0.35">
      <c r="A101" s="70" t="str">
        <f t="shared" ref="A101:B101" si="48">A47</f>
        <v>6637876</v>
      </c>
      <c r="B101" s="9" t="str">
        <f t="shared" si="48"/>
        <v>FEDERATED CO-OPERATIVES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209"/>
    </row>
    <row r="102" spans="1:14" ht="29.25" customHeight="1" x14ac:dyDescent="0.35">
      <c r="A102" s="70" t="str">
        <f t="shared" ref="A102:B102" si="49">A48</f>
        <v>6648548</v>
      </c>
      <c r="B102" s="9" t="str">
        <f t="shared" si="49"/>
        <v>FEDERATED CO-OPERATIVES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209"/>
    </row>
    <row r="103" spans="1:14" ht="29.25" customHeight="1" x14ac:dyDescent="0.35">
      <c r="A103" s="70" t="str">
        <f t="shared" ref="A103:B103" si="50">A49</f>
        <v>6648549</v>
      </c>
      <c r="B103" s="9" t="str">
        <f t="shared" si="50"/>
        <v>FEDERATED CO-OPERATIVES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209"/>
    </row>
    <row r="104" spans="1:14" ht="29.25" customHeight="1" x14ac:dyDescent="0.35">
      <c r="A104" s="70" t="str">
        <f t="shared" ref="A104:B104" si="51">A50</f>
        <v>6647654</v>
      </c>
      <c r="B104" s="9" t="str">
        <f t="shared" si="51"/>
        <v>FEDERATED CO-OPERATIVES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209"/>
    </row>
    <row r="105" spans="1:14" ht="29.25" customHeight="1" x14ac:dyDescent="0.35">
      <c r="A105" s="70" t="str">
        <f t="shared" ref="A105:B105" si="52">A51</f>
        <v xml:space="preserve"> </v>
      </c>
      <c r="B105" s="9" t="str">
        <f t="shared" si="5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209"/>
    </row>
    <row r="106" spans="1:14" ht="29.25" customHeight="1" x14ac:dyDescent="0.35">
      <c r="A106" s="70" t="str">
        <f t="shared" ref="A106:B106" si="53">A52</f>
        <v xml:space="preserve"> </v>
      </c>
      <c r="B106" s="9" t="str">
        <f t="shared" si="5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209"/>
    </row>
    <row r="107" spans="1:14" ht="29.25" customHeight="1" x14ac:dyDescent="0.35">
      <c r="A107" s="70" t="str">
        <f t="shared" ref="A107:B107" si="54">A53</f>
        <v xml:space="preserve"> </v>
      </c>
      <c r="B107" s="9" t="str">
        <f t="shared" si="54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209"/>
    </row>
    <row r="108" spans="1:14" ht="29.25" customHeight="1" x14ac:dyDescent="0.35">
      <c r="A108" s="70" t="str">
        <f t="shared" ref="A108:B108" si="55">A54</f>
        <v xml:space="preserve"> </v>
      </c>
      <c r="B108" s="9" t="str">
        <f t="shared" si="55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209"/>
    </row>
    <row r="109" spans="1:14" ht="29.25" customHeight="1" x14ac:dyDescent="0.35">
      <c r="A109" s="70" t="str">
        <f t="shared" ref="A109:B109" si="56">A55</f>
        <v xml:space="preserve"> </v>
      </c>
      <c r="B109" s="9" t="str">
        <f t="shared" si="56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209" t="s">
        <v>82</v>
      </c>
    </row>
    <row r="110" spans="1:14" ht="29.25" customHeight="1" thickBot="1" x14ac:dyDescent="0.45">
      <c r="A110" s="9" t="str">
        <f t="shared" ref="A110" si="57">A57</f>
        <v>Department Totals</v>
      </c>
      <c r="B110" s="8"/>
      <c r="C110" s="53">
        <f>SUM(C60:C109)</f>
        <v>0</v>
      </c>
      <c r="D110" s="53">
        <f t="shared" ref="D110:J110" si="58">SUM(D60:D109)</f>
        <v>0</v>
      </c>
      <c r="E110" s="53">
        <f t="shared" si="58"/>
        <v>453.25</v>
      </c>
      <c r="F110" s="53">
        <f t="shared" si="58"/>
        <v>0</v>
      </c>
      <c r="G110" s="53">
        <f t="shared" si="58"/>
        <v>0</v>
      </c>
      <c r="H110" s="53">
        <f t="shared" si="58"/>
        <v>0</v>
      </c>
      <c r="I110" s="53">
        <f t="shared" si="58"/>
        <v>0</v>
      </c>
      <c r="J110" s="54">
        <f t="shared" si="58"/>
        <v>0</v>
      </c>
      <c r="K110" s="49">
        <f t="shared" ref="K110:L110" si="59">SUM(K60:K109)</f>
        <v>0</v>
      </c>
      <c r="L110" s="11">
        <f t="shared" si="59"/>
        <v>0</v>
      </c>
      <c r="M110" s="14"/>
    </row>
  </sheetData>
  <phoneticPr fontId="11" type="noConversion"/>
  <hyperlinks>
    <hyperlink ref="M60" location="'Receiving Totals'!O43" display="Receiving Totals" xr:uid="{DCDED4DA-9ACC-4940-9E2A-29A80441F3E4}"/>
    <hyperlink ref="M1" location="'Receiving Totals'!A1" display="Receiving Totals" xr:uid="{08871993-F550-4856-B937-D4A8BCD2DDAD}"/>
    <hyperlink ref="M109" location="'Receiving Totals'!O43" display="Receiving Totals" xr:uid="{727362BB-1220-4CA6-BED6-2F97DF7F84F9}"/>
  </hyperlinks>
  <pageMargins left="0.25" right="0.25" top="0.75" bottom="0.75" header="0.3" footer="0.3"/>
  <pageSetup scale="30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630A-B591-4E00-B7EC-581BA6A2556E}">
  <sheetPr>
    <tabColor rgb="FFFF0000"/>
  </sheetPr>
  <dimension ref="A1:O110"/>
  <sheetViews>
    <sheetView zoomScale="70" zoomScaleNormal="70" workbookViewId="0">
      <pane ySplit="5" topLeftCell="A6" activePane="bottomLeft" state="frozen"/>
      <selection sqref="A1:A2"/>
      <selection pane="bottomLeft" activeCell="M1" sqref="M1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5" style="13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5" ht="44.25" customHeight="1" x14ac:dyDescent="0.5">
      <c r="A1" s="12"/>
      <c r="B1" s="3" t="s">
        <v>0</v>
      </c>
      <c r="C1" s="17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 x14ac:dyDescent="0.5">
      <c r="A2" s="12"/>
      <c r="B2" s="5" t="s">
        <v>12</v>
      </c>
      <c r="C2" s="20">
        <f>1-E2-F2-G2-H2-I2-J2-K2-L2</f>
        <v>0.47799999999999998</v>
      </c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5" ht="33" customHeight="1" x14ac:dyDescent="0.5">
      <c r="A3" s="12"/>
      <c r="B3" s="65" t="s">
        <v>13</v>
      </c>
      <c r="C3" s="22">
        <f>C2*$N$3</f>
        <v>0</v>
      </c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5" ht="21" customHeight="1" thickBot="1" x14ac:dyDescent="0.4">
      <c r="A4" s="63" t="s">
        <v>14</v>
      </c>
      <c r="B4" s="64">
        <f>'Sunday WK1 (1)'!B4+1</f>
        <v>46195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29.25" customHeight="1" x14ac:dyDescent="0.35">
      <c r="A6" s="1" t="s">
        <v>95</v>
      </c>
      <c r="B6" s="68" t="s">
        <v>39</v>
      </c>
      <c r="C6" s="15">
        <f t="shared" ref="C6:C25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>
        <v>-35.020000000000003</v>
      </c>
      <c r="L6" s="15"/>
      <c r="M6" s="15"/>
      <c r="N6" s="55">
        <v>-35.020000000000003</v>
      </c>
      <c r="O6" s="148" t="s">
        <v>96</v>
      </c>
    </row>
    <row r="7" spans="1:15" ht="29.25" customHeight="1" x14ac:dyDescent="0.35">
      <c r="A7" s="1" t="s">
        <v>97</v>
      </c>
      <c r="B7" s="68" t="s">
        <v>39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>
        <v>-20.34</v>
      </c>
      <c r="L7" s="15"/>
      <c r="M7" s="15"/>
      <c r="N7" s="55">
        <v>-20.34</v>
      </c>
      <c r="O7" s="148" t="s">
        <v>98</v>
      </c>
    </row>
    <row r="8" spans="1:15" ht="29.25" customHeight="1" x14ac:dyDescent="0.35">
      <c r="A8" s="1" t="s">
        <v>99</v>
      </c>
      <c r="B8" s="68" t="s">
        <v>39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>
        <v>-22.33</v>
      </c>
      <c r="L8" s="15"/>
      <c r="M8" s="15"/>
      <c r="N8" s="55">
        <v>-22.33</v>
      </c>
      <c r="O8" s="148" t="s">
        <v>100</v>
      </c>
    </row>
    <row r="9" spans="1:15" ht="29.25" customHeight="1" x14ac:dyDescent="0.35">
      <c r="A9" s="1" t="s">
        <v>101</v>
      </c>
      <c r="B9" s="68" t="s">
        <v>39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>
        <v>-62</v>
      </c>
      <c r="L9" s="15"/>
      <c r="M9" s="15">
        <v>0</v>
      </c>
      <c r="N9" s="55">
        <v>-62</v>
      </c>
      <c r="O9" s="148" t="s">
        <v>102</v>
      </c>
    </row>
    <row r="10" spans="1:15" ht="29.25" customHeight="1" x14ac:dyDescent="0.35">
      <c r="A10" s="1" t="s">
        <v>103</v>
      </c>
      <c r="B10" s="68" t="s">
        <v>104</v>
      </c>
      <c r="C10" s="15">
        <f t="shared" si="1"/>
        <v>5954.6799999999994</v>
      </c>
      <c r="D10" s="15"/>
      <c r="E10" s="15"/>
      <c r="F10" s="15"/>
      <c r="G10" s="15"/>
      <c r="H10" s="15"/>
      <c r="I10" s="15"/>
      <c r="J10" s="15"/>
      <c r="K10" s="15"/>
      <c r="L10" s="15"/>
      <c r="M10" s="15">
        <v>247.06</v>
      </c>
      <c r="N10" s="55">
        <v>6201.74</v>
      </c>
    </row>
    <row r="11" spans="1:15" ht="29.25" customHeight="1" x14ac:dyDescent="0.35">
      <c r="A11" s="1" t="s">
        <v>105</v>
      </c>
      <c r="B11" s="68" t="s">
        <v>106</v>
      </c>
      <c r="C11" s="15">
        <f t="shared" si="1"/>
        <v>6843.37</v>
      </c>
      <c r="D11" s="15"/>
      <c r="E11" s="15"/>
      <c r="F11" s="15"/>
      <c r="G11" s="15"/>
      <c r="H11" s="15"/>
      <c r="I11" s="15"/>
      <c r="J11" s="15"/>
      <c r="K11" s="15"/>
      <c r="L11" s="15"/>
      <c r="M11" s="15">
        <v>192.53</v>
      </c>
      <c r="N11" s="55">
        <v>7035.9</v>
      </c>
    </row>
    <row r="12" spans="1:15" ht="29.25" customHeight="1" x14ac:dyDescent="0.35">
      <c r="A12" s="1" t="s">
        <v>107</v>
      </c>
      <c r="B12" s="68" t="s">
        <v>108</v>
      </c>
      <c r="C12" s="15">
        <f t="shared" si="1"/>
        <v>3172.5</v>
      </c>
      <c r="D12" s="15"/>
      <c r="E12" s="15"/>
      <c r="F12" s="15"/>
      <c r="G12" s="15"/>
      <c r="H12" s="15"/>
      <c r="I12" s="15"/>
      <c r="J12" s="15"/>
      <c r="K12" s="15"/>
      <c r="L12" s="15"/>
      <c r="M12" s="15">
        <v>158.63</v>
      </c>
      <c r="N12" s="55">
        <v>3331.13</v>
      </c>
    </row>
    <row r="13" spans="1:15" ht="29.25" customHeight="1" x14ac:dyDescent="0.35">
      <c r="A13" s="1" t="s">
        <v>109</v>
      </c>
      <c r="B13" s="68" t="s">
        <v>108</v>
      </c>
      <c r="C13" s="15">
        <f t="shared" si="1"/>
        <v>-19.41</v>
      </c>
      <c r="D13" s="15"/>
      <c r="E13" s="15"/>
      <c r="F13" s="15"/>
      <c r="G13" s="15"/>
      <c r="H13" s="15"/>
      <c r="I13" s="15"/>
      <c r="J13" s="15"/>
      <c r="K13" s="15"/>
      <c r="L13" s="15"/>
      <c r="M13" s="15">
        <v>-0.97</v>
      </c>
      <c r="N13" s="55">
        <v>-20.38</v>
      </c>
    </row>
    <row r="14" spans="1:15" ht="29.25" customHeight="1" x14ac:dyDescent="0.35">
      <c r="A14" s="1" t="s">
        <v>110</v>
      </c>
      <c r="B14" s="68" t="s">
        <v>29</v>
      </c>
      <c r="C14" s="15">
        <f t="shared" si="1"/>
        <v>290.94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>
        <v>290.94</v>
      </c>
    </row>
    <row r="15" spans="1:15" ht="29.25" customHeight="1" x14ac:dyDescent="0.35">
      <c r="A15" s="1" t="s">
        <v>111</v>
      </c>
      <c r="B15" s="68" t="s">
        <v>112</v>
      </c>
      <c r="C15" s="15">
        <f t="shared" si="1"/>
        <v>8801.4</v>
      </c>
      <c r="D15" s="15"/>
      <c r="E15" s="15"/>
      <c r="F15" s="15"/>
      <c r="G15" s="15"/>
      <c r="H15" s="15"/>
      <c r="I15" s="15"/>
      <c r="J15" s="15"/>
      <c r="K15" s="15"/>
      <c r="L15" s="15"/>
      <c r="M15" s="15">
        <v>422.34</v>
      </c>
      <c r="N15" s="55">
        <v>9223.74</v>
      </c>
    </row>
    <row r="16" spans="1:15" ht="29.25" customHeight="1" x14ac:dyDescent="0.35">
      <c r="A16" s="1" t="s">
        <v>113</v>
      </c>
      <c r="B16" s="68" t="s">
        <v>112</v>
      </c>
      <c r="C16" s="15">
        <f t="shared" si="1"/>
        <v>-4801.7999999999993</v>
      </c>
      <c r="D16" s="15"/>
      <c r="E16" s="15"/>
      <c r="F16" s="15"/>
      <c r="G16" s="15"/>
      <c r="H16" s="15"/>
      <c r="I16" s="15"/>
      <c r="J16" s="15"/>
      <c r="K16" s="15"/>
      <c r="L16" s="15"/>
      <c r="M16" s="15">
        <v>-231.81</v>
      </c>
      <c r="N16" s="55">
        <v>-5033.6099999999997</v>
      </c>
    </row>
    <row r="17" spans="1:14" ht="29.25" customHeight="1" x14ac:dyDescent="0.35">
      <c r="A17" s="1" t="s">
        <v>114</v>
      </c>
      <c r="B17" s="68" t="s">
        <v>115</v>
      </c>
      <c r="C17" s="15">
        <f t="shared" si="1"/>
        <v>463.47</v>
      </c>
      <c r="D17" s="15"/>
      <c r="E17" s="15"/>
      <c r="F17" s="15"/>
      <c r="G17" s="15"/>
      <c r="H17" s="15"/>
      <c r="I17" s="15"/>
      <c r="J17" s="15"/>
      <c r="K17" s="15"/>
      <c r="L17" s="15"/>
      <c r="M17" s="15">
        <v>13.63</v>
      </c>
      <c r="N17" s="55">
        <v>477.1</v>
      </c>
    </row>
    <row r="18" spans="1:14" ht="29.25" customHeight="1" x14ac:dyDescent="0.35">
      <c r="A18" s="1" t="s">
        <v>116</v>
      </c>
      <c r="B18" s="68" t="s">
        <v>115</v>
      </c>
      <c r="C18" s="15">
        <f t="shared" si="1"/>
        <v>-76.48</v>
      </c>
      <c r="D18" s="15"/>
      <c r="E18" s="15"/>
      <c r="F18" s="15"/>
      <c r="G18" s="15"/>
      <c r="H18" s="15"/>
      <c r="I18" s="15"/>
      <c r="J18" s="15"/>
      <c r="K18" s="15"/>
      <c r="L18" s="15"/>
      <c r="M18" s="15">
        <v>-3.82</v>
      </c>
      <c r="N18" s="55">
        <v>-80.3</v>
      </c>
    </row>
    <row r="19" spans="1:14" ht="29.25" customHeight="1" x14ac:dyDescent="0.35">
      <c r="A19" s="1" t="s">
        <v>117</v>
      </c>
      <c r="B19" s="68" t="s">
        <v>118</v>
      </c>
      <c r="C19" s="15">
        <f t="shared" si="1"/>
        <v>1238.2900000000002</v>
      </c>
      <c r="D19" s="15"/>
      <c r="E19" s="15"/>
      <c r="F19" s="15"/>
      <c r="G19" s="15"/>
      <c r="H19" s="15"/>
      <c r="I19" s="15"/>
      <c r="J19" s="15"/>
      <c r="K19" s="15"/>
      <c r="L19" s="15"/>
      <c r="M19" s="15">
        <v>1.87</v>
      </c>
      <c r="N19" s="55">
        <v>1240.1600000000001</v>
      </c>
    </row>
    <row r="20" spans="1:14" ht="29.25" customHeight="1" x14ac:dyDescent="0.35">
      <c r="A20" s="1" t="s">
        <v>119</v>
      </c>
      <c r="B20" s="68" t="s">
        <v>118</v>
      </c>
      <c r="C20" s="15">
        <f t="shared" si="1"/>
        <v>-318.43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>
        <v>-318.43</v>
      </c>
    </row>
    <row r="21" spans="1:14" ht="29.25" customHeight="1" x14ac:dyDescent="0.35">
      <c r="A21" s="1" t="s">
        <v>120</v>
      </c>
      <c r="B21" s="68" t="s">
        <v>121</v>
      </c>
      <c r="C21" s="15">
        <f t="shared" si="1"/>
        <v>388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>
        <v>388</v>
      </c>
    </row>
    <row r="22" spans="1:14" ht="29.25" customHeight="1" x14ac:dyDescent="0.35">
      <c r="A22" s="1" t="s">
        <v>122</v>
      </c>
      <c r="B22" s="68" t="s">
        <v>123</v>
      </c>
      <c r="C22" s="15">
        <f t="shared" si="1"/>
        <v>3014.44</v>
      </c>
      <c r="D22" s="15"/>
      <c r="E22" s="15"/>
      <c r="F22" s="15"/>
      <c r="G22" s="15"/>
      <c r="H22" s="15"/>
      <c r="I22" s="15"/>
      <c r="J22" s="15"/>
      <c r="K22" s="15"/>
      <c r="L22" s="15"/>
      <c r="M22" s="15">
        <v>149.27000000000001</v>
      </c>
      <c r="N22" s="55">
        <v>3163.71</v>
      </c>
    </row>
    <row r="23" spans="1:14" ht="29.25" customHeight="1" x14ac:dyDescent="0.35">
      <c r="A23" s="1" t="s">
        <v>124</v>
      </c>
      <c r="B23" s="482" t="s">
        <v>125</v>
      </c>
      <c r="C23" s="15">
        <f t="shared" si="1"/>
        <v>-37.200000000000003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>
        <v>-37.200000000000003</v>
      </c>
    </row>
    <row r="24" spans="1:14" ht="29.25" customHeight="1" x14ac:dyDescent="0.35">
      <c r="A24" s="1" t="s">
        <v>82</v>
      </c>
      <c r="B24" s="68" t="s">
        <v>82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ref="C26:C28" si="2">N26-D26-E26-F26-G26-H26-I26-J26-K26-L26-M26-D80-E80-F80-G80-H80-I80-J80-K80-L80-C80</f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ref="C29:C37" si="3">N29-D29-E29-F29-G29-H29-I29-J29-K29-L29-M29-D83-E83-F83-G83-H83-I83-J83-K83-L83-C83</f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3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3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3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3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3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3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3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3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ref="C38:C55" si="4">N38-D38-E38-F38-G38-H38-I38-J38-K38-L38-M38-D92-E92-F92-G92-H92-I92-J92-K92-L92-C92</f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4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4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4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4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4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4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4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4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4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4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82</v>
      </c>
      <c r="B49" s="68" t="s">
        <v>82</v>
      </c>
      <c r="C49" s="15">
        <f t="shared" si="4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82</v>
      </c>
      <c r="B50" s="68" t="s">
        <v>82</v>
      </c>
      <c r="C50" s="15">
        <f t="shared" si="4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82</v>
      </c>
      <c r="B51" s="68" t="s">
        <v>82</v>
      </c>
      <c r="C51" s="15">
        <f t="shared" si="4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82</v>
      </c>
      <c r="B52" s="68" t="s">
        <v>82</v>
      </c>
      <c r="C52" s="15">
        <f t="shared" si="4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82</v>
      </c>
      <c r="B53" s="68" t="s">
        <v>82</v>
      </c>
      <c r="C53" s="15">
        <f t="shared" si="4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82</v>
      </c>
      <c r="B54" s="68" t="s">
        <v>82</v>
      </c>
      <c r="C54" s="15">
        <f t="shared" si="4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82</v>
      </c>
      <c r="B55" s="68" t="s">
        <v>82</v>
      </c>
      <c r="C55" s="15">
        <f t="shared" si="4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 x14ac:dyDescent="0.4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</row>
    <row r="57" spans="1:14" ht="29.25" customHeight="1" thickBot="1" x14ac:dyDescent="0.45">
      <c r="A57" s="24" t="s">
        <v>84</v>
      </c>
      <c r="B57" s="10"/>
      <c r="C57" s="61">
        <f t="shared" ref="C57:M57" si="6">SUM(C6:C56)</f>
        <v>24913.77</v>
      </c>
      <c r="D57" s="61">
        <f t="shared" si="6"/>
        <v>0</v>
      </c>
      <c r="E57" s="61">
        <f t="shared" si="6"/>
        <v>0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-139.69</v>
      </c>
      <c r="L57" s="61">
        <f t="shared" si="6"/>
        <v>0</v>
      </c>
      <c r="M57" s="61">
        <f t="shared" si="6"/>
        <v>948.7299999999999</v>
      </c>
      <c r="N57" s="61">
        <f>SUM(N6:N56)</f>
        <v>25722.809999999994</v>
      </c>
    </row>
    <row r="58" spans="1:14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 x14ac:dyDescent="0.35">
      <c r="A59" s="6" t="str">
        <f t="shared" ref="A59:B61" si="7">A5</f>
        <v>Invoice Number</v>
      </c>
      <c r="B59" s="6" t="str">
        <f t="shared" si="7"/>
        <v>Supplier Name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4" ht="29.25" customHeight="1" x14ac:dyDescent="0.35">
      <c r="A60" s="70" t="str">
        <f t="shared" si="7"/>
        <v>9597126</v>
      </c>
      <c r="B60" s="9" t="str">
        <f t="shared" si="7"/>
        <v>THE GROCERY PEOPLE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si="7"/>
        <v>9597117</v>
      </c>
      <c r="B61" s="9" t="str">
        <f t="shared" si="7"/>
        <v>THE GROCERY PEOPLE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ref="A62:B77" si="8">A8</f>
        <v>9598881</v>
      </c>
      <c r="B62" s="9" t="str">
        <f t="shared" si="8"/>
        <v>THE GROCERY PEOPLE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si="8"/>
        <v>9598880</v>
      </c>
      <c r="B63" s="9" t="str">
        <f t="shared" si="8"/>
        <v>THE GROCERY PEOPLE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si="8"/>
        <v>52933821006</v>
      </c>
      <c r="B64" s="9" t="str">
        <f t="shared" si="8"/>
        <v>COCA COLA CANADA BOTTLING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8"/>
        <v>53927300</v>
      </c>
      <c r="B65" s="9" t="str">
        <f t="shared" si="8"/>
        <v>PEPSICO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8"/>
        <v>32698</v>
      </c>
      <c r="B66" s="9" t="str">
        <f t="shared" si="8"/>
        <v>NELLA WEST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8"/>
        <v>2306</v>
      </c>
      <c r="B67" s="9" t="str">
        <f t="shared" si="8"/>
        <v>NELLA WEST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8"/>
        <v>126301</v>
      </c>
      <c r="B68" s="9" t="str">
        <f t="shared" si="8"/>
        <v>ITALIAN BAKERY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8"/>
        <v>2031031154</v>
      </c>
      <c r="B69" s="9" t="str">
        <f t="shared" si="8"/>
        <v>RED BULL CANADA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8"/>
        <v>2031031155</v>
      </c>
      <c r="B70" s="9" t="str">
        <f t="shared" si="8"/>
        <v>RED BULL CANADA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8"/>
        <v>82849759</v>
      </c>
      <c r="B71" s="9" t="str">
        <f t="shared" si="8"/>
        <v>OLD DUTCH FOODS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8"/>
        <v>82849760</v>
      </c>
      <c r="B72" s="9" t="str">
        <f t="shared" si="8"/>
        <v>OLD DUTCH FOODS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8"/>
        <v>226650717304</v>
      </c>
      <c r="B73" s="9" t="str">
        <f t="shared" si="8"/>
        <v>CANADA BREAD COMPANY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8"/>
        <v>226650717305</v>
      </c>
      <c r="B74" s="9" t="str">
        <f t="shared" si="8"/>
        <v>CANADA BREAD COMPANY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8"/>
        <v>00020604</v>
      </c>
      <c r="B75" s="9" t="str">
        <f t="shared" si="8"/>
        <v>SEVEN SEAS FISH CO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8"/>
        <v>91205735</v>
      </c>
      <c r="B76" s="9" t="str">
        <f t="shared" si="8"/>
        <v>FRITO LAY CANADA VENDING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si="8"/>
        <v>9501286</v>
      </c>
      <c r="B77" s="9" t="str">
        <f t="shared" si="8"/>
        <v>RECALL CLAIM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ref="A78:B93" si="9">A24</f>
        <v xml:space="preserve"> </v>
      </c>
      <c r="B78" s="9" t="str">
        <f t="shared" si="9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9"/>
        <v xml:space="preserve"> </v>
      </c>
      <c r="B79" s="9" t="str">
        <f t="shared" si="9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9"/>
        <v xml:space="preserve"> </v>
      </c>
      <c r="B80" s="9" t="str">
        <f t="shared" si="9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9"/>
        <v xml:space="preserve"> </v>
      </c>
      <c r="B81" s="9" t="str">
        <f t="shared" si="9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9"/>
        <v xml:space="preserve"> </v>
      </c>
      <c r="B82" s="9" t="str">
        <f t="shared" si="9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9"/>
        <v xml:space="preserve"> </v>
      </c>
      <c r="B83" s="9" t="str">
        <f t="shared" si="9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9"/>
        <v xml:space="preserve"> </v>
      </c>
      <c r="B84" s="9" t="str">
        <f t="shared" si="9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9"/>
        <v xml:space="preserve"> </v>
      </c>
      <c r="B85" s="9" t="str">
        <f t="shared" si="9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9"/>
        <v xml:space="preserve"> </v>
      </c>
      <c r="B86" s="9" t="str">
        <f t="shared" si="9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9"/>
        <v xml:space="preserve"> </v>
      </c>
      <c r="B87" s="9" t="str">
        <f t="shared" si="9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9"/>
        <v xml:space="preserve"> </v>
      </c>
      <c r="B88" s="9" t="str">
        <f t="shared" si="9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9"/>
        <v xml:space="preserve"> </v>
      </c>
      <c r="B89" s="9" t="str">
        <f t="shared" si="9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9"/>
        <v xml:space="preserve"> </v>
      </c>
      <c r="B90" s="9" t="str">
        <f t="shared" si="9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9"/>
        <v xml:space="preserve"> </v>
      </c>
      <c r="B91" s="9" t="str">
        <f t="shared" si="9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9"/>
        <v xml:space="preserve"> </v>
      </c>
      <c r="B92" s="9" t="str">
        <f t="shared" si="9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si="9"/>
        <v xml:space="preserve"> </v>
      </c>
      <c r="B93" s="9" t="str">
        <f t="shared" si="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ref="A94:B109" si="10">A40</f>
        <v xml:space="preserve"> </v>
      </c>
      <c r="B94" s="9" t="str">
        <f t="shared" si="10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0"/>
        <v xml:space="preserve"> </v>
      </c>
      <c r="B95" s="9" t="str">
        <f t="shared" si="10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0"/>
        <v xml:space="preserve"> </v>
      </c>
      <c r="B96" s="9" t="str">
        <f t="shared" si="10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0"/>
        <v xml:space="preserve"> </v>
      </c>
      <c r="B97" s="9" t="str">
        <f t="shared" si="10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0"/>
        <v xml:space="preserve"> </v>
      </c>
      <c r="B98" s="9" t="str">
        <f t="shared" si="10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0"/>
        <v xml:space="preserve"> </v>
      </c>
      <c r="B99" s="9" t="str">
        <f t="shared" si="10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0"/>
        <v xml:space="preserve"> </v>
      </c>
      <c r="B100" s="9" t="str">
        <f t="shared" si="10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0"/>
        <v xml:space="preserve"> </v>
      </c>
      <c r="B101" s="9" t="str">
        <f t="shared" si="10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0"/>
        <v xml:space="preserve"> </v>
      </c>
      <c r="B102" s="9" t="str">
        <f t="shared" si="10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0"/>
        <v xml:space="preserve"> </v>
      </c>
      <c r="B103" s="9" t="str">
        <f t="shared" si="10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0"/>
        <v xml:space="preserve"> </v>
      </c>
      <c r="B104" s="9" t="str">
        <f t="shared" si="10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0"/>
        <v xml:space="preserve"> </v>
      </c>
      <c r="B105" s="9" t="str">
        <f t="shared" si="10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0"/>
        <v xml:space="preserve"> </v>
      </c>
      <c r="B106" s="9" t="str">
        <f t="shared" si="10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0"/>
        <v xml:space="preserve"> </v>
      </c>
      <c r="B107" s="9" t="str">
        <f t="shared" si="10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0"/>
        <v xml:space="preserve"> </v>
      </c>
      <c r="B108" s="9" t="str">
        <f t="shared" si="10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si="10"/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tr">
        <f t="shared" ref="A110" si="11">A57</f>
        <v>Department Totals</v>
      </c>
      <c r="B110" s="8"/>
      <c r="C110" s="53">
        <f>SUM(C60:C109)</f>
        <v>0</v>
      </c>
      <c r="D110" s="53">
        <f>SUM(D60:D109)</f>
        <v>0</v>
      </c>
      <c r="E110" s="53">
        <f t="shared" ref="E110:L110" si="12">SUM(E60:E109)</f>
        <v>0</v>
      </c>
      <c r="F110" s="53">
        <f t="shared" si="12"/>
        <v>0</v>
      </c>
      <c r="G110" s="53">
        <f t="shared" si="12"/>
        <v>0</v>
      </c>
      <c r="H110" s="53">
        <f t="shared" si="12"/>
        <v>0</v>
      </c>
      <c r="I110" s="53">
        <f t="shared" si="12"/>
        <v>0</v>
      </c>
      <c r="J110" s="54">
        <f t="shared" si="12"/>
        <v>0</v>
      </c>
      <c r="K110" s="49">
        <f t="shared" si="12"/>
        <v>0</v>
      </c>
      <c r="L110" s="11">
        <f t="shared" si="12"/>
        <v>0</v>
      </c>
      <c r="M110" s="14"/>
    </row>
  </sheetData>
  <hyperlinks>
    <hyperlink ref="M1" location="'Receiving Totals'!A1" display="Receiving Totals" xr:uid="{3C5BCD78-E32F-40D6-951A-C4864C710A30}"/>
  </hyperlinks>
  <pageMargins left="0.7" right="0.7" top="0.75" bottom="0.75" header="0.3" footer="0.3"/>
  <pageSetup scale="34" fitToWidth="0" fitToHeight="0" orientation="landscape" horizontalDpi="300" verticalDpi="300" r:id="rId1"/>
  <rowBreaks count="1" manualBreakCount="1">
    <brk id="5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6A26-D19C-41F6-A18C-35172DE9CF3C}">
  <dimension ref="A1:O110"/>
  <sheetViews>
    <sheetView zoomScale="70" zoomScaleNormal="70" workbookViewId="0">
      <pane ySplit="5" topLeftCell="A35" activePane="bottomLeft" state="frozen"/>
      <selection sqref="A1:A2"/>
      <selection pane="bottomLeft" activeCell="E42" sqref="E42"/>
    </sheetView>
  </sheetViews>
  <sheetFormatPr defaultColWidth="9.140625" defaultRowHeight="23.25" x14ac:dyDescent="0.35"/>
  <cols>
    <col min="1" max="2" width="48.42578125" style="13" customWidth="1"/>
    <col min="3" max="3" width="32.5703125" style="13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32.28515625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 t="s">
        <v>13</v>
      </c>
      <c r="C3" s="22">
        <f>C2*$N$3</f>
        <v>136.79882000000001</v>
      </c>
      <c r="D3" s="22"/>
      <c r="E3" s="22">
        <f t="shared" ref="E3:L3" si="0">E2*$N$3</f>
        <v>28.332810000000002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45.50421</v>
      </c>
      <c r="J3" s="22">
        <f t="shared" si="0"/>
        <v>34.915179999999999</v>
      </c>
      <c r="K3" s="22">
        <f t="shared" si="0"/>
        <v>40.638979999999997</v>
      </c>
      <c r="L3" s="22">
        <f t="shared" si="0"/>
        <v>0</v>
      </c>
      <c r="M3" s="22"/>
      <c r="N3" s="23">
        <v>286.19</v>
      </c>
    </row>
    <row r="4" spans="1:14" ht="21" customHeight="1" x14ac:dyDescent="0.35">
      <c r="A4" s="63" t="s">
        <v>14</v>
      </c>
      <c r="B4" s="64">
        <f>'Monday WK1 (2)'!B4+1</f>
        <v>46196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126</v>
      </c>
      <c r="B6" s="68" t="s">
        <v>31</v>
      </c>
      <c r="C6" s="15">
        <f t="shared" ref="C6:C48" si="1">N6-D6-E6-F6-G6-H6-I6-J6-K6-L6-M6-D60-E60-F60-G60-H60-I60-J60-K60-L60-C60</f>
        <v>-1.0913492332065289E-13</v>
      </c>
      <c r="D6" s="15"/>
      <c r="E6" s="15"/>
      <c r="F6" s="15"/>
      <c r="G6" s="15"/>
      <c r="H6" s="15"/>
      <c r="I6" s="15"/>
      <c r="J6" s="15"/>
      <c r="K6" s="15">
        <v>2872.12</v>
      </c>
      <c r="L6" s="15"/>
      <c r="M6" s="15">
        <v>0.37</v>
      </c>
      <c r="N6" s="55">
        <v>2872.49</v>
      </c>
    </row>
    <row r="7" spans="1:14" ht="29.25" customHeight="1" x14ac:dyDescent="0.35">
      <c r="A7" s="1" t="s">
        <v>127</v>
      </c>
      <c r="B7" s="68" t="s">
        <v>31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>
        <v>27.3</v>
      </c>
      <c r="L7" s="15"/>
      <c r="M7" s="15"/>
      <c r="N7" s="55">
        <v>27.3</v>
      </c>
    </row>
    <row r="8" spans="1:14" ht="29.25" customHeight="1" x14ac:dyDescent="0.35">
      <c r="A8" s="1" t="s">
        <v>128</v>
      </c>
      <c r="B8" s="68" t="s">
        <v>39</v>
      </c>
      <c r="C8" s="15">
        <f t="shared" si="1"/>
        <v>0</v>
      </c>
      <c r="D8" s="15"/>
      <c r="E8" s="15">
        <v>3583.6</v>
      </c>
      <c r="F8" s="15"/>
      <c r="G8" s="15"/>
      <c r="H8" s="15"/>
      <c r="I8" s="15"/>
      <c r="J8" s="15"/>
      <c r="K8" s="15"/>
      <c r="L8" s="15"/>
      <c r="M8" s="15"/>
      <c r="N8" s="55">
        <v>3583.6</v>
      </c>
    </row>
    <row r="9" spans="1:14" ht="29.25" customHeight="1" x14ac:dyDescent="0.35">
      <c r="A9" s="1" t="s">
        <v>129</v>
      </c>
      <c r="B9" s="68" t="s">
        <v>39</v>
      </c>
      <c r="C9" s="15">
        <f t="shared" si="1"/>
        <v>0</v>
      </c>
      <c r="D9" s="15"/>
      <c r="E9" s="15">
        <v>868.06</v>
      </c>
      <c r="F9" s="15"/>
      <c r="G9" s="15"/>
      <c r="H9" s="15"/>
      <c r="I9" s="15"/>
      <c r="J9" s="15"/>
      <c r="K9" s="15"/>
      <c r="L9" s="15"/>
      <c r="M9" s="15"/>
      <c r="N9" s="55">
        <v>868.06</v>
      </c>
    </row>
    <row r="10" spans="1:14" ht="29.25" customHeight="1" x14ac:dyDescent="0.35">
      <c r="A10" s="1" t="s">
        <v>130</v>
      </c>
      <c r="B10" s="68" t="s">
        <v>39</v>
      </c>
      <c r="C10" s="15">
        <f t="shared" si="1"/>
        <v>0</v>
      </c>
      <c r="D10" s="15"/>
      <c r="E10" s="15">
        <v>468.47</v>
      </c>
      <c r="F10" s="15"/>
      <c r="G10" s="15"/>
      <c r="H10" s="15"/>
      <c r="I10" s="15"/>
      <c r="J10" s="15"/>
      <c r="K10" s="15"/>
      <c r="L10" s="15"/>
      <c r="M10" s="15"/>
      <c r="N10" s="55">
        <v>468.47</v>
      </c>
    </row>
    <row r="11" spans="1:14" ht="29.25" customHeight="1" x14ac:dyDescent="0.35">
      <c r="A11" s="1" t="s">
        <v>131</v>
      </c>
      <c r="B11" s="68" t="s">
        <v>39</v>
      </c>
      <c r="C11" s="15">
        <f t="shared" si="1"/>
        <v>0</v>
      </c>
      <c r="D11" s="15"/>
      <c r="E11" s="15">
        <v>40.369999999999997</v>
      </c>
      <c r="F11" s="15"/>
      <c r="G11" s="15"/>
      <c r="H11" s="15"/>
      <c r="I11" s="15"/>
      <c r="J11" s="15"/>
      <c r="K11" s="15"/>
      <c r="L11" s="15"/>
      <c r="M11" s="15"/>
      <c r="N11" s="55">
        <v>40.369999999999997</v>
      </c>
    </row>
    <row r="12" spans="1:14" ht="29.25" customHeight="1" x14ac:dyDescent="0.35">
      <c r="A12" s="1" t="s">
        <v>132</v>
      </c>
      <c r="B12" s="68" t="s">
        <v>39</v>
      </c>
      <c r="C12" s="15">
        <f t="shared" si="1"/>
        <v>1461.2800000000002</v>
      </c>
      <c r="D12" s="15"/>
      <c r="E12" s="15">
        <v>67.599999999999994</v>
      </c>
      <c r="F12" s="15"/>
      <c r="G12" s="15"/>
      <c r="H12" s="15"/>
      <c r="I12" s="15"/>
      <c r="J12" s="15"/>
      <c r="K12" s="15"/>
      <c r="L12" s="15"/>
      <c r="M12" s="15"/>
      <c r="N12" s="55">
        <v>1528.88</v>
      </c>
    </row>
    <row r="13" spans="1:14" ht="29.25" customHeight="1" x14ac:dyDescent="0.35">
      <c r="A13" s="1" t="s">
        <v>133</v>
      </c>
      <c r="B13" s="68" t="s">
        <v>39</v>
      </c>
      <c r="C13" s="15">
        <f t="shared" si="1"/>
        <v>53.56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>
        <v>53.56</v>
      </c>
    </row>
    <row r="14" spans="1:14" ht="29.25" customHeight="1" x14ac:dyDescent="0.35">
      <c r="A14" s="1" t="s">
        <v>134</v>
      </c>
      <c r="B14" s="68" t="s">
        <v>39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>
        <v>238.18</v>
      </c>
      <c r="L14" s="15"/>
      <c r="M14" s="15"/>
      <c r="N14" s="55">
        <v>238.18</v>
      </c>
    </row>
    <row r="15" spans="1:14" ht="29.25" customHeight="1" x14ac:dyDescent="0.35">
      <c r="A15" s="1" t="s">
        <v>135</v>
      </c>
      <c r="B15" s="68" t="s">
        <v>39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>
        <v>17.670000000000002</v>
      </c>
      <c r="L15" s="15"/>
      <c r="M15" s="15"/>
      <c r="N15" s="55">
        <v>17.670000000000002</v>
      </c>
    </row>
    <row r="16" spans="1:14" ht="29.25" customHeight="1" x14ac:dyDescent="0.35">
      <c r="A16" s="1" t="s">
        <v>136</v>
      </c>
      <c r="B16" s="68" t="s">
        <v>39</v>
      </c>
      <c r="C16" s="15">
        <f t="shared" si="1"/>
        <v>17.82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>
        <v>17.82</v>
      </c>
    </row>
    <row r="17" spans="1:15" ht="29.25" customHeight="1" x14ac:dyDescent="0.35">
      <c r="A17" s="1" t="s">
        <v>137</v>
      </c>
      <c r="B17" s="68" t="s">
        <v>39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>
        <v>61.96</v>
      </c>
      <c r="L17" s="15"/>
      <c r="M17" s="15"/>
      <c r="N17" s="55">
        <v>61.96</v>
      </c>
    </row>
    <row r="18" spans="1:15" ht="29.25" customHeight="1" x14ac:dyDescent="0.35">
      <c r="A18" s="1" t="s">
        <v>138</v>
      </c>
      <c r="B18" s="68" t="s">
        <v>39</v>
      </c>
      <c r="C18" s="15">
        <f t="shared" si="1"/>
        <v>146.06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>
        <v>146.06</v>
      </c>
    </row>
    <row r="19" spans="1:15" ht="29.25" customHeight="1" x14ac:dyDescent="0.35">
      <c r="A19" s="1" t="s">
        <v>139</v>
      </c>
      <c r="B19" s="68" t="s">
        <v>39</v>
      </c>
      <c r="C19" s="15">
        <f t="shared" si="1"/>
        <v>751.57</v>
      </c>
      <c r="D19" s="15"/>
      <c r="E19" s="15">
        <v>227.62</v>
      </c>
      <c r="F19" s="15"/>
      <c r="G19" s="15"/>
      <c r="H19" s="15"/>
      <c r="I19" s="15"/>
      <c r="J19" s="15"/>
      <c r="K19" s="15"/>
      <c r="L19" s="15"/>
      <c r="M19" s="15"/>
      <c r="N19" s="55">
        <v>979.19</v>
      </c>
    </row>
    <row r="20" spans="1:15" ht="29.25" customHeight="1" x14ac:dyDescent="0.35">
      <c r="A20" s="1" t="s">
        <v>140</v>
      </c>
      <c r="B20" s="68" t="s">
        <v>39</v>
      </c>
      <c r="C20" s="15">
        <f t="shared" si="1"/>
        <v>2602.5300000000002</v>
      </c>
      <c r="D20" s="15"/>
      <c r="E20" s="15"/>
      <c r="F20" s="15"/>
      <c r="G20" s="15"/>
      <c r="H20" s="15"/>
      <c r="I20" s="15"/>
      <c r="J20" s="15"/>
      <c r="K20" s="15">
        <v>81.23</v>
      </c>
      <c r="L20" s="15"/>
      <c r="M20" s="15"/>
      <c r="N20" s="55">
        <v>2683.76</v>
      </c>
    </row>
    <row r="21" spans="1:15" ht="29.25" customHeight="1" x14ac:dyDescent="0.35">
      <c r="A21" s="1" t="s">
        <v>141</v>
      </c>
      <c r="B21" s="68" t="s">
        <v>39</v>
      </c>
      <c r="C21" s="15">
        <f t="shared" si="1"/>
        <v>93.330000000000155</v>
      </c>
      <c r="D21" s="15"/>
      <c r="E21" s="15"/>
      <c r="F21" s="15"/>
      <c r="G21" s="15"/>
      <c r="H21" s="15"/>
      <c r="I21" s="15"/>
      <c r="J21" s="15"/>
      <c r="K21" s="15">
        <v>1997.11</v>
      </c>
      <c r="L21" s="15"/>
      <c r="M21" s="15"/>
      <c r="N21" s="55">
        <v>2090.44</v>
      </c>
    </row>
    <row r="22" spans="1:15" ht="29.25" customHeight="1" x14ac:dyDescent="0.35">
      <c r="A22" s="1" t="s">
        <v>142</v>
      </c>
      <c r="B22" s="68" t="s">
        <v>39</v>
      </c>
      <c r="C22" s="15">
        <f t="shared" si="1"/>
        <v>0</v>
      </c>
      <c r="D22" s="15"/>
      <c r="E22" s="15">
        <v>912.24</v>
      </c>
      <c r="F22" s="15"/>
      <c r="G22" s="15"/>
      <c r="H22" s="15"/>
      <c r="I22" s="15"/>
      <c r="J22" s="15"/>
      <c r="K22" s="15"/>
      <c r="L22" s="15"/>
      <c r="M22" s="15"/>
      <c r="N22" s="55">
        <v>912.24</v>
      </c>
    </row>
    <row r="23" spans="1:15" ht="29.25" customHeight="1" x14ac:dyDescent="0.35">
      <c r="A23" s="1" t="s">
        <v>143</v>
      </c>
      <c r="B23" s="68" t="s">
        <v>39</v>
      </c>
      <c r="C23" s="15">
        <f t="shared" si="1"/>
        <v>0</v>
      </c>
      <c r="D23" s="15"/>
      <c r="E23" s="15">
        <v>574.25</v>
      </c>
      <c r="F23" s="15"/>
      <c r="G23" s="15"/>
      <c r="H23" s="15"/>
      <c r="I23" s="15"/>
      <c r="J23" s="15"/>
      <c r="K23" s="15"/>
      <c r="L23" s="15"/>
      <c r="M23" s="15"/>
      <c r="N23" s="55">
        <v>574.25</v>
      </c>
    </row>
    <row r="24" spans="1:15" ht="29.25" customHeight="1" x14ac:dyDescent="0.35">
      <c r="A24" s="1" t="s">
        <v>144</v>
      </c>
      <c r="B24" s="68" t="s">
        <v>39</v>
      </c>
      <c r="C24" s="15">
        <f t="shared" si="1"/>
        <v>229.86999999999989</v>
      </c>
      <c r="D24" s="15"/>
      <c r="E24" s="15">
        <v>2288.86</v>
      </c>
      <c r="F24" s="15"/>
      <c r="G24" s="15"/>
      <c r="H24" s="15"/>
      <c r="I24" s="15"/>
      <c r="J24" s="15"/>
      <c r="K24" s="15"/>
      <c r="L24" s="15"/>
      <c r="M24" s="15"/>
      <c r="N24" s="55">
        <v>2518.73</v>
      </c>
    </row>
    <row r="25" spans="1:15" ht="29.25" customHeight="1" x14ac:dyDescent="0.35">
      <c r="A25" s="1" t="s">
        <v>145</v>
      </c>
      <c r="B25" s="68" t="s">
        <v>39</v>
      </c>
      <c r="C25" s="15">
        <f t="shared" si="1"/>
        <v>564.1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>
        <v>564.1</v>
      </c>
    </row>
    <row r="26" spans="1:15" ht="29.25" customHeight="1" x14ac:dyDescent="0.35">
      <c r="A26" s="1" t="s">
        <v>146</v>
      </c>
      <c r="B26" s="68" t="s">
        <v>39</v>
      </c>
      <c r="C26" s="15">
        <f t="shared" si="1"/>
        <v>107.9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>
        <v>107.9</v>
      </c>
    </row>
    <row r="27" spans="1:15" ht="29.25" customHeight="1" x14ac:dyDescent="0.35">
      <c r="A27" s="1" t="s">
        <v>147</v>
      </c>
      <c r="B27" s="68" t="s">
        <v>39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>
        <v>4914.09</v>
      </c>
      <c r="L27" s="15"/>
      <c r="M27" s="15"/>
      <c r="N27" s="55">
        <v>4914.09</v>
      </c>
    </row>
    <row r="28" spans="1:15" ht="29.25" customHeight="1" x14ac:dyDescent="0.35">
      <c r="A28" s="1" t="s">
        <v>148</v>
      </c>
      <c r="B28" s="68" t="s">
        <v>39</v>
      </c>
      <c r="C28" s="15">
        <f t="shared" si="1"/>
        <v>54.26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>
        <v>54.26</v>
      </c>
    </row>
    <row r="29" spans="1:15" ht="29.25" customHeight="1" x14ac:dyDescent="0.35">
      <c r="A29" s="1" t="s">
        <v>149</v>
      </c>
      <c r="B29" s="68" t="s">
        <v>39</v>
      </c>
      <c r="C29" s="15">
        <f t="shared" si="1"/>
        <v>23204.51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>
        <v>23204.51</v>
      </c>
    </row>
    <row r="30" spans="1:15" ht="29.25" customHeight="1" x14ac:dyDescent="0.35">
      <c r="A30" s="1" t="s">
        <v>150</v>
      </c>
      <c r="B30" s="68" t="s">
        <v>39</v>
      </c>
      <c r="C30" s="15">
        <f t="shared" si="1"/>
        <v>0</v>
      </c>
      <c r="D30" s="15"/>
      <c r="E30" s="15">
        <v>40.21</v>
      </c>
      <c r="F30" s="15"/>
      <c r="G30" s="15"/>
      <c r="H30" s="15"/>
      <c r="I30" s="15"/>
      <c r="J30" s="15"/>
      <c r="K30" s="15"/>
      <c r="L30" s="15"/>
      <c r="M30" s="15"/>
      <c r="N30" s="55">
        <v>40.21</v>
      </c>
    </row>
    <row r="31" spans="1:15" ht="29.25" customHeight="1" x14ac:dyDescent="0.35">
      <c r="A31" s="1" t="s">
        <v>151</v>
      </c>
      <c r="B31" s="68" t="s">
        <v>39</v>
      </c>
      <c r="C31" s="15">
        <f t="shared" si="1"/>
        <v>66.620000000000118</v>
      </c>
      <c r="D31" s="15"/>
      <c r="E31" s="15"/>
      <c r="F31" s="15"/>
      <c r="G31" s="15"/>
      <c r="H31" s="15"/>
      <c r="I31" s="15"/>
      <c r="J31" s="15"/>
      <c r="K31" s="15">
        <v>1062.81</v>
      </c>
      <c r="L31" s="15"/>
      <c r="M31" s="15"/>
      <c r="N31" s="55">
        <v>1129.43</v>
      </c>
    </row>
    <row r="32" spans="1:15" ht="29.25" customHeight="1" x14ac:dyDescent="0.35">
      <c r="A32" s="1" t="s">
        <v>152</v>
      </c>
      <c r="B32" s="68" t="s">
        <v>39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>
        <v>0.01</v>
      </c>
      <c r="O32" s="148" t="s">
        <v>153</v>
      </c>
    </row>
    <row r="33" spans="1:14" ht="29.25" customHeight="1" x14ac:dyDescent="0.35">
      <c r="A33" s="1" t="s">
        <v>154</v>
      </c>
      <c r="B33" s="68" t="s">
        <v>39</v>
      </c>
      <c r="C33" s="15">
        <f t="shared" si="1"/>
        <v>0</v>
      </c>
      <c r="D33" s="15"/>
      <c r="E33" s="15"/>
      <c r="F33" s="15"/>
      <c r="G33" s="15"/>
      <c r="H33" s="15"/>
      <c r="I33" s="15">
        <v>333.25</v>
      </c>
      <c r="J33" s="15"/>
      <c r="K33" s="15"/>
      <c r="L33" s="15"/>
      <c r="M33" s="15"/>
      <c r="N33" s="55">
        <v>333.25</v>
      </c>
    </row>
    <row r="34" spans="1:14" ht="29.25" customHeight="1" x14ac:dyDescent="0.35">
      <c r="A34" s="1" t="s">
        <v>155</v>
      </c>
      <c r="B34" s="68" t="s">
        <v>39</v>
      </c>
      <c r="C34" s="15">
        <f t="shared" si="1"/>
        <v>0</v>
      </c>
      <c r="D34" s="15"/>
      <c r="E34" s="15"/>
      <c r="F34" s="15"/>
      <c r="G34" s="15"/>
      <c r="H34" s="15"/>
      <c r="I34" s="15">
        <v>4529.83</v>
      </c>
      <c r="J34" s="15"/>
      <c r="K34" s="15"/>
      <c r="L34" s="15"/>
      <c r="M34" s="15"/>
      <c r="N34" s="55">
        <v>4529.83</v>
      </c>
    </row>
    <row r="35" spans="1:14" ht="29.25" customHeight="1" x14ac:dyDescent="0.35">
      <c r="A35" s="1" t="s">
        <v>156</v>
      </c>
      <c r="B35" s="68" t="s">
        <v>39</v>
      </c>
      <c r="C35" s="15">
        <f t="shared" si="1"/>
        <v>0</v>
      </c>
      <c r="D35" s="15"/>
      <c r="E35" s="15"/>
      <c r="F35" s="15"/>
      <c r="G35" s="15"/>
      <c r="H35" s="15"/>
      <c r="I35" s="15">
        <v>1286.71</v>
      </c>
      <c r="J35" s="15"/>
      <c r="K35" s="15"/>
      <c r="L35" s="15"/>
      <c r="M35" s="15"/>
      <c r="N35" s="55">
        <v>1286.71</v>
      </c>
    </row>
    <row r="36" spans="1:14" ht="29.25" customHeight="1" x14ac:dyDescent="0.35">
      <c r="A36" s="1" t="s">
        <v>157</v>
      </c>
      <c r="B36" s="68" t="s">
        <v>158</v>
      </c>
      <c r="C36" s="15">
        <f t="shared" si="1"/>
        <v>205</v>
      </c>
      <c r="D36" s="15"/>
      <c r="E36" s="15"/>
      <c r="F36" s="15"/>
      <c r="G36" s="15"/>
      <c r="H36" s="15"/>
      <c r="I36" s="15"/>
      <c r="J36" s="15"/>
      <c r="K36" s="15"/>
      <c r="L36" s="15"/>
      <c r="M36" s="15">
        <v>0.75</v>
      </c>
      <c r="N36" s="55">
        <v>205.75</v>
      </c>
    </row>
    <row r="37" spans="1:14" ht="29.25" customHeight="1" x14ac:dyDescent="0.35">
      <c r="A37" s="1" t="s">
        <v>159</v>
      </c>
      <c r="B37" s="68" t="s">
        <v>160</v>
      </c>
      <c r="C37" s="15">
        <f t="shared" si="1"/>
        <v>0</v>
      </c>
      <c r="D37" s="15"/>
      <c r="E37" s="15">
        <v>778.94</v>
      </c>
      <c r="F37" s="15"/>
      <c r="G37" s="15"/>
      <c r="H37" s="15"/>
      <c r="I37" s="15"/>
      <c r="J37" s="15"/>
      <c r="K37" s="15"/>
      <c r="L37" s="15"/>
      <c r="M37" s="15"/>
      <c r="N37" s="55">
        <v>778.94</v>
      </c>
    </row>
    <row r="38" spans="1:14" ht="29.25" customHeight="1" x14ac:dyDescent="0.35">
      <c r="A38" s="1" t="s">
        <v>161</v>
      </c>
      <c r="B38" s="68" t="s">
        <v>162</v>
      </c>
      <c r="C38" s="15">
        <f t="shared" si="1"/>
        <v>536.1</v>
      </c>
      <c r="D38" s="15"/>
      <c r="E38" s="15"/>
      <c r="F38" s="15"/>
      <c r="G38" s="15"/>
      <c r="H38" s="15"/>
      <c r="I38" s="15"/>
      <c r="J38" s="15"/>
      <c r="K38" s="15"/>
      <c r="L38" s="15"/>
      <c r="M38" s="15">
        <v>24.04</v>
      </c>
      <c r="N38" s="55">
        <v>560.14</v>
      </c>
    </row>
    <row r="39" spans="1:14" ht="29.25" customHeight="1" x14ac:dyDescent="0.35">
      <c r="A39" s="1" t="s">
        <v>163</v>
      </c>
      <c r="B39" s="68" t="s">
        <v>162</v>
      </c>
      <c r="C39" s="15">
        <f t="shared" si="1"/>
        <v>-102.01</v>
      </c>
      <c r="D39" s="15"/>
      <c r="E39" s="15"/>
      <c r="F39" s="15"/>
      <c r="G39" s="15"/>
      <c r="H39" s="15"/>
      <c r="I39" s="15"/>
      <c r="J39" s="15"/>
      <c r="K39" s="15"/>
      <c r="L39" s="15"/>
      <c r="M39" s="15">
        <v>-5.0999999999999996</v>
      </c>
      <c r="N39" s="55">
        <v>-107.11</v>
      </c>
    </row>
    <row r="40" spans="1:14" ht="29.25" customHeight="1" x14ac:dyDescent="0.35">
      <c r="A40" s="1" t="s">
        <v>164</v>
      </c>
      <c r="B40" s="68" t="s">
        <v>165</v>
      </c>
      <c r="C40" s="15">
        <f t="shared" si="1"/>
        <v>2309.7800000000002</v>
      </c>
      <c r="D40" s="15"/>
      <c r="E40" s="15"/>
      <c r="F40" s="15"/>
      <c r="G40" s="15"/>
      <c r="H40" s="15"/>
      <c r="I40" s="15"/>
      <c r="J40" s="15"/>
      <c r="K40" s="15"/>
      <c r="L40" s="15"/>
      <c r="M40" s="15">
        <v>115.49</v>
      </c>
      <c r="N40" s="55">
        <v>2425.27</v>
      </c>
    </row>
    <row r="41" spans="1:14" ht="29.25" customHeight="1" x14ac:dyDescent="0.35">
      <c r="A41" s="1" t="s">
        <v>166</v>
      </c>
      <c r="B41" s="68" t="s">
        <v>165</v>
      </c>
      <c r="C41" s="15">
        <f t="shared" si="1"/>
        <v>4776.3200000000006</v>
      </c>
      <c r="D41" s="15"/>
      <c r="E41" s="15">
        <v>47.53</v>
      </c>
      <c r="F41" s="15"/>
      <c r="G41" s="15"/>
      <c r="H41" s="15"/>
      <c r="I41" s="15"/>
      <c r="J41" s="15"/>
      <c r="K41" s="15"/>
      <c r="L41" s="15"/>
      <c r="M41" s="15">
        <v>203.41</v>
      </c>
      <c r="N41" s="55">
        <v>5027.26</v>
      </c>
    </row>
    <row r="42" spans="1:14" ht="29.25" customHeight="1" x14ac:dyDescent="0.35">
      <c r="A42" s="1" t="s">
        <v>82</v>
      </c>
      <c r="B42" s="68" t="s">
        <v>82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1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1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1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1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1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1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ref="C49:C54" si="2">N49-D49-E49-F49-G49-H49-I49-J49-K49-L49-M49-D103-E103-F103-G103-H103-I103-J103-K103-L103-C103</f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3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6.25" thickBot="1" x14ac:dyDescent="0.4">
      <c r="A56" s="9" t="s">
        <v>0</v>
      </c>
      <c r="B56" s="9" t="s">
        <v>39</v>
      </c>
      <c r="C56" s="16">
        <f>C3</f>
        <v>136.79882000000001</v>
      </c>
      <c r="D56" s="16"/>
      <c r="E56" s="16">
        <f>E3</f>
        <v>28.332810000000002</v>
      </c>
      <c r="F56" s="16">
        <f t="shared" ref="F56:L56" si="4">F3</f>
        <v>0</v>
      </c>
      <c r="G56" s="16">
        <f t="shared" si="4"/>
        <v>0</v>
      </c>
      <c r="H56" s="16">
        <f t="shared" si="4"/>
        <v>0</v>
      </c>
      <c r="I56" s="16">
        <f t="shared" si="4"/>
        <v>45.50421</v>
      </c>
      <c r="J56" s="16">
        <f t="shared" si="4"/>
        <v>34.915179999999999</v>
      </c>
      <c r="K56" s="16">
        <f t="shared" si="4"/>
        <v>40.638979999999997</v>
      </c>
      <c r="L56" s="16">
        <f t="shared" si="4"/>
        <v>0</v>
      </c>
      <c r="M56" s="16"/>
      <c r="N56" s="60">
        <f>SUM(C56:M56)+SUM(C116:J116)</f>
        <v>286.19</v>
      </c>
      <c r="O56" s="150" t="s">
        <v>167</v>
      </c>
    </row>
    <row r="57" spans="1:15" ht="29.25" customHeight="1" thickBot="1" x14ac:dyDescent="0.45">
      <c r="A57" s="24" t="s">
        <v>84</v>
      </c>
      <c r="B57" s="10"/>
      <c r="C57" s="61">
        <f t="shared" ref="C57:L57" si="5">SUM(C6:C56)</f>
        <v>37215.398820000002</v>
      </c>
      <c r="D57" s="61">
        <f t="shared" si="5"/>
        <v>0</v>
      </c>
      <c r="E57" s="61">
        <f t="shared" si="5"/>
        <v>9926.0828099999999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6195.29421</v>
      </c>
      <c r="J57" s="61">
        <f t="shared" si="5"/>
        <v>34.915179999999999</v>
      </c>
      <c r="K57" s="61">
        <f t="shared" si="5"/>
        <v>11313.108979999999</v>
      </c>
      <c r="L57" s="61">
        <f t="shared" si="5"/>
        <v>0</v>
      </c>
      <c r="M57" s="61">
        <f>SUM(M6:M56)</f>
        <v>338.96000000000004</v>
      </c>
      <c r="N57" s="61">
        <f>SUM(C57:M57)</f>
        <v>65023.76</v>
      </c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5" ht="45.75" customHeight="1" x14ac:dyDescent="0.35">
      <c r="A59" s="6" t="str">
        <f t="shared" ref="A59:B59" si="6">A5</f>
        <v>Invoice Number</v>
      </c>
      <c r="B59" s="6" t="str">
        <f t="shared" si="6"/>
        <v>Supplier Name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  <c r="N59" s="175"/>
    </row>
    <row r="60" spans="1:15" ht="29.25" customHeight="1" x14ac:dyDescent="0.35">
      <c r="A60" s="220" t="str">
        <f>A6</f>
        <v>4003658983</v>
      </c>
      <c r="B60" s="220" t="str">
        <f>B6</f>
        <v>SAPUTO DAIRY PRODUCTS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220" t="str">
        <f t="shared" ref="A61:B61" si="7">A7</f>
        <v>4003658984</v>
      </c>
      <c r="B61" s="220" t="str">
        <f t="shared" si="7"/>
        <v>SAPUTO DAIRY PRODUCTS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220" t="str">
        <f t="shared" ref="A62:B62" si="8">A8</f>
        <v>6651868</v>
      </c>
      <c r="B62" s="220" t="str">
        <f t="shared" si="8"/>
        <v>THE GROCERY PEOPLE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220" t="str">
        <f t="shared" ref="A63:B63" si="9">A9</f>
        <v>6651869</v>
      </c>
      <c r="B63" s="220" t="str">
        <f t="shared" si="9"/>
        <v>THE GROCERY PEOPLE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O63" s="14"/>
    </row>
    <row r="64" spans="1:15" ht="29.25" customHeight="1" x14ac:dyDescent="0.35">
      <c r="A64" s="220" t="str">
        <f t="shared" ref="A64:B64" si="10">A10</f>
        <v>6652458</v>
      </c>
      <c r="B64" s="220" t="str">
        <f t="shared" si="10"/>
        <v>THE GROCERY PEOPLE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220" t="str">
        <f t="shared" ref="A65:B65" si="11">A11</f>
        <v>6652237</v>
      </c>
      <c r="B65" s="220" t="str">
        <f t="shared" si="11"/>
        <v>THE GROCERY PEOPLE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220" t="str">
        <f t="shared" ref="A66:B66" si="12">A12</f>
        <v>6654306</v>
      </c>
      <c r="B66" s="220" t="str">
        <f t="shared" si="12"/>
        <v>THE GROCERY PEOPLE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220" t="str">
        <f t="shared" ref="A67:B67" si="13">A13</f>
        <v>6654307</v>
      </c>
      <c r="B67" s="220" t="str">
        <f t="shared" si="13"/>
        <v>THE GROCERY PEOPLE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220" t="str">
        <f t="shared" ref="A68:B68" si="14">A14</f>
        <v>6655847</v>
      </c>
      <c r="B68" s="220" t="str">
        <f t="shared" si="14"/>
        <v>THE GROCERY PEOPLE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220" t="str">
        <f t="shared" ref="A69:B69" si="15">A15</f>
        <v>6655848</v>
      </c>
      <c r="B69" s="220" t="str">
        <f t="shared" si="15"/>
        <v>THE GROCERY PEOPLE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220" t="str">
        <f t="shared" ref="A70:B70" si="16">A16</f>
        <v>6652880</v>
      </c>
      <c r="B70" s="220" t="str">
        <f t="shared" si="16"/>
        <v>THE GROCERY PEOPLE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220" t="str">
        <f t="shared" ref="A71:B71" si="17">A17</f>
        <v>6654592</v>
      </c>
      <c r="B71" s="220" t="str">
        <f t="shared" si="17"/>
        <v>THE GROCERY PEOPLE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220" t="str">
        <f t="shared" ref="A72:B72" si="18">A18</f>
        <v>5628412</v>
      </c>
      <c r="B72" s="220" t="str">
        <f t="shared" si="18"/>
        <v>THE GROCERY PEOPLE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220" t="str">
        <f t="shared" ref="A73:B73" si="19">A19</f>
        <v>5629476</v>
      </c>
      <c r="B73" s="220" t="str">
        <f t="shared" si="19"/>
        <v>THE GROCERY PEOPLE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220" t="str">
        <f t="shared" ref="A74:B74" si="20">A20</f>
        <v>5629477</v>
      </c>
      <c r="B74" s="220" t="str">
        <f t="shared" si="20"/>
        <v>THE GROCERY PEOPLE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220" t="str">
        <f t="shared" ref="A75:B75" si="21">A21</f>
        <v>5629583</v>
      </c>
      <c r="B75" s="220" t="str">
        <f t="shared" si="21"/>
        <v>THE GROCERY PEOPLE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220" t="str">
        <f t="shared" ref="A76:B76" si="22">A22</f>
        <v>8240446</v>
      </c>
      <c r="B76" s="220" t="str">
        <f t="shared" si="22"/>
        <v>THE GROCERY PEOPLE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220" t="str">
        <f t="shared" ref="A77:B77" si="23">A23</f>
        <v>8240459</v>
      </c>
      <c r="B77" s="220" t="str">
        <f t="shared" si="23"/>
        <v>THE GROCERY PEOPLE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220" t="str">
        <f t="shared" ref="A78:B78" si="24">A24</f>
        <v>5629081</v>
      </c>
      <c r="B78" s="220" t="str">
        <f t="shared" si="24"/>
        <v>THE GROCERY PEOPLE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220" t="str">
        <f t="shared" ref="A79:B79" si="25">A25</f>
        <v>5628411</v>
      </c>
      <c r="B79" s="220" t="str">
        <f t="shared" si="25"/>
        <v>THE GROCERY PEOPLE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220" t="str">
        <f t="shared" ref="A80:B80" si="26">A26</f>
        <v>5628458</v>
      </c>
      <c r="B80" s="220" t="str">
        <f t="shared" si="26"/>
        <v>THE GROCERY PEOPLE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220" t="str">
        <f t="shared" ref="A81:B81" si="27">A27</f>
        <v>5628794</v>
      </c>
      <c r="B81" s="220" t="str">
        <f t="shared" si="27"/>
        <v>THE GROCERY PEOPLE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220" t="str">
        <f t="shared" ref="A82:B82" si="28">A28</f>
        <v>5629380</v>
      </c>
      <c r="B82" s="220" t="str">
        <f t="shared" si="28"/>
        <v>THE GROCERY PEOPLE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220" t="str">
        <f t="shared" ref="A83:B83" si="29">A29</f>
        <v>5629381</v>
      </c>
      <c r="B83" s="220" t="str">
        <f t="shared" si="29"/>
        <v>THE GROCERY PEOPLE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220" t="str">
        <f t="shared" ref="A84:B84" si="30">A30</f>
        <v>5629424</v>
      </c>
      <c r="B84" s="220" t="str">
        <f t="shared" si="30"/>
        <v>THE GROCERY PEOPLE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220" t="str">
        <f t="shared" ref="A85:B85" si="31">A31</f>
        <v>5629562</v>
      </c>
      <c r="B85" s="220" t="str">
        <f t="shared" si="31"/>
        <v>THE GROCERY PEOPLE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220" t="str">
        <f t="shared" ref="A86:B86" si="32">A32</f>
        <v>5630086</v>
      </c>
      <c r="B86" s="220" t="str">
        <f t="shared" si="32"/>
        <v>THE GROCERY PEOPLE</v>
      </c>
      <c r="C86" s="26"/>
      <c r="D86" s="26"/>
      <c r="E86" s="26"/>
      <c r="F86" s="26"/>
      <c r="G86" s="26"/>
      <c r="H86" s="26"/>
      <c r="I86" s="26">
        <v>0.01</v>
      </c>
      <c r="J86" s="52"/>
      <c r="K86" s="48"/>
      <c r="L86" s="2"/>
      <c r="M86" s="14" t="s">
        <v>153</v>
      </c>
    </row>
    <row r="87" spans="1:13" ht="29.25" customHeight="1" x14ac:dyDescent="0.35">
      <c r="A87" s="220" t="str">
        <f t="shared" ref="A87:B87" si="33">A33</f>
        <v>5630111</v>
      </c>
      <c r="B87" s="220" t="str">
        <f t="shared" si="33"/>
        <v>THE GROCERY PEOPLE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220" t="str">
        <f t="shared" ref="A88:B88" si="34">A34</f>
        <v>5630112</v>
      </c>
      <c r="B88" s="220" t="str">
        <f t="shared" si="34"/>
        <v>THE GROCERY PEOPLE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220" t="str">
        <f t="shared" ref="A89:B89" si="35">A35</f>
        <v>5630113</v>
      </c>
      <c r="B89" s="220" t="str">
        <f t="shared" si="35"/>
        <v>THE GROCERY PEOPLE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220" t="str">
        <f t="shared" ref="A90:B90" si="36">A36</f>
        <v>117986</v>
      </c>
      <c r="B90" s="220" t="str">
        <f t="shared" si="36"/>
        <v>KENNELLI SPRINGS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220" t="str">
        <f t="shared" ref="A91:B91" si="37">A37</f>
        <v>INV26-04375</v>
      </c>
      <c r="B91" s="220" t="str">
        <f t="shared" si="37"/>
        <v>CAPITAL FINE MEATS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220" t="str">
        <f t="shared" ref="A92:B92" si="38">A38</f>
        <v>91458496</v>
      </c>
      <c r="B92" s="220" t="str">
        <f t="shared" si="38"/>
        <v>FRITO LAY CANADA RETAIL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220" t="str">
        <f t="shared" ref="A93:B93" si="39">A39</f>
        <v>77683973</v>
      </c>
      <c r="B93" s="220" t="str">
        <f t="shared" si="39"/>
        <v>FRITO LAY CANADA RETAIL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220" t="str">
        <f t="shared" ref="A94:B94" si="40">A40</f>
        <v>7726174002</v>
      </c>
      <c r="B94" s="220" t="str">
        <f t="shared" si="40"/>
        <v>UNITED DISTRIBUTION NETWORK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220" t="str">
        <f t="shared" ref="A95:B95" si="41">A41</f>
        <v>7726174001</v>
      </c>
      <c r="B95" s="220" t="str">
        <f t="shared" si="41"/>
        <v>UNITED DISTRIBUTION NETWORK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220" t="str">
        <f t="shared" ref="A96:B96" si="42">A42</f>
        <v xml:space="preserve"> </v>
      </c>
      <c r="B96" s="220" t="str">
        <f t="shared" si="42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220" t="str">
        <f t="shared" ref="A97:B97" si="43">A43</f>
        <v xml:space="preserve"> </v>
      </c>
      <c r="B97" s="220" t="str">
        <f t="shared" si="43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220" t="str">
        <f t="shared" ref="A98:B98" si="44">A44</f>
        <v xml:space="preserve"> </v>
      </c>
      <c r="B98" s="220" t="str">
        <f t="shared" si="44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220" t="str">
        <f t="shared" ref="A99:B99" si="45">A45</f>
        <v xml:space="preserve"> </v>
      </c>
      <c r="B99" s="220" t="str">
        <f t="shared" si="45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220" t="str">
        <f t="shared" ref="A100:B100" si="46">A46</f>
        <v xml:space="preserve"> </v>
      </c>
      <c r="B100" s="220" t="str">
        <f t="shared" si="46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220" t="str">
        <f t="shared" ref="A101:B101" si="47">A47</f>
        <v xml:space="preserve"> </v>
      </c>
      <c r="B101" s="220" t="str">
        <f t="shared" si="47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220" t="str">
        <f t="shared" ref="A102:B102" si="48">A48</f>
        <v xml:space="preserve"> </v>
      </c>
      <c r="B102" s="220" t="str">
        <f t="shared" si="48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220" t="str">
        <f t="shared" ref="A103:B103" si="49">A49</f>
        <v xml:space="preserve"> </v>
      </c>
      <c r="B103" s="220" t="str">
        <f t="shared" si="4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220" t="str">
        <f t="shared" ref="A104:B104" si="50">A50</f>
        <v xml:space="preserve"> </v>
      </c>
      <c r="B104" s="220" t="str">
        <f t="shared" si="50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220" t="str">
        <f t="shared" ref="A105:B105" si="51">A51</f>
        <v xml:space="preserve"> </v>
      </c>
      <c r="B105" s="220" t="str">
        <f t="shared" si="51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220" t="str">
        <f t="shared" ref="A106:B106" si="52">A52</f>
        <v xml:space="preserve"> </v>
      </c>
      <c r="B106" s="220" t="str">
        <f t="shared" si="5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220" t="str">
        <f t="shared" ref="A107:B107" si="53">A53</f>
        <v xml:space="preserve"> </v>
      </c>
      <c r="B107" s="220" t="str">
        <f t="shared" si="53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220" t="str">
        <f t="shared" ref="A108:B108" si="54">A54</f>
        <v xml:space="preserve"> </v>
      </c>
      <c r="B108" s="220" t="str">
        <f t="shared" si="54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220" t="str">
        <f t="shared" ref="A109:B109" si="55">A55</f>
        <v xml:space="preserve"> </v>
      </c>
      <c r="B109" s="220" t="str">
        <f t="shared" si="55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tr">
        <f t="shared" ref="A110" si="56">A57</f>
        <v>Department Totals</v>
      </c>
      <c r="B110" s="8"/>
      <c r="C110" s="53">
        <f>SUM(C60:C109)</f>
        <v>0</v>
      </c>
      <c r="D110" s="53">
        <f t="shared" ref="D110:K110" si="57">SUM(D60:D109)</f>
        <v>0</v>
      </c>
      <c r="E110" s="53">
        <f t="shared" si="57"/>
        <v>0</v>
      </c>
      <c r="F110" s="53">
        <f t="shared" si="57"/>
        <v>0</v>
      </c>
      <c r="G110" s="53">
        <f t="shared" si="57"/>
        <v>0</v>
      </c>
      <c r="H110" s="53">
        <f t="shared" si="57"/>
        <v>0</v>
      </c>
      <c r="I110" s="53">
        <f t="shared" si="57"/>
        <v>0.01</v>
      </c>
      <c r="J110" s="53">
        <f t="shared" si="57"/>
        <v>0</v>
      </c>
      <c r="K110" s="53">
        <f t="shared" si="57"/>
        <v>0</v>
      </c>
      <c r="L110" s="11">
        <f t="shared" ref="L110" si="58">SUM(L60:L109)</f>
        <v>0</v>
      </c>
      <c r="M110" s="14"/>
    </row>
  </sheetData>
  <hyperlinks>
    <hyperlink ref="M1" location="'Receiving Totals'!A1" display="Receiving Totals" xr:uid="{EE0EE247-F979-4528-BC58-A1AAAA2541F3}"/>
  </hyperlinks>
  <pageMargins left="0.25" right="0.25" top="0.75" bottom="0.75" header="0.3" footer="0.3"/>
  <pageSetup scale="29" fitToWidth="0" fitToHeight="0" orientation="landscape" horizontalDpi="300" verticalDpi="300" r:id="rId1"/>
  <rowBreaks count="1" manualBreakCount="1">
    <brk id="5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9713-7544-4859-887F-A5B4415CD218}">
  <dimension ref="A1:O110"/>
  <sheetViews>
    <sheetView zoomScale="70" zoomScaleNormal="70" workbookViewId="0">
      <pane ySplit="5" topLeftCell="A6" activePane="bottomLeft" state="frozen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5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5" ht="33" customHeight="1" x14ac:dyDescent="0.5">
      <c r="A3" s="12"/>
      <c r="B3" s="65" t="s">
        <v>13</v>
      </c>
      <c r="C3" s="22">
        <f>C2*$N$3</f>
        <v>81.561139999999995</v>
      </c>
      <c r="D3" s="22"/>
      <c r="E3" s="22">
        <f t="shared" ref="E3:L3" si="0">E2*$N$3</f>
        <v>16.89237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27.13017</v>
      </c>
      <c r="J3" s="22">
        <f t="shared" si="0"/>
        <v>20.816859999999998</v>
      </c>
      <c r="K3" s="22">
        <f t="shared" si="0"/>
        <v>24.229459999999996</v>
      </c>
      <c r="L3" s="22">
        <f t="shared" si="0"/>
        <v>0</v>
      </c>
      <c r="M3" s="22"/>
      <c r="N3" s="23">
        <v>170.63</v>
      </c>
    </row>
    <row r="4" spans="1:15" ht="21" customHeight="1" x14ac:dyDescent="0.35">
      <c r="A4" s="63" t="s">
        <v>14</v>
      </c>
      <c r="B4" s="64">
        <f>'Tuesday WK1 (3)'!B4+1</f>
        <v>46197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29.25" customHeight="1" x14ac:dyDescent="0.35">
      <c r="A6" s="1" t="s">
        <v>168</v>
      </c>
      <c r="B6" s="68" t="s">
        <v>165</v>
      </c>
      <c r="C6" s="15">
        <f t="shared" ref="C6:C8" si="1">N6-D6-E6-F6-G6-H6-I6-J6-K6-L6-M6-D62-E62-F62-G62-H62-I62-J62-K62-L62-C62</f>
        <v>-40.519999999999996</v>
      </c>
      <c r="D6" s="15"/>
      <c r="E6" s="15"/>
      <c r="F6" s="15"/>
      <c r="G6" s="15"/>
      <c r="H6" s="15"/>
      <c r="I6" s="15"/>
      <c r="J6" s="15"/>
      <c r="K6" s="15"/>
      <c r="L6" s="15"/>
      <c r="M6" s="15">
        <v>-1.99</v>
      </c>
      <c r="N6" s="55">
        <v>-42.51</v>
      </c>
    </row>
    <row r="7" spans="1:15" ht="29.25" customHeight="1" x14ac:dyDescent="0.35">
      <c r="A7" s="1" t="s">
        <v>169</v>
      </c>
      <c r="B7" s="68" t="s">
        <v>170</v>
      </c>
      <c r="C7" s="15">
        <f t="shared" si="1"/>
        <v>720.35</v>
      </c>
      <c r="D7" s="15"/>
      <c r="E7" s="15"/>
      <c r="F7" s="15"/>
      <c r="G7" s="15"/>
      <c r="H7" s="15"/>
      <c r="I7" s="15"/>
      <c r="J7" s="15"/>
      <c r="K7" s="15"/>
      <c r="L7" s="15"/>
      <c r="M7" s="15">
        <v>36.020000000000003</v>
      </c>
      <c r="N7" s="55">
        <v>756.37</v>
      </c>
    </row>
    <row r="8" spans="1:15" ht="29.25" customHeight="1" x14ac:dyDescent="0.35">
      <c r="A8" s="1" t="s">
        <v>171</v>
      </c>
      <c r="B8" s="68" t="s">
        <v>165</v>
      </c>
      <c r="C8" s="15">
        <f t="shared" si="1"/>
        <v>-51.91</v>
      </c>
      <c r="D8" s="15"/>
      <c r="E8" s="15"/>
      <c r="F8" s="15"/>
      <c r="G8" s="15"/>
      <c r="H8" s="15"/>
      <c r="I8" s="15"/>
      <c r="J8" s="15"/>
      <c r="K8" s="15"/>
      <c r="L8" s="15"/>
      <c r="M8" s="15">
        <v>-2.59</v>
      </c>
      <c r="N8" s="55">
        <v>-54.5</v>
      </c>
    </row>
    <row r="9" spans="1:15" ht="29.25" customHeight="1" x14ac:dyDescent="0.35">
      <c r="A9" s="1" t="s">
        <v>172</v>
      </c>
      <c r="B9" s="68" t="s">
        <v>165</v>
      </c>
      <c r="C9" s="15">
        <f t="shared" ref="C9:C48" si="2">N9-D9-E9-F9-G9-H9-I9-J9-K9-L9-M9-D65-E65-F65-G65-H65-I65-J65-K65-L65-C65</f>
        <v>-132.5</v>
      </c>
      <c r="D9" s="15"/>
      <c r="E9" s="15"/>
      <c r="F9" s="15"/>
      <c r="G9" s="15"/>
      <c r="H9" s="15"/>
      <c r="I9" s="15"/>
      <c r="J9" s="15"/>
      <c r="K9" s="15"/>
      <c r="L9" s="15"/>
      <c r="M9" s="15">
        <v>-6.63</v>
      </c>
      <c r="N9" s="55">
        <v>-139.13</v>
      </c>
    </row>
    <row r="10" spans="1:15" ht="29.25" customHeight="1" x14ac:dyDescent="0.35">
      <c r="A10" s="1" t="s">
        <v>173</v>
      </c>
      <c r="B10" s="68" t="s">
        <v>39</v>
      </c>
      <c r="C10" s="15">
        <f t="shared" si="2"/>
        <v>940.97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>
        <v>940.97</v>
      </c>
    </row>
    <row r="11" spans="1:15" ht="29.25" customHeight="1" x14ac:dyDescent="0.35">
      <c r="A11" s="1" t="s">
        <v>174</v>
      </c>
      <c r="B11" s="68" t="s">
        <v>39</v>
      </c>
      <c r="C11" s="15">
        <f t="shared" si="2"/>
        <v>0</v>
      </c>
      <c r="D11" s="15"/>
      <c r="E11" s="15">
        <v>-4498.38</v>
      </c>
      <c r="F11" s="15"/>
      <c r="G11" s="15"/>
      <c r="H11" s="15"/>
      <c r="I11" s="15"/>
      <c r="J11" s="15"/>
      <c r="K11" s="15"/>
      <c r="L11" s="15"/>
      <c r="M11" s="15"/>
      <c r="N11" s="55">
        <v>-4498.38</v>
      </c>
      <c r="O11" s="148" t="s">
        <v>175</v>
      </c>
    </row>
    <row r="12" spans="1:15" ht="29.25" customHeight="1" x14ac:dyDescent="0.35">
      <c r="A12" s="1" t="s">
        <v>176</v>
      </c>
      <c r="B12" s="68" t="s">
        <v>39</v>
      </c>
      <c r="C12" s="15">
        <f t="shared" si="2"/>
        <v>-1159.95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>
        <v>-1159.95</v>
      </c>
      <c r="O12" s="148" t="s">
        <v>177</v>
      </c>
    </row>
    <row r="13" spans="1:15" ht="29.25" customHeight="1" x14ac:dyDescent="0.35">
      <c r="A13" s="1" t="s">
        <v>178</v>
      </c>
      <c r="B13" s="68" t="s">
        <v>179</v>
      </c>
      <c r="C13" s="15">
        <f t="shared" si="2"/>
        <v>-66.53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>
        <v>-66.53</v>
      </c>
    </row>
    <row r="14" spans="1:15" ht="29.25" customHeight="1" x14ac:dyDescent="0.35">
      <c r="A14" s="1" t="s">
        <v>180</v>
      </c>
      <c r="B14" s="68" t="s">
        <v>179</v>
      </c>
      <c r="C14" s="15">
        <f t="shared" si="2"/>
        <v>33.159999999999997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>
        <v>33.159999999999997</v>
      </c>
    </row>
    <row r="15" spans="1:15" ht="29.25" customHeight="1" x14ac:dyDescent="0.35">
      <c r="A15" s="1" t="s">
        <v>181</v>
      </c>
      <c r="B15" s="68" t="s">
        <v>31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>
        <v>-42.89</v>
      </c>
      <c r="L15" s="15"/>
      <c r="M15" s="15"/>
      <c r="N15" s="55">
        <v>-42.89</v>
      </c>
    </row>
    <row r="16" spans="1:15" ht="29.25" customHeight="1" x14ac:dyDescent="0.35">
      <c r="A16" s="1" t="s">
        <v>182</v>
      </c>
      <c r="B16" s="68" t="s">
        <v>39</v>
      </c>
      <c r="C16" s="15">
        <f t="shared" si="2"/>
        <v>-3527.47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>
        <v>-3527.47</v>
      </c>
      <c r="O16" s="148" t="s">
        <v>183</v>
      </c>
    </row>
    <row r="17" spans="1:14" ht="29.25" customHeight="1" x14ac:dyDescent="0.35">
      <c r="A17" s="1" t="s">
        <v>184</v>
      </c>
      <c r="B17" s="68" t="s">
        <v>115</v>
      </c>
      <c r="C17" s="15">
        <f t="shared" si="2"/>
        <v>431.09</v>
      </c>
      <c r="D17" s="15"/>
      <c r="E17" s="15"/>
      <c r="F17" s="15"/>
      <c r="G17" s="15"/>
      <c r="H17" s="15"/>
      <c r="I17" s="15"/>
      <c r="J17" s="15"/>
      <c r="K17" s="15"/>
      <c r="L17" s="15"/>
      <c r="M17" s="15">
        <v>21.55</v>
      </c>
      <c r="N17" s="55">
        <v>452.64</v>
      </c>
    </row>
    <row r="18" spans="1:14" ht="29.25" customHeight="1" x14ac:dyDescent="0.35">
      <c r="A18" s="1" t="s">
        <v>185</v>
      </c>
      <c r="B18" s="68" t="s">
        <v>115</v>
      </c>
      <c r="C18" s="15">
        <f t="shared" si="2"/>
        <v>-35.419999999999995</v>
      </c>
      <c r="D18" s="15"/>
      <c r="E18" s="15"/>
      <c r="F18" s="15"/>
      <c r="G18" s="15"/>
      <c r="H18" s="15"/>
      <c r="I18" s="15"/>
      <c r="J18" s="15"/>
      <c r="K18" s="15"/>
      <c r="L18" s="15"/>
      <c r="M18" s="15">
        <v>-1.77</v>
      </c>
      <c r="N18" s="55">
        <v>-37.19</v>
      </c>
    </row>
    <row r="19" spans="1:14" ht="29.25" customHeight="1" x14ac:dyDescent="0.35">
      <c r="A19" s="1" t="s">
        <v>186</v>
      </c>
      <c r="B19" s="68" t="s">
        <v>187</v>
      </c>
      <c r="C19" s="15">
        <f t="shared" si="2"/>
        <v>11744.88</v>
      </c>
      <c r="D19" s="15"/>
      <c r="E19" s="15"/>
      <c r="F19" s="15"/>
      <c r="G19" s="15"/>
      <c r="H19" s="15"/>
      <c r="I19" s="15"/>
      <c r="J19" s="15"/>
      <c r="K19" s="15"/>
      <c r="L19" s="15"/>
      <c r="M19" s="15">
        <v>587.25</v>
      </c>
      <c r="N19" s="55">
        <v>12332.13</v>
      </c>
    </row>
    <row r="20" spans="1:14" ht="29.25" customHeight="1" x14ac:dyDescent="0.35">
      <c r="A20" s="1" t="s">
        <v>82</v>
      </c>
      <c r="B20" s="68" t="s">
        <v>82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ref="C49" si="3">N49-D49-E49-F49-G49-H49-I49-J49-K49-L49-M49-D105-E105-F105-G105-H105-I105-J105-K105-L105-C105</f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ref="C50:C55" si="4">N50-D50-E50-F50-G50-H50-I50-J50-K50-L50-M50-D105-E105-F105-G105-H105-I105-J105-K105-L105-C105</f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4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4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4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4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5.5" x14ac:dyDescent="0.35">
      <c r="A55" s="1" t="s">
        <v>82</v>
      </c>
      <c r="B55" s="68" t="s">
        <v>82</v>
      </c>
      <c r="C55" s="15">
        <f t="shared" si="4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6.25" thickBot="1" x14ac:dyDescent="0.4">
      <c r="A56" s="9" t="s">
        <v>0</v>
      </c>
      <c r="B56" s="9" t="s">
        <v>39</v>
      </c>
      <c r="C56" s="16">
        <f>C3</f>
        <v>81.561139999999995</v>
      </c>
      <c r="D56" s="16"/>
      <c r="E56" s="16">
        <f>E3</f>
        <v>16.89237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27.13017</v>
      </c>
      <c r="J56" s="16">
        <f t="shared" si="5"/>
        <v>20.816859999999998</v>
      </c>
      <c r="K56" s="16">
        <f t="shared" si="5"/>
        <v>24.229459999999996</v>
      </c>
      <c r="L56" s="16">
        <f t="shared" si="5"/>
        <v>0</v>
      </c>
      <c r="M56" s="16"/>
      <c r="N56" s="60">
        <f>SUM(C56:M56)+SUM(C116:J116)</f>
        <v>170.62999999999997</v>
      </c>
      <c r="O56" s="150" t="s">
        <v>188</v>
      </c>
    </row>
    <row r="57" spans="1:15" ht="29.25" customHeight="1" thickBot="1" x14ac:dyDescent="0.45">
      <c r="A57" s="24" t="s">
        <v>84</v>
      </c>
      <c r="B57" s="10"/>
      <c r="C57" s="61">
        <f t="shared" ref="C57:L57" si="6">SUM(C6:C56)</f>
        <v>8937.7111399999994</v>
      </c>
      <c r="D57" s="61">
        <f t="shared" si="6"/>
        <v>0</v>
      </c>
      <c r="E57" s="61">
        <f t="shared" si="6"/>
        <v>-4481.4876300000005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27.13017</v>
      </c>
      <c r="J57" s="61">
        <f t="shared" si="6"/>
        <v>20.816859999999998</v>
      </c>
      <c r="K57" s="61">
        <f t="shared" si="6"/>
        <v>-18.660540000000005</v>
      </c>
      <c r="L57" s="61">
        <f t="shared" si="6"/>
        <v>0</v>
      </c>
      <c r="M57" s="61">
        <f>SUM(M6:M56)</f>
        <v>631.84</v>
      </c>
      <c r="N57" s="61">
        <f>SUM(C57:M57)</f>
        <v>5117.3499999999995</v>
      </c>
    </row>
    <row r="58" spans="1:15" ht="29.25" customHeight="1" thickBot="1" x14ac:dyDescent="0.45">
      <c r="A58" s="216"/>
      <c r="B58" s="10"/>
      <c r="C58" s="217"/>
      <c r="D58" s="217"/>
      <c r="E58" s="217"/>
      <c r="F58" s="217"/>
      <c r="G58" s="217"/>
      <c r="H58" s="217"/>
      <c r="I58" s="217"/>
      <c r="J58" s="218"/>
      <c r="K58" s="219"/>
      <c r="L58" s="219"/>
      <c r="M58" s="219"/>
      <c r="N58" s="14" t="str">
        <f>IF(SUM(N6:N56)=SUM(C57:M57)+SUM(C110:K110),"","Sum error")</f>
        <v/>
      </c>
      <c r="O58" s="213"/>
    </row>
    <row r="59" spans="1:15" ht="45.75" customHeight="1" x14ac:dyDescent="0.35">
      <c r="A59" s="6" t="str">
        <f t="shared" ref="A59:B59" si="7">A5</f>
        <v>Invoice Number</v>
      </c>
      <c r="B59" s="6" t="str">
        <f t="shared" si="7"/>
        <v>Supplier Name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  <c r="N59" s="175"/>
    </row>
    <row r="60" spans="1:15" ht="29.25" customHeight="1" x14ac:dyDescent="0.35">
      <c r="A60" s="70" t="str">
        <f>A6</f>
        <v>5226135003</v>
      </c>
      <c r="B60" s="70" t="str">
        <f>B6</f>
        <v>UNITED DISTRIBUTION NETWORK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61" si="8">A7</f>
        <v>2474287</v>
      </c>
      <c r="B61" s="70" t="str">
        <f t="shared" si="8"/>
        <v>UNFI CANADA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ref="A62:B62" si="9">A8</f>
        <v>5226142003</v>
      </c>
      <c r="B62" s="70" t="str">
        <f t="shared" si="9"/>
        <v>UNITED DISTRIBUTION NETWORK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ref="A63:B63" si="10">A9</f>
        <v>5226149002</v>
      </c>
      <c r="B63" s="70" t="str">
        <f t="shared" si="10"/>
        <v>UNITED DISTRIBUTION NETWORK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ref="A64:B64" si="11">A10</f>
        <v>6597432A</v>
      </c>
      <c r="B64" s="70" t="str">
        <f t="shared" si="11"/>
        <v>THE GROCERY PEOPLE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ref="A65:B65" si="12">A11</f>
        <v>9590413</v>
      </c>
      <c r="B65" s="70" t="str">
        <f t="shared" si="12"/>
        <v>THE GROCERY PEOPLE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ref="A66:B66" si="13">A12</f>
        <v>1809156</v>
      </c>
      <c r="B66" s="70" t="str">
        <f t="shared" si="13"/>
        <v>THE GROCERY PEOPLE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ref="A67:B67" si="14">A13</f>
        <v>86528036</v>
      </c>
      <c r="B67" s="70" t="str">
        <f t="shared" si="14"/>
        <v>FRITO LAY CANADA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ref="A68:B68" si="15">A14</f>
        <v>86528546</v>
      </c>
      <c r="B68" s="70" t="str">
        <f t="shared" si="15"/>
        <v>FRITO LAY CANADA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ref="A69:B69" si="16">A15</f>
        <v>10003557263</v>
      </c>
      <c r="B69" s="70" t="str">
        <f t="shared" si="16"/>
        <v>SAPUTO DAIRY PRODUCTS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ref="A70:B70" si="17">A16</f>
        <v>CREDIT MEMO</v>
      </c>
      <c r="B70" s="70" t="str">
        <f t="shared" si="17"/>
        <v>THE GROCERY PEOPLE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ref="A71:B71" si="18">A17</f>
        <v>82849776</v>
      </c>
      <c r="B71" s="70" t="str">
        <f t="shared" si="18"/>
        <v>OLD DUTCH FOODS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ref="A72:B72" si="19">A18</f>
        <v>82849777</v>
      </c>
      <c r="B72" s="70" t="str">
        <f t="shared" si="19"/>
        <v>OLD DUTCH FOODS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ref="A73:B73" si="20">A19</f>
        <v>371789</v>
      </c>
      <c r="B73" s="70" t="str">
        <f t="shared" si="20"/>
        <v>DPB BAKING COMPANY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ref="A74:B74" si="21">A20</f>
        <v xml:space="preserve"> </v>
      </c>
      <c r="B74" s="70" t="str">
        <f t="shared" si="21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ref="A75:B75" si="22">A21</f>
        <v xml:space="preserve"> </v>
      </c>
      <c r="B75" s="70" t="str">
        <f t="shared" si="22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ref="A76:B76" si="23">A22</f>
        <v xml:space="preserve"> </v>
      </c>
      <c r="B76" s="70" t="str">
        <f t="shared" si="23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77" si="24">A23</f>
        <v xml:space="preserve"> </v>
      </c>
      <c r="B77" s="70" t="str">
        <f t="shared" si="24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ref="A78:B78" si="25">A24</f>
        <v xml:space="preserve"> </v>
      </c>
      <c r="B78" s="70" t="str">
        <f t="shared" si="25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ref="A79:B79" si="26">A25</f>
        <v xml:space="preserve"> </v>
      </c>
      <c r="B79" s="70" t="str">
        <f t="shared" si="26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ref="A80:B80" si="27">A26</f>
        <v xml:space="preserve"> </v>
      </c>
      <c r="B80" s="70" t="str">
        <f t="shared" si="27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5" ht="29.25" customHeight="1" x14ac:dyDescent="0.35">
      <c r="A81" s="70" t="str">
        <f t="shared" ref="A81:B81" si="28">A27</f>
        <v xml:space="preserve"> </v>
      </c>
      <c r="B81" s="70" t="str">
        <f t="shared" si="2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  <c r="O81" s="215"/>
    </row>
    <row r="82" spans="1:15" ht="29.25" customHeight="1" x14ac:dyDescent="0.35">
      <c r="A82" s="70" t="str">
        <f t="shared" ref="A82:B82" si="29">A28</f>
        <v xml:space="preserve"> </v>
      </c>
      <c r="B82" s="70" t="str">
        <f t="shared" si="29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5" ht="29.25" customHeight="1" x14ac:dyDescent="0.35">
      <c r="A83" s="70" t="str">
        <f t="shared" ref="A83:B83" si="30">A29</f>
        <v xml:space="preserve"> </v>
      </c>
      <c r="B83" s="70" t="str">
        <f t="shared" si="30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5" ht="29.25" customHeight="1" x14ac:dyDescent="0.35">
      <c r="A84" s="70" t="str">
        <f t="shared" ref="A84:B84" si="31">A30</f>
        <v xml:space="preserve"> </v>
      </c>
      <c r="B84" s="70" t="str">
        <f t="shared" si="3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5" ht="29.25" customHeight="1" x14ac:dyDescent="0.35">
      <c r="A85" s="70" t="str">
        <f t="shared" ref="A85:B85" si="32">A31</f>
        <v xml:space="preserve"> </v>
      </c>
      <c r="B85" s="70" t="str">
        <f t="shared" si="32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5" ht="29.25" customHeight="1" x14ac:dyDescent="0.35">
      <c r="A86" s="70" t="str">
        <f t="shared" ref="A86:B86" si="33">A32</f>
        <v xml:space="preserve"> </v>
      </c>
      <c r="B86" s="70" t="str">
        <f t="shared" si="33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5" ht="29.25" customHeight="1" x14ac:dyDescent="0.35">
      <c r="A87" s="70" t="str">
        <f t="shared" ref="A87:B87" si="34">A33</f>
        <v xml:space="preserve"> </v>
      </c>
      <c r="B87" s="70" t="str">
        <f t="shared" si="34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5" ht="29.25" customHeight="1" x14ac:dyDescent="0.35">
      <c r="A88" s="70" t="str">
        <f t="shared" ref="A88:B88" si="35">A34</f>
        <v xml:space="preserve"> </v>
      </c>
      <c r="B88" s="70" t="str">
        <f t="shared" si="35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5" ht="29.25" customHeight="1" x14ac:dyDescent="0.35">
      <c r="A89" s="70" t="str">
        <f t="shared" ref="A89:B89" si="36">A35</f>
        <v xml:space="preserve"> </v>
      </c>
      <c r="B89" s="70" t="str">
        <f t="shared" si="36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5" ht="29.25" customHeight="1" x14ac:dyDescent="0.35">
      <c r="A90" s="70" t="str">
        <f t="shared" ref="A90:B90" si="37">A36</f>
        <v xml:space="preserve"> </v>
      </c>
      <c r="B90" s="70" t="str">
        <f t="shared" si="37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  <c r="O90" s="150"/>
    </row>
    <row r="91" spans="1:15" ht="29.25" customHeight="1" x14ac:dyDescent="0.35">
      <c r="A91" s="70" t="str">
        <f t="shared" ref="A91:B91" si="38">A37</f>
        <v xml:space="preserve"> </v>
      </c>
      <c r="B91" s="70" t="str">
        <f t="shared" si="3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5" ht="29.25" customHeight="1" x14ac:dyDescent="0.35">
      <c r="A92" s="70" t="str">
        <f t="shared" ref="A92:B92" si="39">A38</f>
        <v xml:space="preserve"> </v>
      </c>
      <c r="B92" s="70" t="str">
        <f t="shared" si="39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5" ht="29.25" customHeight="1" x14ac:dyDescent="0.35">
      <c r="A93" s="70" t="str">
        <f t="shared" ref="A93:B93" si="40">A39</f>
        <v xml:space="preserve"> </v>
      </c>
      <c r="B93" s="70" t="str">
        <f t="shared" si="40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5" ht="29.25" customHeight="1" x14ac:dyDescent="0.35">
      <c r="A94" s="70" t="str">
        <f t="shared" ref="A94:B94" si="41">A40</f>
        <v xml:space="preserve"> </v>
      </c>
      <c r="B94" s="70" t="str">
        <f t="shared" si="41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5" ht="29.25" customHeight="1" x14ac:dyDescent="0.35">
      <c r="A95" s="70" t="str">
        <f t="shared" ref="A95:B95" si="42">A41</f>
        <v xml:space="preserve"> </v>
      </c>
      <c r="B95" s="70" t="str">
        <f t="shared" si="42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5" ht="29.25" customHeight="1" x14ac:dyDescent="0.35">
      <c r="A96" s="70" t="str">
        <f t="shared" ref="A96:B96" si="43">A42</f>
        <v xml:space="preserve"> </v>
      </c>
      <c r="B96" s="70" t="str">
        <f t="shared" si="43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ref="A97:B97" si="44">A43</f>
        <v xml:space="preserve"> </v>
      </c>
      <c r="B97" s="70" t="str">
        <f t="shared" si="44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ref="A98:B98" si="45">A44</f>
        <v xml:space="preserve"> </v>
      </c>
      <c r="B98" s="70" t="str">
        <f t="shared" si="45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ref="A99:B99" si="46">A45</f>
        <v xml:space="preserve"> </v>
      </c>
      <c r="B99" s="70" t="str">
        <f t="shared" si="46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ref="A100:B100" si="47">A46</f>
        <v xml:space="preserve"> </v>
      </c>
      <c r="B100" s="70" t="str">
        <f t="shared" si="47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ref="A101:B101" si="48">A47</f>
        <v xml:space="preserve"> </v>
      </c>
      <c r="B101" s="70" t="str">
        <f t="shared" si="4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ref="A102:B102" si="49">A48</f>
        <v xml:space="preserve"> </v>
      </c>
      <c r="B102" s="70" t="str">
        <f t="shared" si="4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ref="A103:B103" si="50">A49</f>
        <v xml:space="preserve"> </v>
      </c>
      <c r="B103" s="70" t="str">
        <f t="shared" si="50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ref="A104:B104" si="51">A50</f>
        <v xml:space="preserve"> </v>
      </c>
      <c r="B104" s="70" t="str">
        <f t="shared" si="51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ref="A105:B105" si="52">A51</f>
        <v xml:space="preserve"> </v>
      </c>
      <c r="B105" s="70" t="str">
        <f t="shared" si="5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ref="A106:B106" si="53">A52</f>
        <v xml:space="preserve"> </v>
      </c>
      <c r="B106" s="70" t="str">
        <f t="shared" si="5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ref="A107:B109" si="54">A53</f>
        <v xml:space="preserve"> </v>
      </c>
      <c r="B107" s="70" t="str">
        <f t="shared" si="54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220" t="str">
        <f t="shared" si="54"/>
        <v xml:space="preserve"> </v>
      </c>
      <c r="B108" s="220" t="str">
        <f t="shared" si="54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220" t="str">
        <f t="shared" si="54"/>
        <v xml:space="preserve"> </v>
      </c>
      <c r="B109" s="220" t="str">
        <f t="shared" si="5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tr">
        <f t="shared" ref="A110" si="55">A57</f>
        <v>Department Totals</v>
      </c>
      <c r="B110" s="8"/>
      <c r="C110" s="53">
        <f>SUM(C60:C109)</f>
        <v>0</v>
      </c>
      <c r="D110" s="53">
        <f t="shared" ref="D110:K110" si="56">SUM(D60:D109)</f>
        <v>0</v>
      </c>
      <c r="E110" s="53">
        <f t="shared" si="56"/>
        <v>0</v>
      </c>
      <c r="F110" s="53">
        <f t="shared" si="56"/>
        <v>0</v>
      </c>
      <c r="G110" s="53">
        <f t="shared" si="56"/>
        <v>0</v>
      </c>
      <c r="H110" s="53">
        <f t="shared" si="56"/>
        <v>0</v>
      </c>
      <c r="I110" s="53">
        <f t="shared" si="56"/>
        <v>0</v>
      </c>
      <c r="J110" s="53">
        <f t="shared" si="56"/>
        <v>0</v>
      </c>
      <c r="K110" s="53">
        <f t="shared" si="56"/>
        <v>0</v>
      </c>
      <c r="L110" s="11">
        <f t="shared" ref="L110" si="57">SUM(L60:L109)</f>
        <v>0</v>
      </c>
      <c r="M110" s="14"/>
    </row>
  </sheetData>
  <hyperlinks>
    <hyperlink ref="M1" location="'Receiving Totals'!A1" display="Receiving Totals" xr:uid="{488531A6-9225-4FD7-A3FA-2C569E4AFB09}"/>
  </hyperlinks>
  <pageMargins left="0.7" right="0.7" top="0.75" bottom="0.75" header="0.3" footer="0.3"/>
  <pageSetup scale="28" fitToWidth="0" fitToHeight="0" orientation="landscape" horizontalDpi="300" verticalDpi="300" r:id="rId1"/>
  <rowBreaks count="1" manualBreakCount="1">
    <brk id="56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BC66-37DC-438B-890C-713C2DB23E01}">
  <dimension ref="A1:O110"/>
  <sheetViews>
    <sheetView zoomScale="70" zoomScaleNormal="70" workbookViewId="0">
      <pane ySplit="5" topLeftCell="A42" activePane="bottomLeft" state="frozen"/>
      <selection pane="bottomLeft" activeCell="A51" sqref="A51"/>
    </sheetView>
  </sheetViews>
  <sheetFormatPr defaultColWidth="9.140625" defaultRowHeight="23.25" x14ac:dyDescent="0.35"/>
  <cols>
    <col min="1" max="1" width="41" style="227" bestFit="1" customWidth="1"/>
    <col min="2" max="2" width="48.42578125" style="13" customWidth="1"/>
    <col min="3" max="3" width="34.28515625" style="227" bestFit="1" customWidth="1"/>
    <col min="4" max="4" width="29" style="227" bestFit="1" customWidth="1"/>
    <col min="5" max="5" width="31.85546875" style="227" bestFit="1" customWidth="1"/>
    <col min="6" max="6" width="22.5703125" style="227" hidden="1" customWidth="1"/>
    <col min="7" max="7" width="19.5703125" style="227" hidden="1" customWidth="1"/>
    <col min="8" max="8" width="1.42578125" style="227" hidden="1" customWidth="1"/>
    <col min="9" max="9" width="29" style="227" bestFit="1" customWidth="1"/>
    <col min="10" max="10" width="31.140625" style="227" bestFit="1" customWidth="1"/>
    <col min="11" max="11" width="28.7109375" style="227" customWidth="1"/>
    <col min="12" max="12" width="26" style="227" hidden="1" customWidth="1"/>
    <col min="13" max="13" width="29" style="227" bestFit="1" customWidth="1"/>
    <col min="14" max="14" width="31.85546875" style="227" customWidth="1"/>
    <col min="15" max="15" width="35.5703125" style="221" customWidth="1"/>
    <col min="16" max="16384" width="9.140625" style="227"/>
  </cols>
  <sheetData>
    <row r="1" spans="1:15" ht="44.25" customHeight="1" x14ac:dyDescent="0.5">
      <c r="A1" s="12"/>
      <c r="B1" s="3" t="s">
        <v>0</v>
      </c>
      <c r="C1" s="18" t="s">
        <v>1</v>
      </c>
      <c r="D1" s="18"/>
      <c r="E1" s="18" t="s">
        <v>2</v>
      </c>
      <c r="F1" s="18" t="s">
        <v>3</v>
      </c>
      <c r="G1" s="18" t="s">
        <v>4</v>
      </c>
      <c r="H1" s="18" t="s">
        <v>5</v>
      </c>
      <c r="I1" s="18" t="s">
        <v>6</v>
      </c>
      <c r="J1" s="18" t="s">
        <v>7</v>
      </c>
      <c r="K1" s="18" t="s">
        <v>8</v>
      </c>
      <c r="L1" s="18" t="s">
        <v>9</v>
      </c>
      <c r="M1" s="225" t="s">
        <v>10</v>
      </c>
      <c r="N1" s="226" t="s">
        <v>11</v>
      </c>
    </row>
    <row r="2" spans="1:15" ht="33" customHeight="1" x14ac:dyDescent="0.5">
      <c r="A2" s="12"/>
      <c r="B2" s="5" t="s">
        <v>12</v>
      </c>
      <c r="C2" s="228">
        <f>'Sunday WK1 (1)'!C2</f>
        <v>0.47799999999999998</v>
      </c>
      <c r="D2" s="228"/>
      <c r="E2" s="228">
        <f>'Sunday WK1 (1)'!E2</f>
        <v>9.9000000000000005E-2</v>
      </c>
      <c r="F2" s="228">
        <f>'Sunday WK1 (1)'!F2</f>
        <v>0</v>
      </c>
      <c r="G2" s="228">
        <f>'Sunday WK1 (1)'!G2</f>
        <v>0</v>
      </c>
      <c r="H2" s="228">
        <f>'Sunday WK1 (1)'!H2</f>
        <v>0</v>
      </c>
      <c r="I2" s="228">
        <f>'Sunday WK1 (1)'!I2</f>
        <v>0.159</v>
      </c>
      <c r="J2" s="228">
        <f>'Sunday WK1 (1)'!J2</f>
        <v>0.122</v>
      </c>
      <c r="K2" s="228">
        <f>'Sunday WK1 (1)'!$K$2</f>
        <v>0.14199999999999999</v>
      </c>
      <c r="L2" s="228">
        <f>'Sunday WK1 (1)'!L2</f>
        <v>0</v>
      </c>
      <c r="M2" s="228"/>
      <c r="N2" s="229">
        <f>SUM(C2:M2)</f>
        <v>1</v>
      </c>
    </row>
    <row r="3" spans="1:15" ht="33" customHeight="1" x14ac:dyDescent="0.5">
      <c r="A3" s="12"/>
      <c r="B3" s="65" t="s">
        <v>13</v>
      </c>
      <c r="C3" s="230">
        <f>C2*$N$3</f>
        <v>186.55383999999998</v>
      </c>
      <c r="D3" s="230"/>
      <c r="E3" s="230">
        <f t="shared" ref="E3:L3" si="0">E2*$N$3</f>
        <v>38.637720000000002</v>
      </c>
      <c r="F3" s="230">
        <f t="shared" si="0"/>
        <v>0</v>
      </c>
      <c r="G3" s="230">
        <f t="shared" si="0"/>
        <v>0</v>
      </c>
      <c r="H3" s="230">
        <f t="shared" si="0"/>
        <v>0</v>
      </c>
      <c r="I3" s="230">
        <f t="shared" si="0"/>
        <v>62.054519999999997</v>
      </c>
      <c r="J3" s="230">
        <f t="shared" si="0"/>
        <v>47.614159999999998</v>
      </c>
      <c r="K3" s="230">
        <f t="shared" si="0"/>
        <v>55.419759999999989</v>
      </c>
      <c r="L3" s="230">
        <f t="shared" si="0"/>
        <v>0</v>
      </c>
      <c r="M3" s="230"/>
      <c r="N3" s="231">
        <v>390.28</v>
      </c>
    </row>
    <row r="4" spans="1:15" ht="21" customHeight="1" thickBot="1" x14ac:dyDescent="0.4">
      <c r="A4" s="232" t="s">
        <v>14</v>
      </c>
      <c r="B4" s="64">
        <f>'Wednesday WK1 (4)'!B4+1</f>
        <v>46198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</row>
    <row r="5" spans="1:15" ht="54" customHeight="1" thickBot="1" x14ac:dyDescent="0.4">
      <c r="A5" s="56" t="s">
        <v>15</v>
      </c>
      <c r="B5" s="223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29.25" customHeight="1" x14ac:dyDescent="0.35">
      <c r="A6" s="234" t="s">
        <v>189</v>
      </c>
      <c r="B6" s="263" t="s">
        <v>31</v>
      </c>
      <c r="C6" s="235">
        <f t="shared" ref="C6:C54" si="1">N6-D6-E6-F6-G6-H6-I6-J6-K6-L6-M6-D60-E60-F60-G60-H60-I60-J60-K60-L60-C60</f>
        <v>3.4561242756581123E-13</v>
      </c>
      <c r="D6" s="235"/>
      <c r="E6" s="235"/>
      <c r="F6" s="235"/>
      <c r="G6" s="235"/>
      <c r="H6" s="235"/>
      <c r="I6" s="235"/>
      <c r="J6" s="235"/>
      <c r="K6" s="235">
        <v>2353.2199999999998</v>
      </c>
      <c r="L6" s="235"/>
      <c r="M6" s="235">
        <v>0.37</v>
      </c>
      <c r="N6" s="236">
        <v>2353.59</v>
      </c>
    </row>
    <row r="7" spans="1:15" ht="29.25" customHeight="1" x14ac:dyDescent="0.35">
      <c r="A7" s="234" t="s">
        <v>190</v>
      </c>
      <c r="B7" s="263" t="s">
        <v>191</v>
      </c>
      <c r="C7" s="235">
        <f t="shared" si="1"/>
        <v>0</v>
      </c>
      <c r="D7" s="235"/>
      <c r="E7" s="235">
        <v>474.62</v>
      </c>
      <c r="F7" s="235"/>
      <c r="G7" s="235"/>
      <c r="H7" s="235"/>
      <c r="I7" s="235"/>
      <c r="J7" s="235"/>
      <c r="K7" s="235"/>
      <c r="L7" s="235"/>
      <c r="M7" s="235"/>
      <c r="N7" s="236">
        <v>474.62</v>
      </c>
    </row>
    <row r="8" spans="1:15" ht="29.25" customHeight="1" x14ac:dyDescent="0.35">
      <c r="A8" s="234" t="s">
        <v>192</v>
      </c>
      <c r="B8" s="263" t="s">
        <v>191</v>
      </c>
      <c r="C8" s="235">
        <f t="shared" si="1"/>
        <v>0</v>
      </c>
      <c r="D8" s="235"/>
      <c r="E8" s="235">
        <v>230.43</v>
      </c>
      <c r="F8" s="235"/>
      <c r="G8" s="235"/>
      <c r="H8" s="235"/>
      <c r="I8" s="235"/>
      <c r="J8" s="235"/>
      <c r="K8" s="235"/>
      <c r="L8" s="235"/>
      <c r="M8" s="235"/>
      <c r="N8" s="236">
        <v>230.43</v>
      </c>
    </row>
    <row r="9" spans="1:15" ht="29.25" customHeight="1" x14ac:dyDescent="0.35">
      <c r="A9" s="234" t="s">
        <v>193</v>
      </c>
      <c r="B9" s="263" t="s">
        <v>39</v>
      </c>
      <c r="C9" s="235">
        <f t="shared" si="1"/>
        <v>0</v>
      </c>
      <c r="D9" s="235"/>
      <c r="E9" s="235">
        <v>2830.76</v>
      </c>
      <c r="F9" s="235"/>
      <c r="G9" s="235"/>
      <c r="H9" s="235"/>
      <c r="I9" s="235"/>
      <c r="J9" s="235"/>
      <c r="K9" s="235"/>
      <c r="L9" s="235"/>
      <c r="M9" s="235"/>
      <c r="N9" s="236">
        <v>2830.76</v>
      </c>
    </row>
    <row r="10" spans="1:15" ht="29.25" customHeight="1" x14ac:dyDescent="0.35">
      <c r="A10" s="234" t="s">
        <v>194</v>
      </c>
      <c r="B10" s="263" t="s">
        <v>39</v>
      </c>
      <c r="C10" s="235">
        <f t="shared" si="1"/>
        <v>169.54000000000002</v>
      </c>
      <c r="D10" s="235"/>
      <c r="E10" s="235">
        <v>49.3</v>
      </c>
      <c r="F10" s="235"/>
      <c r="G10" s="235"/>
      <c r="H10" s="235"/>
      <c r="I10" s="235"/>
      <c r="J10" s="235"/>
      <c r="K10" s="235"/>
      <c r="L10" s="235"/>
      <c r="M10" s="235"/>
      <c r="N10" s="236">
        <v>218.84</v>
      </c>
    </row>
    <row r="11" spans="1:15" ht="29.25" customHeight="1" x14ac:dyDescent="0.35">
      <c r="A11" s="234" t="s">
        <v>195</v>
      </c>
      <c r="B11" s="263" t="s">
        <v>39</v>
      </c>
      <c r="C11" s="235">
        <f t="shared" si="1"/>
        <v>0</v>
      </c>
      <c r="D11" s="235"/>
      <c r="E11" s="235">
        <v>40.28</v>
      </c>
      <c r="F11" s="235"/>
      <c r="G11" s="235"/>
      <c r="H11" s="235"/>
      <c r="I11" s="235"/>
      <c r="J11" s="235"/>
      <c r="K11" s="235"/>
      <c r="L11" s="235"/>
      <c r="M11" s="235"/>
      <c r="N11" s="236">
        <v>40.28</v>
      </c>
    </row>
    <row r="12" spans="1:15" ht="29.25" customHeight="1" x14ac:dyDescent="0.35">
      <c r="A12" s="234" t="s">
        <v>196</v>
      </c>
      <c r="B12" s="263" t="s">
        <v>39</v>
      </c>
      <c r="C12" s="235">
        <f t="shared" si="1"/>
        <v>0</v>
      </c>
      <c r="D12" s="235"/>
      <c r="E12" s="235">
        <v>244.1</v>
      </c>
      <c r="F12" s="235"/>
      <c r="G12" s="235"/>
      <c r="H12" s="235"/>
      <c r="I12" s="235"/>
      <c r="J12" s="235"/>
      <c r="K12" s="235"/>
      <c r="L12" s="235"/>
      <c r="M12" s="235"/>
      <c r="N12" s="236">
        <v>244.1</v>
      </c>
    </row>
    <row r="13" spans="1:15" ht="29.25" customHeight="1" x14ac:dyDescent="0.35">
      <c r="A13" s="234" t="s">
        <v>197</v>
      </c>
      <c r="B13" s="263" t="s">
        <v>39</v>
      </c>
      <c r="C13" s="235">
        <f t="shared" si="1"/>
        <v>1381.38</v>
      </c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6">
        <v>1381.38</v>
      </c>
    </row>
    <row r="14" spans="1:15" ht="29.25" customHeight="1" x14ac:dyDescent="0.35">
      <c r="A14" s="234" t="s">
        <v>198</v>
      </c>
      <c r="B14" s="263" t="s">
        <v>39</v>
      </c>
      <c r="C14" s="235">
        <f t="shared" si="1"/>
        <v>1567.44</v>
      </c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6">
        <v>1567.44</v>
      </c>
    </row>
    <row r="15" spans="1:15" ht="29.25" customHeight="1" x14ac:dyDescent="0.35">
      <c r="A15" s="234" t="s">
        <v>199</v>
      </c>
      <c r="B15" s="263" t="s">
        <v>39</v>
      </c>
      <c r="C15" s="235">
        <f t="shared" si="1"/>
        <v>135.96</v>
      </c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6">
        <v>135.96</v>
      </c>
    </row>
    <row r="16" spans="1:15" ht="29.25" customHeight="1" x14ac:dyDescent="0.35">
      <c r="A16" s="234" t="s">
        <v>200</v>
      </c>
      <c r="B16" s="263" t="s">
        <v>39</v>
      </c>
      <c r="C16" s="235">
        <f t="shared" si="1"/>
        <v>0</v>
      </c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6">
        <v>136.65</v>
      </c>
      <c r="O16" s="221" t="s">
        <v>201</v>
      </c>
    </row>
    <row r="17" spans="1:14" ht="29.25" customHeight="1" x14ac:dyDescent="0.35">
      <c r="A17" s="234" t="s">
        <v>202</v>
      </c>
      <c r="B17" s="263" t="s">
        <v>39</v>
      </c>
      <c r="C17" s="235">
        <f t="shared" si="1"/>
        <v>23731.42</v>
      </c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6">
        <v>23731.42</v>
      </c>
    </row>
    <row r="18" spans="1:14" ht="29.25" customHeight="1" x14ac:dyDescent="0.35">
      <c r="A18" s="234" t="s">
        <v>203</v>
      </c>
      <c r="B18" s="263" t="s">
        <v>39</v>
      </c>
      <c r="C18" s="235">
        <f t="shared" si="1"/>
        <v>30.289999999999964</v>
      </c>
      <c r="D18" s="235"/>
      <c r="E18" s="235"/>
      <c r="F18" s="235"/>
      <c r="G18" s="235"/>
      <c r="H18" s="235"/>
      <c r="I18" s="235"/>
      <c r="J18" s="235"/>
      <c r="K18" s="235">
        <v>3177.33</v>
      </c>
      <c r="L18" s="235"/>
      <c r="M18" s="235"/>
      <c r="N18" s="236">
        <v>3207.62</v>
      </c>
    </row>
    <row r="19" spans="1:14" ht="29.25" customHeight="1" x14ac:dyDescent="0.35">
      <c r="A19" s="234" t="s">
        <v>204</v>
      </c>
      <c r="B19" s="263" t="s">
        <v>39</v>
      </c>
      <c r="C19" s="235">
        <f t="shared" si="1"/>
        <v>0</v>
      </c>
      <c r="D19" s="235"/>
      <c r="E19" s="235"/>
      <c r="F19" s="235"/>
      <c r="G19" s="235"/>
      <c r="H19" s="235"/>
      <c r="I19" s="235"/>
      <c r="J19" s="235"/>
      <c r="K19" s="235">
        <v>153.82</v>
      </c>
      <c r="L19" s="235"/>
      <c r="M19" s="235"/>
      <c r="N19" s="236">
        <v>153.82</v>
      </c>
    </row>
    <row r="20" spans="1:14" ht="29.25" customHeight="1" x14ac:dyDescent="0.35">
      <c r="A20" s="234" t="s">
        <v>205</v>
      </c>
      <c r="B20" s="263" t="s">
        <v>39</v>
      </c>
      <c r="C20" s="235">
        <f t="shared" si="1"/>
        <v>0</v>
      </c>
      <c r="D20" s="235"/>
      <c r="E20" s="235">
        <v>784.48</v>
      </c>
      <c r="F20" s="235"/>
      <c r="G20" s="235"/>
      <c r="H20" s="235"/>
      <c r="I20" s="235"/>
      <c r="J20" s="235"/>
      <c r="K20" s="235"/>
      <c r="L20" s="235"/>
      <c r="M20" s="235"/>
      <c r="N20" s="236">
        <v>784.48</v>
      </c>
    </row>
    <row r="21" spans="1:14" ht="29.25" customHeight="1" x14ac:dyDescent="0.35">
      <c r="A21" s="234" t="s">
        <v>206</v>
      </c>
      <c r="B21" s="263" t="s">
        <v>39</v>
      </c>
      <c r="C21" s="235">
        <f t="shared" si="1"/>
        <v>0</v>
      </c>
      <c r="D21" s="235"/>
      <c r="E21" s="235">
        <v>543.46</v>
      </c>
      <c r="F21" s="235"/>
      <c r="G21" s="235"/>
      <c r="H21" s="235"/>
      <c r="I21" s="235"/>
      <c r="J21" s="235"/>
      <c r="K21" s="235"/>
      <c r="L21" s="235"/>
      <c r="M21" s="235"/>
      <c r="N21" s="236">
        <v>543.46</v>
      </c>
    </row>
    <row r="22" spans="1:14" ht="29.25" customHeight="1" x14ac:dyDescent="0.35">
      <c r="A22" s="234" t="s">
        <v>207</v>
      </c>
      <c r="B22" s="263" t="s">
        <v>39</v>
      </c>
      <c r="C22" s="235">
        <f t="shared" si="1"/>
        <v>0</v>
      </c>
      <c r="D22" s="235"/>
      <c r="E22" s="235">
        <v>80.09</v>
      </c>
      <c r="F22" s="235"/>
      <c r="G22" s="235"/>
      <c r="H22" s="235"/>
      <c r="I22" s="235"/>
      <c r="J22" s="235"/>
      <c r="K22" s="235"/>
      <c r="L22" s="235"/>
      <c r="M22" s="235"/>
      <c r="N22" s="236">
        <v>80.09</v>
      </c>
    </row>
    <row r="23" spans="1:14" ht="29.25" customHeight="1" x14ac:dyDescent="0.35">
      <c r="A23" s="234" t="s">
        <v>208</v>
      </c>
      <c r="B23" s="263" t="s">
        <v>39</v>
      </c>
      <c r="C23" s="235">
        <f t="shared" si="1"/>
        <v>0</v>
      </c>
      <c r="D23" s="235"/>
      <c r="E23" s="235">
        <v>4276.8100000000004</v>
      </c>
      <c r="F23" s="235"/>
      <c r="G23" s="235"/>
      <c r="H23" s="235"/>
      <c r="I23" s="235"/>
      <c r="J23" s="235"/>
      <c r="K23" s="235"/>
      <c r="L23" s="235"/>
      <c r="M23" s="235"/>
      <c r="N23" s="236">
        <v>4276.8100000000004</v>
      </c>
    </row>
    <row r="24" spans="1:14" ht="29.25" customHeight="1" x14ac:dyDescent="0.35">
      <c r="A24" s="234" t="s">
        <v>209</v>
      </c>
      <c r="B24" s="263" t="s">
        <v>39</v>
      </c>
      <c r="C24" s="235">
        <f t="shared" si="1"/>
        <v>0</v>
      </c>
      <c r="D24" s="235"/>
      <c r="E24" s="235">
        <v>413.52</v>
      </c>
      <c r="F24" s="235"/>
      <c r="G24" s="235"/>
      <c r="H24" s="235"/>
      <c r="I24" s="235"/>
      <c r="J24" s="235"/>
      <c r="K24" s="235"/>
      <c r="L24" s="235"/>
      <c r="M24" s="235"/>
      <c r="N24" s="236">
        <v>413.52</v>
      </c>
    </row>
    <row r="25" spans="1:14" ht="29.25" customHeight="1" x14ac:dyDescent="0.35">
      <c r="A25" s="234" t="s">
        <v>210</v>
      </c>
      <c r="B25" s="263" t="s">
        <v>39</v>
      </c>
      <c r="C25" s="235">
        <f t="shared" si="1"/>
        <v>0</v>
      </c>
      <c r="D25" s="235"/>
      <c r="E25" s="235">
        <v>74.95</v>
      </c>
      <c r="F25" s="235"/>
      <c r="G25" s="235"/>
      <c r="H25" s="235"/>
      <c r="I25" s="235"/>
      <c r="J25" s="235"/>
      <c r="K25" s="235"/>
      <c r="L25" s="235"/>
      <c r="M25" s="235"/>
      <c r="N25" s="236">
        <v>74.95</v>
      </c>
    </row>
    <row r="26" spans="1:14" ht="29.25" customHeight="1" x14ac:dyDescent="0.35">
      <c r="A26" s="234" t="s">
        <v>211</v>
      </c>
      <c r="B26" s="263" t="s">
        <v>39</v>
      </c>
      <c r="C26" s="235">
        <f t="shared" si="1"/>
        <v>38.22</v>
      </c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6">
        <v>38.22</v>
      </c>
    </row>
    <row r="27" spans="1:14" ht="29.25" customHeight="1" x14ac:dyDescent="0.35">
      <c r="A27" s="234" t="s">
        <v>212</v>
      </c>
      <c r="B27" s="263" t="s">
        <v>39</v>
      </c>
      <c r="C27" s="235">
        <f t="shared" si="1"/>
        <v>2273.04</v>
      </c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236">
        <v>2273.04</v>
      </c>
    </row>
    <row r="28" spans="1:14" ht="29.25" customHeight="1" x14ac:dyDescent="0.35">
      <c r="A28" s="234" t="s">
        <v>213</v>
      </c>
      <c r="B28" s="263" t="s">
        <v>39</v>
      </c>
      <c r="C28" s="235">
        <f t="shared" si="1"/>
        <v>46.24</v>
      </c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6">
        <v>46.24</v>
      </c>
    </row>
    <row r="29" spans="1:14" ht="29.25" customHeight="1" x14ac:dyDescent="0.35">
      <c r="A29" s="234" t="s">
        <v>214</v>
      </c>
      <c r="B29" s="263" t="s">
        <v>39</v>
      </c>
      <c r="C29" s="235">
        <f t="shared" si="1"/>
        <v>476.46</v>
      </c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6">
        <v>476.46</v>
      </c>
    </row>
    <row r="30" spans="1:14" ht="29.25" customHeight="1" x14ac:dyDescent="0.35">
      <c r="A30" s="234" t="s">
        <v>215</v>
      </c>
      <c r="B30" s="263" t="s">
        <v>39</v>
      </c>
      <c r="C30" s="235">
        <f t="shared" si="1"/>
        <v>462.19</v>
      </c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6">
        <v>462.19</v>
      </c>
    </row>
    <row r="31" spans="1:14" ht="29.25" customHeight="1" x14ac:dyDescent="0.35">
      <c r="A31" s="234" t="s">
        <v>216</v>
      </c>
      <c r="B31" s="263" t="s">
        <v>39</v>
      </c>
      <c r="C31" s="235">
        <f t="shared" si="1"/>
        <v>560.1</v>
      </c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6">
        <v>560.1</v>
      </c>
    </row>
    <row r="32" spans="1:14" ht="29.25" customHeight="1" x14ac:dyDescent="0.35">
      <c r="A32" s="234" t="s">
        <v>217</v>
      </c>
      <c r="B32" s="263" t="s">
        <v>39</v>
      </c>
      <c r="C32" s="235">
        <f t="shared" si="1"/>
        <v>84</v>
      </c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6">
        <v>84</v>
      </c>
    </row>
    <row r="33" spans="1:14" ht="29.25" customHeight="1" x14ac:dyDescent="0.35">
      <c r="A33" s="234" t="s">
        <v>218</v>
      </c>
      <c r="B33" s="263" t="s">
        <v>39</v>
      </c>
      <c r="C33" s="235">
        <f t="shared" si="1"/>
        <v>6205.53</v>
      </c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6">
        <v>6205.53</v>
      </c>
    </row>
    <row r="34" spans="1:14" ht="29.25" customHeight="1" x14ac:dyDescent="0.35">
      <c r="A34" s="234" t="s">
        <v>219</v>
      </c>
      <c r="B34" s="263" t="s">
        <v>39</v>
      </c>
      <c r="C34" s="235">
        <f t="shared" si="1"/>
        <v>186.86</v>
      </c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6">
        <v>186.86</v>
      </c>
    </row>
    <row r="35" spans="1:14" ht="29.25" customHeight="1" x14ac:dyDescent="0.35">
      <c r="A35" s="234" t="s">
        <v>220</v>
      </c>
      <c r="B35" s="263" t="s">
        <v>39</v>
      </c>
      <c r="C35" s="235">
        <f t="shared" si="1"/>
        <v>573.36</v>
      </c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6">
        <v>573.36</v>
      </c>
    </row>
    <row r="36" spans="1:14" ht="29.25" customHeight="1" x14ac:dyDescent="0.35">
      <c r="A36" s="234" t="s">
        <v>221</v>
      </c>
      <c r="B36" s="263" t="s">
        <v>39</v>
      </c>
      <c r="C36" s="235">
        <f t="shared" si="1"/>
        <v>55.43</v>
      </c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6">
        <v>55.43</v>
      </c>
    </row>
    <row r="37" spans="1:14" ht="29.25" customHeight="1" x14ac:dyDescent="0.35">
      <c r="A37" s="234" t="s">
        <v>222</v>
      </c>
      <c r="B37" s="263" t="s">
        <v>39</v>
      </c>
      <c r="C37" s="235">
        <f t="shared" si="1"/>
        <v>98.46</v>
      </c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6">
        <v>98.46</v>
      </c>
    </row>
    <row r="38" spans="1:14" ht="29.25" customHeight="1" x14ac:dyDescent="0.35">
      <c r="A38" s="234" t="s">
        <v>223</v>
      </c>
      <c r="B38" s="263" t="s">
        <v>39</v>
      </c>
      <c r="C38" s="235">
        <f t="shared" si="1"/>
        <v>62.38</v>
      </c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6">
        <v>62.38</v>
      </c>
    </row>
    <row r="39" spans="1:14" ht="29.25" customHeight="1" x14ac:dyDescent="0.35">
      <c r="A39" s="234" t="s">
        <v>224</v>
      </c>
      <c r="B39" s="263" t="s">
        <v>39</v>
      </c>
      <c r="C39" s="235">
        <f t="shared" si="1"/>
        <v>239.76</v>
      </c>
      <c r="D39" s="235"/>
      <c r="E39" s="235"/>
      <c r="F39" s="235"/>
      <c r="G39" s="235"/>
      <c r="H39" s="235"/>
      <c r="I39" s="235"/>
      <c r="J39" s="235"/>
      <c r="K39" s="235"/>
      <c r="L39" s="235"/>
      <c r="M39" s="235"/>
      <c r="N39" s="236">
        <v>239.76</v>
      </c>
    </row>
    <row r="40" spans="1:14" ht="29.25" customHeight="1" x14ac:dyDescent="0.35">
      <c r="A40" s="234" t="s">
        <v>225</v>
      </c>
      <c r="B40" s="263" t="s">
        <v>39</v>
      </c>
      <c r="C40" s="235">
        <f t="shared" si="1"/>
        <v>244.08</v>
      </c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6">
        <v>244.08</v>
      </c>
    </row>
    <row r="41" spans="1:14" ht="29.25" customHeight="1" x14ac:dyDescent="0.35">
      <c r="A41" s="234" t="s">
        <v>226</v>
      </c>
      <c r="B41" s="263" t="s">
        <v>39</v>
      </c>
      <c r="C41" s="235">
        <f t="shared" si="1"/>
        <v>66.620000000000118</v>
      </c>
      <c r="D41" s="235"/>
      <c r="E41" s="235"/>
      <c r="F41" s="235"/>
      <c r="G41" s="235"/>
      <c r="H41" s="235"/>
      <c r="I41" s="235"/>
      <c r="J41" s="235"/>
      <c r="K41" s="235">
        <v>1974.36</v>
      </c>
      <c r="L41" s="235"/>
      <c r="M41" s="235"/>
      <c r="N41" s="236">
        <v>2040.98</v>
      </c>
    </row>
    <row r="42" spans="1:14" ht="29.25" customHeight="1" x14ac:dyDescent="0.35">
      <c r="A42" s="234" t="s">
        <v>227</v>
      </c>
      <c r="B42" s="263" t="s">
        <v>39</v>
      </c>
      <c r="C42" s="235">
        <f t="shared" si="1"/>
        <v>0</v>
      </c>
      <c r="D42" s="235"/>
      <c r="E42" s="235"/>
      <c r="F42" s="235"/>
      <c r="G42" s="235"/>
      <c r="H42" s="235"/>
      <c r="I42" s="235">
        <v>12.81</v>
      </c>
      <c r="J42" s="235"/>
      <c r="K42" s="235"/>
      <c r="L42" s="235"/>
      <c r="M42" s="235"/>
      <c r="N42" s="236">
        <v>12.81</v>
      </c>
    </row>
    <row r="43" spans="1:14" ht="29.25" customHeight="1" x14ac:dyDescent="0.35">
      <c r="A43" s="234" t="s">
        <v>228</v>
      </c>
      <c r="B43" s="263" t="s">
        <v>39</v>
      </c>
      <c r="C43" s="235">
        <f t="shared" si="1"/>
        <v>0</v>
      </c>
      <c r="D43" s="235"/>
      <c r="E43" s="235"/>
      <c r="F43" s="235"/>
      <c r="G43" s="235"/>
      <c r="H43" s="235"/>
      <c r="I43" s="235">
        <v>34.22</v>
      </c>
      <c r="J43" s="235"/>
      <c r="K43" s="235"/>
      <c r="L43" s="235"/>
      <c r="M43" s="235"/>
      <c r="N43" s="236">
        <v>34.22</v>
      </c>
    </row>
    <row r="44" spans="1:14" ht="29.25" customHeight="1" x14ac:dyDescent="0.35">
      <c r="A44" s="234" t="s">
        <v>229</v>
      </c>
      <c r="B44" s="263" t="s">
        <v>39</v>
      </c>
      <c r="C44" s="235">
        <f t="shared" si="1"/>
        <v>0</v>
      </c>
      <c r="D44" s="235"/>
      <c r="E44" s="235"/>
      <c r="F44" s="235"/>
      <c r="G44" s="235"/>
      <c r="H44" s="235"/>
      <c r="I44" s="235">
        <v>182.35</v>
      </c>
      <c r="J44" s="235"/>
      <c r="K44" s="235"/>
      <c r="L44" s="235"/>
      <c r="M44" s="235"/>
      <c r="N44" s="236">
        <v>182.35</v>
      </c>
    </row>
    <row r="45" spans="1:14" ht="29.25" customHeight="1" x14ac:dyDescent="0.35">
      <c r="A45" s="234" t="s">
        <v>230</v>
      </c>
      <c r="B45" s="263" t="s">
        <v>39</v>
      </c>
      <c r="C45" s="235">
        <f t="shared" si="1"/>
        <v>0</v>
      </c>
      <c r="D45" s="235"/>
      <c r="E45" s="235"/>
      <c r="F45" s="235"/>
      <c r="G45" s="235"/>
      <c r="H45" s="235"/>
      <c r="I45" s="235">
        <v>3522.3</v>
      </c>
      <c r="J45" s="235"/>
      <c r="K45" s="235"/>
      <c r="L45" s="235"/>
      <c r="M45" s="235"/>
      <c r="N45" s="236">
        <v>3522.3</v>
      </c>
    </row>
    <row r="46" spans="1:14" ht="29.25" customHeight="1" x14ac:dyDescent="0.35">
      <c r="A46" s="234" t="s">
        <v>231</v>
      </c>
      <c r="B46" s="263" t="s">
        <v>39</v>
      </c>
      <c r="C46" s="235">
        <f t="shared" si="1"/>
        <v>0</v>
      </c>
      <c r="D46" s="235"/>
      <c r="E46" s="235"/>
      <c r="F46" s="235"/>
      <c r="G46" s="235"/>
      <c r="H46" s="235"/>
      <c r="I46" s="235">
        <v>82.46</v>
      </c>
      <c r="J46" s="235"/>
      <c r="K46" s="235"/>
      <c r="L46" s="235"/>
      <c r="M46" s="235"/>
      <c r="N46" s="236">
        <v>82.46</v>
      </c>
    </row>
    <row r="47" spans="1:14" ht="29.25" customHeight="1" x14ac:dyDescent="0.35">
      <c r="A47" s="234" t="s">
        <v>232</v>
      </c>
      <c r="B47" s="263" t="s">
        <v>33</v>
      </c>
      <c r="C47" s="235">
        <f t="shared" si="1"/>
        <v>9.2370555648813024E-14</v>
      </c>
      <c r="D47" s="235"/>
      <c r="E47" s="235"/>
      <c r="F47" s="235"/>
      <c r="G47" s="235"/>
      <c r="H47" s="235"/>
      <c r="I47" s="235">
        <v>670.3</v>
      </c>
      <c r="J47" s="235"/>
      <c r="K47" s="235"/>
      <c r="L47" s="235"/>
      <c r="M47" s="235">
        <v>22.9</v>
      </c>
      <c r="N47" s="236">
        <v>693.2</v>
      </c>
    </row>
    <row r="48" spans="1:14" ht="29.25" customHeight="1" x14ac:dyDescent="0.35">
      <c r="A48" s="234" t="s">
        <v>233</v>
      </c>
      <c r="B48" s="263" t="s">
        <v>118</v>
      </c>
      <c r="C48" s="235">
        <f t="shared" si="1"/>
        <v>589.62</v>
      </c>
      <c r="D48" s="235"/>
      <c r="E48" s="235"/>
      <c r="F48" s="235"/>
      <c r="G48" s="235"/>
      <c r="H48" s="235"/>
      <c r="I48" s="235"/>
      <c r="J48" s="235"/>
      <c r="K48" s="235"/>
      <c r="L48" s="235"/>
      <c r="M48" s="235">
        <v>4.53</v>
      </c>
      <c r="N48" s="236">
        <v>594.15</v>
      </c>
    </row>
    <row r="49" spans="1:15" ht="29.25" customHeight="1" x14ac:dyDescent="0.35">
      <c r="A49" s="234" t="s">
        <v>234</v>
      </c>
      <c r="B49" s="263" t="s">
        <v>104</v>
      </c>
      <c r="C49" s="235">
        <f t="shared" si="1"/>
        <v>12120.14</v>
      </c>
      <c r="D49" s="235"/>
      <c r="E49" s="235"/>
      <c r="F49" s="235"/>
      <c r="G49" s="235"/>
      <c r="H49" s="235"/>
      <c r="I49" s="235"/>
      <c r="J49" s="235"/>
      <c r="K49" s="235"/>
      <c r="L49" s="235"/>
      <c r="M49" s="235">
        <v>547.01</v>
      </c>
      <c r="N49" s="236">
        <v>12667.15</v>
      </c>
    </row>
    <row r="50" spans="1:15" ht="29.25" customHeight="1" x14ac:dyDescent="0.35">
      <c r="A50" s="234" t="s">
        <v>235</v>
      </c>
      <c r="B50" s="263" t="s">
        <v>29</v>
      </c>
      <c r="C50" s="235">
        <f t="shared" si="1"/>
        <v>618.54</v>
      </c>
      <c r="D50" s="235"/>
      <c r="E50" s="235"/>
      <c r="F50" s="235"/>
      <c r="G50" s="235"/>
      <c r="H50" s="235"/>
      <c r="I50" s="235"/>
      <c r="J50" s="235"/>
      <c r="K50" s="235"/>
      <c r="L50" s="235"/>
      <c r="M50" s="235"/>
      <c r="N50" s="236">
        <v>618.54</v>
      </c>
    </row>
    <row r="51" spans="1:15" ht="29.25" customHeight="1" x14ac:dyDescent="0.35">
      <c r="A51" s="234" t="s">
        <v>236</v>
      </c>
      <c r="B51" s="263" t="s">
        <v>237</v>
      </c>
      <c r="C51" s="235">
        <f t="shared" si="1"/>
        <v>2144.2199999999998</v>
      </c>
      <c r="D51" s="235"/>
      <c r="E51" s="235"/>
      <c r="F51" s="235"/>
      <c r="G51" s="235"/>
      <c r="H51" s="235"/>
      <c r="I51" s="235"/>
      <c r="J51" s="235"/>
      <c r="K51" s="235"/>
      <c r="L51" s="235"/>
      <c r="M51" s="235">
        <v>107.21</v>
      </c>
      <c r="N51" s="236">
        <v>2251.4299999999998</v>
      </c>
    </row>
    <row r="52" spans="1:15" ht="29.25" customHeight="1" x14ac:dyDescent="0.35">
      <c r="A52" s="234" t="s">
        <v>238</v>
      </c>
      <c r="B52" s="263" t="s">
        <v>118</v>
      </c>
      <c r="C52" s="235">
        <f t="shared" si="1"/>
        <v>-237.79000000000002</v>
      </c>
      <c r="D52" s="235"/>
      <c r="E52" s="235"/>
      <c r="F52" s="235"/>
      <c r="G52" s="235"/>
      <c r="H52" s="235"/>
      <c r="I52" s="235"/>
      <c r="J52" s="235"/>
      <c r="K52" s="235"/>
      <c r="L52" s="235"/>
      <c r="M52" s="235">
        <v>-2.64</v>
      </c>
      <c r="N52" s="236">
        <v>-240.43</v>
      </c>
    </row>
    <row r="53" spans="1:15" ht="29.25" customHeight="1" x14ac:dyDescent="0.35">
      <c r="A53" s="234" t="s">
        <v>239</v>
      </c>
      <c r="B53" s="263" t="s">
        <v>240</v>
      </c>
      <c r="C53" s="235">
        <f t="shared" si="1"/>
        <v>1332.6599999999999</v>
      </c>
      <c r="D53" s="235"/>
      <c r="E53" s="235"/>
      <c r="F53" s="235"/>
      <c r="G53" s="235"/>
      <c r="H53" s="235"/>
      <c r="I53" s="235"/>
      <c r="J53" s="235"/>
      <c r="K53" s="235"/>
      <c r="L53" s="235"/>
      <c r="M53" s="235">
        <v>58.9</v>
      </c>
      <c r="N53" s="236">
        <v>1391.56</v>
      </c>
    </row>
    <row r="54" spans="1:15" ht="29.25" customHeight="1" x14ac:dyDescent="0.35">
      <c r="A54" s="234" t="s">
        <v>241</v>
      </c>
      <c r="B54" s="263" t="s">
        <v>123</v>
      </c>
      <c r="C54" s="235">
        <f t="shared" si="1"/>
        <v>6878.8</v>
      </c>
      <c r="D54" s="235"/>
      <c r="E54" s="235"/>
      <c r="F54" s="235"/>
      <c r="G54" s="235"/>
      <c r="H54" s="235"/>
      <c r="I54" s="235"/>
      <c r="J54" s="235"/>
      <c r="K54" s="235"/>
      <c r="L54" s="235"/>
      <c r="M54" s="235">
        <v>343.94</v>
      </c>
      <c r="N54" s="236">
        <v>7222.74</v>
      </c>
    </row>
    <row r="55" spans="1:15" ht="29.25" customHeight="1" x14ac:dyDescent="0.35">
      <c r="A55" s="234" t="s">
        <v>82</v>
      </c>
      <c r="B55" s="263" t="s">
        <v>82</v>
      </c>
      <c r="C55" s="235">
        <f t="shared" ref="C55" si="2">N55-D55-E55-F55-G55-H55-I55-J55-K55-L55-M55-D109-E109-F109-G109-H109-I109-J109-K109-L109-C109</f>
        <v>0</v>
      </c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6"/>
    </row>
    <row r="56" spans="1:15" ht="29.25" customHeight="1" x14ac:dyDescent="0.35">
      <c r="A56" s="237" t="s">
        <v>0</v>
      </c>
      <c r="B56" s="9" t="s">
        <v>39</v>
      </c>
      <c r="C56" s="238">
        <f>C3</f>
        <v>186.55383999999998</v>
      </c>
      <c r="D56" s="238"/>
      <c r="E56" s="238">
        <f>E3</f>
        <v>38.637720000000002</v>
      </c>
      <c r="F56" s="238">
        <f t="shared" ref="F56:L56" si="3">F3</f>
        <v>0</v>
      </c>
      <c r="G56" s="238">
        <f t="shared" si="3"/>
        <v>0</v>
      </c>
      <c r="H56" s="238">
        <f t="shared" si="3"/>
        <v>0</v>
      </c>
      <c r="I56" s="238">
        <f t="shared" si="3"/>
        <v>62.054519999999997</v>
      </c>
      <c r="J56" s="238">
        <f t="shared" si="3"/>
        <v>47.614159999999998</v>
      </c>
      <c r="K56" s="238">
        <f t="shared" si="3"/>
        <v>55.419759999999989</v>
      </c>
      <c r="L56" s="238">
        <f t="shared" si="3"/>
        <v>0</v>
      </c>
      <c r="M56" s="238"/>
      <c r="N56" s="239">
        <f>SUM(C56:M56)+SUM(C118:J118)</f>
        <v>390.28</v>
      </c>
      <c r="O56" s="215" t="s">
        <v>242</v>
      </c>
    </row>
    <row r="57" spans="1:15" ht="29.25" customHeight="1" x14ac:dyDescent="0.4">
      <c r="A57" s="240" t="s">
        <v>84</v>
      </c>
      <c r="B57" s="10"/>
      <c r="C57" s="241">
        <f t="shared" ref="C57:M57" si="4">SUM(C6:C56)</f>
        <v>62321.503840000012</v>
      </c>
      <c r="D57" s="241">
        <f t="shared" si="4"/>
        <v>0</v>
      </c>
      <c r="E57" s="241">
        <f t="shared" si="4"/>
        <v>10081.437720000004</v>
      </c>
      <c r="F57" s="241">
        <f t="shared" si="4"/>
        <v>0</v>
      </c>
      <c r="G57" s="241">
        <f t="shared" si="4"/>
        <v>0</v>
      </c>
      <c r="H57" s="241">
        <f t="shared" si="4"/>
        <v>0</v>
      </c>
      <c r="I57" s="241">
        <f t="shared" si="4"/>
        <v>4566.4945200000002</v>
      </c>
      <c r="J57" s="241">
        <f t="shared" si="4"/>
        <v>47.614159999999998</v>
      </c>
      <c r="K57" s="241">
        <f t="shared" si="4"/>
        <v>7714.1497599999984</v>
      </c>
      <c r="L57" s="241">
        <f t="shared" si="4"/>
        <v>0</v>
      </c>
      <c r="M57" s="241">
        <f t="shared" si="4"/>
        <v>1082.22</v>
      </c>
      <c r="N57" s="241">
        <f>SUM(N6:N56)</f>
        <v>85950.069999999992</v>
      </c>
    </row>
    <row r="58" spans="1:15" ht="29.25" customHeight="1" thickBot="1" x14ac:dyDescent="0.4">
      <c r="A58" s="242"/>
      <c r="B58" s="69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 t="str">
        <f>IF(SUM(N6:N56)=SUM(C57:M57)+SUM(C110:K110),"","Sum error")</f>
        <v/>
      </c>
    </row>
    <row r="59" spans="1:15" ht="45.75" customHeight="1" x14ac:dyDescent="0.35">
      <c r="A59" s="6" t="str">
        <f t="shared" ref="A59:B74" si="5">A5</f>
        <v>Invoice Number</v>
      </c>
      <c r="B59" s="224" t="str">
        <f t="shared" si="5"/>
        <v>Supplier Name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243"/>
    </row>
    <row r="60" spans="1:15" ht="29.25" customHeight="1" x14ac:dyDescent="0.35">
      <c r="A60" s="244" t="str">
        <f t="shared" si="5"/>
        <v>4003676429</v>
      </c>
      <c r="B60" s="9" t="str">
        <f t="shared" si="5"/>
        <v>SAPUTO DAIRY PRODUCTS</v>
      </c>
      <c r="C60" s="245"/>
      <c r="D60" s="245"/>
      <c r="E60" s="245"/>
      <c r="F60" s="245"/>
      <c r="G60" s="245"/>
      <c r="H60" s="245"/>
      <c r="I60" s="245"/>
      <c r="J60" s="246"/>
      <c r="K60" s="247"/>
      <c r="L60" s="248"/>
      <c r="M60" s="243"/>
    </row>
    <row r="61" spans="1:15" ht="29.25" customHeight="1" x14ac:dyDescent="0.35">
      <c r="A61" s="244" t="str">
        <f t="shared" si="5"/>
        <v>962372</v>
      </c>
      <c r="B61" s="9" t="str">
        <f t="shared" si="5"/>
        <v>HARVEST MEATS</v>
      </c>
      <c r="C61" s="245"/>
      <c r="D61" s="245"/>
      <c r="E61" s="245"/>
      <c r="F61" s="245"/>
      <c r="G61" s="245"/>
      <c r="H61" s="245"/>
      <c r="I61" s="245"/>
      <c r="J61" s="246"/>
      <c r="K61" s="247"/>
      <c r="L61" s="248"/>
      <c r="M61" s="243"/>
    </row>
    <row r="62" spans="1:15" ht="29.25" customHeight="1" x14ac:dyDescent="0.35">
      <c r="A62" s="244" t="str">
        <f t="shared" si="5"/>
        <v>962772</v>
      </c>
      <c r="B62" s="9" t="str">
        <f t="shared" si="5"/>
        <v>HARVEST MEATS</v>
      </c>
      <c r="C62" s="245"/>
      <c r="D62" s="245"/>
      <c r="E62" s="245"/>
      <c r="F62" s="245"/>
      <c r="G62" s="245"/>
      <c r="H62" s="245"/>
      <c r="I62" s="245"/>
      <c r="J62" s="246"/>
      <c r="K62" s="247"/>
      <c r="L62" s="248"/>
      <c r="M62" s="243"/>
    </row>
    <row r="63" spans="1:15" ht="29.25" customHeight="1" x14ac:dyDescent="0.35">
      <c r="A63" s="244" t="str">
        <f t="shared" si="5"/>
        <v>6657512</v>
      </c>
      <c r="B63" s="9" t="str">
        <f t="shared" si="5"/>
        <v>THE GROCERY PEOPLE</v>
      </c>
      <c r="C63" s="245"/>
      <c r="D63" s="245"/>
      <c r="E63" s="245"/>
      <c r="F63" s="245"/>
      <c r="G63" s="245"/>
      <c r="H63" s="245"/>
      <c r="I63" s="245"/>
      <c r="J63" s="246"/>
      <c r="K63" s="247"/>
      <c r="L63" s="248"/>
      <c r="M63" s="243"/>
    </row>
    <row r="64" spans="1:15" ht="29.25" customHeight="1" x14ac:dyDescent="0.35">
      <c r="A64" s="244" t="str">
        <f t="shared" si="5"/>
        <v>6656802</v>
      </c>
      <c r="B64" s="9" t="str">
        <f t="shared" si="5"/>
        <v>THE GROCERY PEOPLE</v>
      </c>
      <c r="C64" s="245"/>
      <c r="D64" s="245"/>
      <c r="E64" s="245"/>
      <c r="F64" s="245"/>
      <c r="G64" s="245"/>
      <c r="H64" s="245"/>
      <c r="I64" s="245"/>
      <c r="J64" s="246"/>
      <c r="K64" s="247"/>
      <c r="L64" s="248"/>
      <c r="M64" s="262"/>
    </row>
    <row r="65" spans="1:13" ht="29.25" customHeight="1" x14ac:dyDescent="0.35">
      <c r="A65" s="244" t="str">
        <f t="shared" si="5"/>
        <v>6658481</v>
      </c>
      <c r="B65" s="9" t="str">
        <f t="shared" si="5"/>
        <v>THE GROCERY PEOPLE</v>
      </c>
      <c r="C65" s="245"/>
      <c r="D65" s="245"/>
      <c r="E65" s="245"/>
      <c r="F65" s="245"/>
      <c r="G65" s="245"/>
      <c r="H65" s="245"/>
      <c r="I65" s="245"/>
      <c r="J65" s="246"/>
      <c r="K65" s="247"/>
      <c r="L65" s="248"/>
      <c r="M65" s="243"/>
    </row>
    <row r="66" spans="1:13" ht="29.25" customHeight="1" x14ac:dyDescent="0.35">
      <c r="A66" s="244" t="str">
        <f t="shared" si="5"/>
        <v>6658482</v>
      </c>
      <c r="B66" s="9" t="str">
        <f t="shared" si="5"/>
        <v>THE GROCERY PEOPLE</v>
      </c>
      <c r="C66" s="245"/>
      <c r="D66" s="245"/>
      <c r="E66" s="245"/>
      <c r="F66" s="245"/>
      <c r="G66" s="245"/>
      <c r="H66" s="245"/>
      <c r="I66" s="245"/>
      <c r="J66" s="246"/>
      <c r="K66" s="247"/>
      <c r="L66" s="248"/>
      <c r="M66" s="243"/>
    </row>
    <row r="67" spans="1:13" ht="29.25" customHeight="1" x14ac:dyDescent="0.35">
      <c r="A67" s="244" t="str">
        <f t="shared" si="5"/>
        <v>5630396</v>
      </c>
      <c r="B67" s="9" t="str">
        <f t="shared" si="5"/>
        <v>THE GROCERY PEOPLE</v>
      </c>
      <c r="C67" s="245"/>
      <c r="D67" s="245"/>
      <c r="E67" s="245"/>
      <c r="F67" s="245"/>
      <c r="G67" s="245"/>
      <c r="H67" s="245"/>
      <c r="I67" s="245"/>
      <c r="J67" s="246"/>
      <c r="K67" s="247"/>
      <c r="L67" s="248"/>
      <c r="M67" s="14"/>
    </row>
    <row r="68" spans="1:13" ht="29.25" customHeight="1" x14ac:dyDescent="0.35">
      <c r="A68" s="244" t="str">
        <f t="shared" si="5"/>
        <v>5631184</v>
      </c>
      <c r="B68" s="9" t="str">
        <f t="shared" si="5"/>
        <v>THE GROCERY PEOPLE</v>
      </c>
      <c r="C68" s="245"/>
      <c r="D68" s="245"/>
      <c r="E68" s="245"/>
      <c r="F68" s="245"/>
      <c r="G68" s="245"/>
      <c r="H68" s="245"/>
      <c r="I68" s="245"/>
      <c r="J68" s="246"/>
      <c r="K68" s="247"/>
      <c r="L68" s="248"/>
      <c r="M68" s="243"/>
    </row>
    <row r="69" spans="1:13" ht="29.25" customHeight="1" x14ac:dyDescent="0.35">
      <c r="A69" s="244" t="str">
        <f t="shared" si="5"/>
        <v>5631309</v>
      </c>
      <c r="B69" s="9" t="str">
        <f t="shared" si="5"/>
        <v>THE GROCERY PEOPLE</v>
      </c>
      <c r="C69" s="245"/>
      <c r="D69" s="245"/>
      <c r="E69" s="245"/>
      <c r="F69" s="245"/>
      <c r="G69" s="245"/>
      <c r="H69" s="245"/>
      <c r="I69" s="245"/>
      <c r="J69" s="246"/>
      <c r="K69" s="247"/>
      <c r="L69" s="248"/>
      <c r="M69" s="243"/>
    </row>
    <row r="70" spans="1:13" ht="29.25" customHeight="1" x14ac:dyDescent="0.35">
      <c r="A70" s="244" t="str">
        <f t="shared" si="5"/>
        <v>5631563</v>
      </c>
      <c r="B70" s="9" t="str">
        <f t="shared" si="5"/>
        <v>THE GROCERY PEOPLE</v>
      </c>
      <c r="C70" s="245"/>
      <c r="D70" s="245"/>
      <c r="E70" s="245">
        <v>136.65</v>
      </c>
      <c r="F70" s="245"/>
      <c r="G70" s="245"/>
      <c r="H70" s="245"/>
      <c r="I70" s="245"/>
      <c r="J70" s="246"/>
      <c r="K70" s="247"/>
      <c r="L70" s="248"/>
      <c r="M70" s="262" t="s">
        <v>243</v>
      </c>
    </row>
    <row r="71" spans="1:13" ht="29.25" customHeight="1" x14ac:dyDescent="0.35">
      <c r="A71" s="244" t="str">
        <f t="shared" si="5"/>
        <v>5632090</v>
      </c>
      <c r="B71" s="9" t="str">
        <f t="shared" si="5"/>
        <v>THE GROCERY PEOPLE</v>
      </c>
      <c r="C71" s="245"/>
      <c r="D71" s="245"/>
      <c r="E71" s="245"/>
      <c r="F71" s="245"/>
      <c r="G71" s="245"/>
      <c r="H71" s="245"/>
      <c r="I71" s="245"/>
      <c r="J71" s="246"/>
      <c r="K71" s="247"/>
      <c r="L71" s="248"/>
      <c r="M71" s="243"/>
    </row>
    <row r="72" spans="1:13" ht="29.25" customHeight="1" x14ac:dyDescent="0.35">
      <c r="A72" s="244" t="str">
        <f t="shared" si="5"/>
        <v>5632206</v>
      </c>
      <c r="B72" s="9" t="str">
        <f t="shared" si="5"/>
        <v>THE GROCERY PEOPLE</v>
      </c>
      <c r="C72" s="245"/>
      <c r="D72" s="245"/>
      <c r="E72" s="245"/>
      <c r="F72" s="245"/>
      <c r="G72" s="245"/>
      <c r="H72" s="245"/>
      <c r="I72" s="245"/>
      <c r="J72" s="246"/>
      <c r="K72" s="247"/>
      <c r="L72" s="248"/>
      <c r="M72" s="243"/>
    </row>
    <row r="73" spans="1:13" ht="29.25" customHeight="1" x14ac:dyDescent="0.35">
      <c r="A73" s="244" t="str">
        <f t="shared" si="5"/>
        <v>5632207</v>
      </c>
      <c r="B73" s="9" t="str">
        <f t="shared" si="5"/>
        <v>THE GROCERY PEOPLE</v>
      </c>
      <c r="C73" s="245"/>
      <c r="D73" s="245"/>
      <c r="E73" s="245"/>
      <c r="F73" s="245"/>
      <c r="G73" s="245"/>
      <c r="H73" s="245"/>
      <c r="I73" s="245"/>
      <c r="J73" s="246"/>
      <c r="K73" s="247"/>
      <c r="L73" s="248"/>
      <c r="M73" s="243"/>
    </row>
    <row r="74" spans="1:13" ht="29.25" customHeight="1" x14ac:dyDescent="0.35">
      <c r="A74" s="244" t="str">
        <f t="shared" si="5"/>
        <v>8241401</v>
      </c>
      <c r="B74" s="9" t="str">
        <f t="shared" si="5"/>
        <v>THE GROCERY PEOPLE</v>
      </c>
      <c r="C74" s="245"/>
      <c r="D74" s="245"/>
      <c r="E74" s="245"/>
      <c r="F74" s="245"/>
      <c r="G74" s="245"/>
      <c r="H74" s="245"/>
      <c r="I74" s="245"/>
      <c r="J74" s="246"/>
      <c r="K74" s="247"/>
      <c r="L74" s="248"/>
      <c r="M74" s="14"/>
    </row>
    <row r="75" spans="1:13" ht="29.25" customHeight="1" x14ac:dyDescent="0.35">
      <c r="A75" s="244" t="str">
        <f t="shared" ref="A75:B90" si="6">A21</f>
        <v>8241504</v>
      </c>
      <c r="B75" s="9" t="str">
        <f t="shared" si="6"/>
        <v>THE GROCERY PEOPLE</v>
      </c>
      <c r="C75" s="245"/>
      <c r="D75" s="245"/>
      <c r="E75" s="245"/>
      <c r="F75" s="245"/>
      <c r="G75" s="245"/>
      <c r="H75" s="245"/>
      <c r="I75" s="245"/>
      <c r="J75" s="246"/>
      <c r="K75" s="247"/>
      <c r="L75" s="248"/>
      <c r="M75" s="243"/>
    </row>
    <row r="76" spans="1:13" ht="29.25" customHeight="1" x14ac:dyDescent="0.35">
      <c r="A76" s="244" t="str">
        <f t="shared" si="6"/>
        <v>5630017</v>
      </c>
      <c r="B76" s="9" t="str">
        <f t="shared" si="6"/>
        <v>THE GROCERY PEOPLE</v>
      </c>
      <c r="C76" s="245"/>
      <c r="D76" s="245"/>
      <c r="E76" s="245"/>
      <c r="F76" s="245"/>
      <c r="G76" s="245"/>
      <c r="H76" s="245"/>
      <c r="I76" s="245"/>
      <c r="J76" s="246"/>
      <c r="K76" s="247"/>
      <c r="L76" s="248"/>
      <c r="M76" s="243"/>
    </row>
    <row r="77" spans="1:13" ht="29.25" customHeight="1" x14ac:dyDescent="0.35">
      <c r="A77" s="244" t="str">
        <f t="shared" si="6"/>
        <v>5631316</v>
      </c>
      <c r="B77" s="9" t="str">
        <f t="shared" si="6"/>
        <v>THE GROCERY PEOPLE</v>
      </c>
      <c r="C77" s="245"/>
      <c r="D77" s="245"/>
      <c r="E77" s="245"/>
      <c r="F77" s="245"/>
      <c r="G77" s="245"/>
      <c r="H77" s="245"/>
      <c r="I77" s="245"/>
      <c r="J77" s="246"/>
      <c r="K77" s="247"/>
      <c r="L77" s="248"/>
      <c r="M77" s="243"/>
    </row>
    <row r="78" spans="1:13" ht="29.25" customHeight="1" x14ac:dyDescent="0.35">
      <c r="A78" s="244" t="str">
        <f t="shared" si="6"/>
        <v>5631317</v>
      </c>
      <c r="B78" s="9" t="str">
        <f t="shared" si="6"/>
        <v>THE GROCERY PEOPLE</v>
      </c>
      <c r="C78" s="245"/>
      <c r="D78" s="245"/>
      <c r="E78" s="245"/>
      <c r="F78" s="245"/>
      <c r="G78" s="245"/>
      <c r="H78" s="245"/>
      <c r="I78" s="245"/>
      <c r="J78" s="246"/>
      <c r="K78" s="247"/>
      <c r="L78" s="248"/>
      <c r="M78" s="243"/>
    </row>
    <row r="79" spans="1:13" ht="29.25" customHeight="1" x14ac:dyDescent="0.35">
      <c r="A79" s="244" t="str">
        <f t="shared" si="6"/>
        <v>8241502</v>
      </c>
      <c r="B79" s="9" t="str">
        <f t="shared" si="6"/>
        <v>THE GROCERY PEOPLE</v>
      </c>
      <c r="C79" s="245"/>
      <c r="D79" s="245"/>
      <c r="E79" s="245"/>
      <c r="F79" s="245"/>
      <c r="G79" s="245"/>
      <c r="H79" s="245"/>
      <c r="I79" s="245"/>
      <c r="J79" s="246"/>
      <c r="K79" s="247"/>
      <c r="L79" s="248"/>
      <c r="M79" s="243"/>
    </row>
    <row r="80" spans="1:13" ht="29.25" customHeight="1" x14ac:dyDescent="0.35">
      <c r="A80" s="244" t="str">
        <f t="shared" si="6"/>
        <v>5629864</v>
      </c>
      <c r="B80" s="9" t="str">
        <f t="shared" si="6"/>
        <v>THE GROCERY PEOPLE</v>
      </c>
      <c r="C80" s="245"/>
      <c r="D80" s="245"/>
      <c r="E80" s="245"/>
      <c r="F80" s="245"/>
      <c r="G80" s="245"/>
      <c r="H80" s="245"/>
      <c r="I80" s="245"/>
      <c r="J80" s="246"/>
      <c r="K80" s="247"/>
      <c r="L80" s="248"/>
      <c r="M80" s="243"/>
    </row>
    <row r="81" spans="1:13" ht="29.25" customHeight="1" x14ac:dyDescent="0.35">
      <c r="A81" s="244" t="str">
        <f t="shared" si="6"/>
        <v>5630018</v>
      </c>
      <c r="B81" s="9" t="str">
        <f t="shared" si="6"/>
        <v>THE GROCERY PEOPLE</v>
      </c>
      <c r="C81" s="245"/>
      <c r="D81" s="245"/>
      <c r="E81" s="245"/>
      <c r="F81" s="245"/>
      <c r="G81" s="245"/>
      <c r="H81" s="245"/>
      <c r="I81" s="245"/>
      <c r="J81" s="246"/>
      <c r="K81" s="247"/>
      <c r="L81" s="248"/>
      <c r="M81" s="243"/>
    </row>
    <row r="82" spans="1:13" ht="29.25" customHeight="1" x14ac:dyDescent="0.35">
      <c r="A82" s="244" t="str">
        <f t="shared" si="6"/>
        <v>5630406</v>
      </c>
      <c r="B82" s="9" t="str">
        <f t="shared" si="6"/>
        <v>THE GROCERY PEOPLE</v>
      </c>
      <c r="C82" s="245"/>
      <c r="D82" s="245"/>
      <c r="E82" s="245"/>
      <c r="F82" s="245"/>
      <c r="G82" s="245"/>
      <c r="H82" s="245"/>
      <c r="I82" s="245"/>
      <c r="J82" s="246"/>
      <c r="K82" s="247"/>
      <c r="L82" s="248"/>
      <c r="M82" s="243"/>
    </row>
    <row r="83" spans="1:13" ht="29.25" customHeight="1" x14ac:dyDescent="0.35">
      <c r="A83" s="244" t="str">
        <f t="shared" si="6"/>
        <v>5630539</v>
      </c>
      <c r="B83" s="9" t="str">
        <f t="shared" si="6"/>
        <v>THE GROCERY PEOPLE</v>
      </c>
      <c r="C83" s="245"/>
      <c r="D83" s="245"/>
      <c r="E83" s="245"/>
      <c r="F83" s="245"/>
      <c r="G83" s="245"/>
      <c r="H83" s="245"/>
      <c r="I83" s="245"/>
      <c r="J83" s="246"/>
      <c r="K83" s="247"/>
      <c r="L83" s="248"/>
      <c r="M83" s="243"/>
    </row>
    <row r="84" spans="1:13" ht="29.25" customHeight="1" x14ac:dyDescent="0.35">
      <c r="A84" s="244" t="str">
        <f t="shared" si="6"/>
        <v>5630540</v>
      </c>
      <c r="B84" s="9" t="str">
        <f t="shared" si="6"/>
        <v>THE GROCERY PEOPLE</v>
      </c>
      <c r="C84" s="245"/>
      <c r="D84" s="245"/>
      <c r="E84" s="245"/>
      <c r="F84" s="245"/>
      <c r="G84" s="245"/>
      <c r="H84" s="245"/>
      <c r="I84" s="245"/>
      <c r="J84" s="246"/>
      <c r="K84" s="247"/>
      <c r="L84" s="248"/>
      <c r="M84" s="243"/>
    </row>
    <row r="85" spans="1:13" ht="29.25" customHeight="1" x14ac:dyDescent="0.35">
      <c r="A85" s="244" t="str">
        <f t="shared" si="6"/>
        <v>5630541</v>
      </c>
      <c r="B85" s="9" t="str">
        <f t="shared" si="6"/>
        <v>THE GROCERY PEOPLE</v>
      </c>
      <c r="C85" s="245"/>
      <c r="D85" s="245"/>
      <c r="E85" s="245"/>
      <c r="F85" s="245"/>
      <c r="G85" s="245"/>
      <c r="H85" s="245"/>
      <c r="I85" s="245"/>
      <c r="J85" s="246"/>
      <c r="K85" s="247"/>
      <c r="L85" s="248"/>
      <c r="M85" s="243"/>
    </row>
    <row r="86" spans="1:13" ht="29.25" customHeight="1" x14ac:dyDescent="0.35">
      <c r="A86" s="244" t="str">
        <f t="shared" si="6"/>
        <v>5630542</v>
      </c>
      <c r="B86" s="9" t="str">
        <f t="shared" si="6"/>
        <v>THE GROCERY PEOPLE</v>
      </c>
      <c r="C86" s="245"/>
      <c r="D86" s="245"/>
      <c r="E86" s="245"/>
      <c r="F86" s="245"/>
      <c r="G86" s="245"/>
      <c r="H86" s="245"/>
      <c r="I86" s="245"/>
      <c r="J86" s="246"/>
      <c r="K86" s="247"/>
      <c r="L86" s="248"/>
      <c r="M86" s="243"/>
    </row>
    <row r="87" spans="1:13" ht="29.25" customHeight="1" x14ac:dyDescent="0.35">
      <c r="A87" s="244" t="str">
        <f t="shared" si="6"/>
        <v>5631315</v>
      </c>
      <c r="B87" s="9" t="str">
        <f t="shared" si="6"/>
        <v>THE GROCERY PEOPLE</v>
      </c>
      <c r="C87" s="245"/>
      <c r="D87" s="245"/>
      <c r="E87" s="245"/>
      <c r="F87" s="245"/>
      <c r="G87" s="245"/>
      <c r="H87" s="245"/>
      <c r="I87" s="245"/>
      <c r="J87" s="246"/>
      <c r="K87" s="247"/>
      <c r="L87" s="248"/>
      <c r="M87" s="243"/>
    </row>
    <row r="88" spans="1:13" ht="29.25" customHeight="1" x14ac:dyDescent="0.35">
      <c r="A88" s="244" t="str">
        <f t="shared" si="6"/>
        <v>5631564</v>
      </c>
      <c r="B88" s="9" t="str">
        <f t="shared" si="6"/>
        <v>THE GROCERY PEOPLE</v>
      </c>
      <c r="C88" s="245"/>
      <c r="D88" s="245"/>
      <c r="E88" s="245"/>
      <c r="F88" s="245"/>
      <c r="G88" s="245"/>
      <c r="H88" s="245"/>
      <c r="I88" s="245"/>
      <c r="J88" s="246"/>
      <c r="K88" s="247"/>
      <c r="L88" s="248"/>
      <c r="M88" s="243"/>
    </row>
    <row r="89" spans="1:13" ht="29.25" customHeight="1" x14ac:dyDescent="0.35">
      <c r="A89" s="244" t="str">
        <f t="shared" si="6"/>
        <v>5631565</v>
      </c>
      <c r="B89" s="9" t="str">
        <f t="shared" si="6"/>
        <v>THE GROCERY PEOPLE</v>
      </c>
      <c r="C89" s="245"/>
      <c r="D89" s="245"/>
      <c r="E89" s="245"/>
      <c r="F89" s="245"/>
      <c r="G89" s="245"/>
      <c r="H89" s="245"/>
      <c r="I89" s="245"/>
      <c r="J89" s="246"/>
      <c r="K89" s="247"/>
      <c r="L89" s="248"/>
      <c r="M89" s="243"/>
    </row>
    <row r="90" spans="1:13" ht="29.25" customHeight="1" x14ac:dyDescent="0.35">
      <c r="A90" s="244" t="str">
        <f t="shared" si="6"/>
        <v>5631647</v>
      </c>
      <c r="B90" s="9" t="str">
        <f t="shared" si="6"/>
        <v>THE GROCERY PEOPLE</v>
      </c>
      <c r="C90" s="245"/>
      <c r="D90" s="245"/>
      <c r="E90" s="245"/>
      <c r="F90" s="245"/>
      <c r="G90" s="245"/>
      <c r="H90" s="245"/>
      <c r="I90" s="245"/>
      <c r="J90" s="246"/>
      <c r="K90" s="247"/>
      <c r="L90" s="248"/>
      <c r="M90" s="243"/>
    </row>
    <row r="91" spans="1:13" ht="29.25" customHeight="1" x14ac:dyDescent="0.35">
      <c r="A91" s="244" t="str">
        <f t="shared" ref="A91:B106" si="7">A37</f>
        <v>5631732</v>
      </c>
      <c r="B91" s="9" t="str">
        <f t="shared" si="7"/>
        <v>THE GROCERY PEOPLE</v>
      </c>
      <c r="C91" s="245"/>
      <c r="D91" s="245"/>
      <c r="E91" s="245"/>
      <c r="F91" s="245"/>
      <c r="G91" s="245"/>
      <c r="H91" s="245"/>
      <c r="I91" s="245"/>
      <c r="J91" s="246"/>
      <c r="K91" s="247"/>
      <c r="L91" s="248"/>
      <c r="M91" s="243"/>
    </row>
    <row r="92" spans="1:13" ht="29.25" customHeight="1" x14ac:dyDescent="0.35">
      <c r="A92" s="244" t="str">
        <f t="shared" si="7"/>
        <v>5631830</v>
      </c>
      <c r="B92" s="9" t="str">
        <f t="shared" si="7"/>
        <v>THE GROCERY PEOPLE</v>
      </c>
      <c r="C92" s="245"/>
      <c r="D92" s="245"/>
      <c r="E92" s="245"/>
      <c r="F92" s="245"/>
      <c r="G92" s="245"/>
      <c r="H92" s="245"/>
      <c r="I92" s="245"/>
      <c r="J92" s="246"/>
      <c r="K92" s="247"/>
      <c r="L92" s="248"/>
      <c r="M92" s="243"/>
    </row>
    <row r="93" spans="1:13" ht="29.25" customHeight="1" x14ac:dyDescent="0.35">
      <c r="A93" s="244" t="str">
        <f t="shared" si="7"/>
        <v>5632089</v>
      </c>
      <c r="B93" s="9" t="str">
        <f t="shared" si="7"/>
        <v>THE GROCERY PEOPLE</v>
      </c>
      <c r="C93" s="245"/>
      <c r="D93" s="245"/>
      <c r="E93" s="245"/>
      <c r="F93" s="245"/>
      <c r="G93" s="245"/>
      <c r="H93" s="245"/>
      <c r="I93" s="245"/>
      <c r="J93" s="246"/>
      <c r="K93" s="247"/>
      <c r="L93" s="248"/>
      <c r="M93" s="243"/>
    </row>
    <row r="94" spans="1:13" ht="29.25" customHeight="1" x14ac:dyDescent="0.35">
      <c r="A94" s="244" t="str">
        <f t="shared" si="7"/>
        <v>5632195</v>
      </c>
      <c r="B94" s="9" t="str">
        <f t="shared" si="7"/>
        <v>THE GROCERY PEOPLE</v>
      </c>
      <c r="C94" s="245"/>
      <c r="D94" s="245"/>
      <c r="E94" s="245"/>
      <c r="F94" s="245"/>
      <c r="G94" s="245"/>
      <c r="H94" s="245"/>
      <c r="I94" s="245"/>
      <c r="J94" s="246"/>
      <c r="K94" s="247"/>
      <c r="L94" s="248"/>
      <c r="M94" s="243"/>
    </row>
    <row r="95" spans="1:13" ht="29.25" customHeight="1" x14ac:dyDescent="0.35">
      <c r="A95" s="244" t="str">
        <f t="shared" si="7"/>
        <v>5632205</v>
      </c>
      <c r="B95" s="9" t="str">
        <f t="shared" si="7"/>
        <v>THE GROCERY PEOPLE</v>
      </c>
      <c r="C95" s="245"/>
      <c r="D95" s="245"/>
      <c r="E95" s="245"/>
      <c r="F95" s="245"/>
      <c r="G95" s="245"/>
      <c r="H95" s="245"/>
      <c r="I95" s="245"/>
      <c r="J95" s="246"/>
      <c r="K95" s="247"/>
      <c r="L95" s="248"/>
      <c r="M95" s="243"/>
    </row>
    <row r="96" spans="1:13" ht="29.25" customHeight="1" x14ac:dyDescent="0.35">
      <c r="A96" s="244" t="str">
        <f t="shared" si="7"/>
        <v>5631290</v>
      </c>
      <c r="B96" s="9" t="str">
        <f t="shared" si="7"/>
        <v>THE GROCERY PEOPLE</v>
      </c>
      <c r="C96" s="245"/>
      <c r="D96" s="245"/>
      <c r="E96" s="245"/>
      <c r="F96" s="245"/>
      <c r="G96" s="245"/>
      <c r="H96" s="245"/>
      <c r="I96" s="245"/>
      <c r="J96" s="246"/>
      <c r="K96" s="247"/>
      <c r="L96" s="248"/>
      <c r="M96" s="243"/>
    </row>
    <row r="97" spans="1:13" ht="29.25" customHeight="1" x14ac:dyDescent="0.35">
      <c r="A97" s="244" t="str">
        <f t="shared" si="7"/>
        <v>5631544</v>
      </c>
      <c r="B97" s="9" t="str">
        <f t="shared" si="7"/>
        <v>THE GROCERY PEOPLE</v>
      </c>
      <c r="C97" s="245"/>
      <c r="D97" s="245"/>
      <c r="E97" s="245"/>
      <c r="F97" s="245"/>
      <c r="G97" s="245"/>
      <c r="H97" s="245"/>
      <c r="I97" s="245"/>
      <c r="J97" s="246"/>
      <c r="K97" s="247"/>
      <c r="L97" s="248"/>
      <c r="M97" s="243"/>
    </row>
    <row r="98" spans="1:13" ht="29.25" customHeight="1" x14ac:dyDescent="0.35">
      <c r="A98" s="244" t="str">
        <f t="shared" si="7"/>
        <v>5632780</v>
      </c>
      <c r="B98" s="9" t="str">
        <f t="shared" si="7"/>
        <v>THE GROCERY PEOPLE</v>
      </c>
      <c r="C98" s="245"/>
      <c r="D98" s="245"/>
      <c r="E98" s="245"/>
      <c r="F98" s="245"/>
      <c r="G98" s="245"/>
      <c r="H98" s="245"/>
      <c r="I98" s="245"/>
      <c r="J98" s="246"/>
      <c r="K98" s="247"/>
      <c r="L98" s="248"/>
      <c r="M98" s="243"/>
    </row>
    <row r="99" spans="1:13" ht="29.25" customHeight="1" x14ac:dyDescent="0.35">
      <c r="A99" s="244" t="str">
        <f t="shared" si="7"/>
        <v>5632848</v>
      </c>
      <c r="B99" s="9" t="str">
        <f t="shared" si="7"/>
        <v>THE GROCERY PEOPLE</v>
      </c>
      <c r="C99" s="245"/>
      <c r="D99" s="245"/>
      <c r="E99" s="245"/>
      <c r="F99" s="245"/>
      <c r="G99" s="245"/>
      <c r="H99" s="245"/>
      <c r="I99" s="245"/>
      <c r="J99" s="246"/>
      <c r="K99" s="247"/>
      <c r="L99" s="248"/>
      <c r="M99" s="243"/>
    </row>
    <row r="100" spans="1:13" ht="29.25" customHeight="1" x14ac:dyDescent="0.35">
      <c r="A100" s="244" t="str">
        <f t="shared" si="7"/>
        <v>5632967</v>
      </c>
      <c r="B100" s="9" t="str">
        <f t="shared" si="7"/>
        <v>THE GROCERY PEOPLE</v>
      </c>
      <c r="C100" s="245"/>
      <c r="D100" s="245"/>
      <c r="E100" s="245"/>
      <c r="F100" s="245"/>
      <c r="G100" s="245"/>
      <c r="H100" s="245"/>
      <c r="I100" s="245"/>
      <c r="J100" s="246"/>
      <c r="K100" s="247"/>
      <c r="L100" s="248"/>
      <c r="M100" s="243"/>
    </row>
    <row r="101" spans="1:13" ht="29.25" customHeight="1" x14ac:dyDescent="0.35">
      <c r="A101" s="244" t="str">
        <f t="shared" si="7"/>
        <v>SO185631</v>
      </c>
      <c r="B101" s="9" t="str">
        <f t="shared" si="7"/>
        <v>STAR PRODUCE</v>
      </c>
      <c r="C101" s="245"/>
      <c r="D101" s="245"/>
      <c r="E101" s="245"/>
      <c r="F101" s="245"/>
      <c r="G101" s="245"/>
      <c r="H101" s="245"/>
      <c r="I101" s="245"/>
      <c r="J101" s="246"/>
      <c r="K101" s="247"/>
      <c r="L101" s="248"/>
      <c r="M101" s="243"/>
    </row>
    <row r="102" spans="1:13" ht="29.25" customHeight="1" x14ac:dyDescent="0.35">
      <c r="A102" s="244" t="str">
        <f t="shared" si="7"/>
        <v>226650717652</v>
      </c>
      <c r="B102" s="9" t="str">
        <f t="shared" si="7"/>
        <v>CANADA BREAD COMPANY</v>
      </c>
      <c r="C102" s="245"/>
      <c r="D102" s="245"/>
      <c r="E102" s="245"/>
      <c r="F102" s="245"/>
      <c r="G102" s="245"/>
      <c r="H102" s="245"/>
      <c r="I102" s="245"/>
      <c r="J102" s="246"/>
      <c r="K102" s="247"/>
      <c r="L102" s="248"/>
      <c r="M102" s="243"/>
    </row>
    <row r="103" spans="1:13" ht="29.25" customHeight="1" x14ac:dyDescent="0.35">
      <c r="A103" s="244" t="str">
        <f t="shared" si="7"/>
        <v>53003562004</v>
      </c>
      <c r="B103" s="9" t="str">
        <f t="shared" si="7"/>
        <v>COCA COLA CANADA BOTTLING</v>
      </c>
      <c r="C103" s="245"/>
      <c r="D103" s="245"/>
      <c r="E103" s="245"/>
      <c r="F103" s="245"/>
      <c r="G103" s="245"/>
      <c r="H103" s="245"/>
      <c r="I103" s="245"/>
      <c r="J103" s="246"/>
      <c r="K103" s="247"/>
      <c r="L103" s="248"/>
      <c r="M103" s="243"/>
    </row>
    <row r="104" spans="1:13" ht="29.25" customHeight="1" x14ac:dyDescent="0.35">
      <c r="A104" s="244" t="str">
        <f t="shared" si="7"/>
        <v>126396</v>
      </c>
      <c r="B104" s="9" t="str">
        <f t="shared" si="7"/>
        <v>ITALIAN BAKERY</v>
      </c>
      <c r="C104" s="245"/>
      <c r="D104" s="245"/>
      <c r="E104" s="245"/>
      <c r="F104" s="245"/>
      <c r="G104" s="245"/>
      <c r="H104" s="245"/>
      <c r="I104" s="245"/>
      <c r="J104" s="246"/>
      <c r="K104" s="247"/>
      <c r="L104" s="248"/>
      <c r="M104" s="243"/>
    </row>
    <row r="105" spans="1:13" ht="29.25" customHeight="1" x14ac:dyDescent="0.35">
      <c r="A105" s="244" t="str">
        <f t="shared" si="7"/>
        <v>0117318</v>
      </c>
      <c r="B105" s="9" t="str">
        <f t="shared" si="7"/>
        <v>G &amp; L DISTRIBUTORS</v>
      </c>
      <c r="C105" s="245"/>
      <c r="D105" s="245"/>
      <c r="E105" s="245"/>
      <c r="F105" s="245"/>
      <c r="G105" s="245"/>
      <c r="H105" s="245"/>
      <c r="I105" s="245"/>
      <c r="J105" s="246"/>
      <c r="K105" s="247"/>
      <c r="L105" s="248"/>
      <c r="M105" s="243"/>
    </row>
    <row r="106" spans="1:13" ht="29.25" customHeight="1" x14ac:dyDescent="0.35">
      <c r="A106" s="244" t="str">
        <f t="shared" si="7"/>
        <v>226650717653</v>
      </c>
      <c r="B106" s="9" t="str">
        <f t="shared" si="7"/>
        <v>CANADA BREAD COMPANY</v>
      </c>
      <c r="C106" s="245"/>
      <c r="D106" s="245"/>
      <c r="E106" s="245"/>
      <c r="F106" s="245"/>
      <c r="G106" s="245"/>
      <c r="H106" s="245"/>
      <c r="I106" s="245"/>
      <c r="J106" s="246"/>
      <c r="K106" s="247"/>
      <c r="L106" s="248"/>
      <c r="M106" s="243"/>
    </row>
    <row r="107" spans="1:13" ht="29.25" customHeight="1" x14ac:dyDescent="0.35">
      <c r="A107" s="244" t="str">
        <f t="shared" ref="A107:B109" si="8">A53</f>
        <v>SO2513920</v>
      </c>
      <c r="B107" s="9" t="str">
        <f t="shared" si="8"/>
        <v>HARLAN FAIRBANKS</v>
      </c>
      <c r="C107" s="245"/>
      <c r="D107" s="245"/>
      <c r="E107" s="245"/>
      <c r="F107" s="245"/>
      <c r="G107" s="245"/>
      <c r="H107" s="245"/>
      <c r="I107" s="245"/>
      <c r="J107" s="246"/>
      <c r="K107" s="247"/>
      <c r="L107" s="248"/>
      <c r="M107" s="243"/>
    </row>
    <row r="108" spans="1:13" ht="29.25" customHeight="1" x14ac:dyDescent="0.35">
      <c r="A108" s="244" t="str">
        <f t="shared" si="8"/>
        <v>91942722</v>
      </c>
      <c r="B108" s="9" t="str">
        <f t="shared" si="8"/>
        <v>FRITO LAY CANADA VENDING</v>
      </c>
      <c r="C108" s="245"/>
      <c r="D108" s="245"/>
      <c r="E108" s="245"/>
      <c r="F108" s="245"/>
      <c r="G108" s="245"/>
      <c r="H108" s="245"/>
      <c r="I108" s="245"/>
      <c r="J108" s="246"/>
      <c r="K108" s="247"/>
      <c r="L108" s="248"/>
      <c r="M108" s="243"/>
    </row>
    <row r="109" spans="1:13" ht="29.25" customHeight="1" x14ac:dyDescent="0.35">
      <c r="A109" s="244" t="str">
        <f t="shared" si="8"/>
        <v xml:space="preserve"> </v>
      </c>
      <c r="B109" s="9" t="str">
        <f t="shared" si="8"/>
        <v xml:space="preserve"> </v>
      </c>
      <c r="C109" s="245"/>
      <c r="D109" s="245"/>
      <c r="E109" s="245"/>
      <c r="F109" s="245"/>
      <c r="G109" s="245"/>
      <c r="H109" s="245"/>
      <c r="I109" s="245"/>
      <c r="J109" s="246"/>
      <c r="K109" s="247"/>
      <c r="L109" s="248"/>
      <c r="M109" s="243"/>
    </row>
    <row r="110" spans="1:13" ht="29.25" customHeight="1" thickBot="1" x14ac:dyDescent="0.45">
      <c r="A110" s="237" t="str">
        <f t="shared" ref="A110" si="9">A57</f>
        <v>Department Totals</v>
      </c>
      <c r="B110" s="8"/>
      <c r="C110" s="249">
        <f>SUM(C60:C109)</f>
        <v>0</v>
      </c>
      <c r="D110" s="249">
        <f>SUM(D60:D109)</f>
        <v>0</v>
      </c>
      <c r="E110" s="249">
        <f t="shared" ref="E110:L110" si="10">SUM(E60:E109)</f>
        <v>136.65</v>
      </c>
      <c r="F110" s="249">
        <f t="shared" si="10"/>
        <v>0</v>
      </c>
      <c r="G110" s="249">
        <f t="shared" si="10"/>
        <v>0</v>
      </c>
      <c r="H110" s="249">
        <f t="shared" si="10"/>
        <v>0</v>
      </c>
      <c r="I110" s="249">
        <f t="shared" si="10"/>
        <v>0</v>
      </c>
      <c r="J110" s="250">
        <f t="shared" si="10"/>
        <v>0</v>
      </c>
      <c r="K110" s="251">
        <f t="shared" si="10"/>
        <v>0</v>
      </c>
      <c r="L110" s="252">
        <f t="shared" si="10"/>
        <v>0</v>
      </c>
      <c r="M110" s="243"/>
    </row>
  </sheetData>
  <hyperlinks>
    <hyperlink ref="M1" location="'Receiving Totals'!A1" display="Receiving Totals" xr:uid="{3F2DC57B-CEAD-4FA8-9D91-57E94AA015FE}"/>
  </hyperlinks>
  <pageMargins left="0.25" right="0.25" top="0.75" bottom="0.75" header="0.3" footer="0.3"/>
  <pageSetup scale="29" fitToWidth="0" fitToHeight="0" orientation="landscape" horizontalDpi="300" verticalDpi="300" r:id="rId1"/>
  <rowBreaks count="1" manualBreakCount="1">
    <brk id="5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4B2D-97BD-4822-AF4B-E2EE25003190}">
  <dimension ref="A1:U110"/>
  <sheetViews>
    <sheetView zoomScale="70" zoomScaleNormal="70" workbookViewId="0">
      <pane ySplit="5" topLeftCell="A6" activePane="bottomLeft" state="frozen"/>
      <selection pane="bottomLeft" activeCell="M1" sqref="M1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" width="14.140625" style="174" bestFit="1" customWidth="1"/>
    <col min="17" max="17" width="9.7109375" style="174" bestFit="1" customWidth="1"/>
    <col min="18" max="18" width="14.140625" style="174" bestFit="1" customWidth="1"/>
    <col min="19" max="19" width="11.28515625" style="174" bestFit="1" customWidth="1"/>
    <col min="20" max="20" width="10.42578125" style="174" bestFit="1" customWidth="1"/>
    <col min="21" max="21" width="11.140625" style="13" bestFit="1" customWidth="1"/>
    <col min="22" max="16384" width="9.140625" style="13"/>
  </cols>
  <sheetData>
    <row r="1" spans="1:21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21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21" ht="33" customHeight="1" x14ac:dyDescent="0.5">
      <c r="A3" s="12"/>
      <c r="B3" s="65" t="s">
        <v>13</v>
      </c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  <c r="Q3" s="177"/>
      <c r="R3" s="177"/>
      <c r="S3" s="177"/>
      <c r="T3" s="177"/>
      <c r="U3" s="176"/>
    </row>
    <row r="4" spans="1:21" ht="21" customHeight="1" x14ac:dyDescent="0.35">
      <c r="A4" s="63" t="s">
        <v>14</v>
      </c>
      <c r="B4" s="64">
        <f>'Thursday WK1 (5)'!$B$4+1</f>
        <v>46199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U4" s="175"/>
    </row>
    <row r="5" spans="1:21" ht="54" customHeight="1" x14ac:dyDescent="0.35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21" ht="29.25" customHeight="1" x14ac:dyDescent="0.35">
      <c r="A6" s="1" t="s">
        <v>244</v>
      </c>
      <c r="B6" s="68" t="s">
        <v>245</v>
      </c>
      <c r="C6" s="259">
        <f t="shared" ref="C6:C14" si="1">N6-D6-E6-F6-G6-H6-I6-J6-K6-L6-M6-D60-E60-F60-G60-H60-I60-J60-K60-L60-C60</f>
        <v>51.36</v>
      </c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>
        <v>51.36</v>
      </c>
      <c r="P6" s="260"/>
      <c r="Q6" s="260"/>
      <c r="R6" s="260"/>
      <c r="S6" s="260"/>
      <c r="T6" s="260"/>
    </row>
    <row r="7" spans="1:21" ht="29.25" customHeight="1" x14ac:dyDescent="0.35">
      <c r="A7" s="1" t="s">
        <v>246</v>
      </c>
      <c r="B7" s="68" t="s">
        <v>245</v>
      </c>
      <c r="C7" s="259">
        <f t="shared" si="1"/>
        <v>0</v>
      </c>
      <c r="D7" s="259"/>
      <c r="E7" s="259">
        <v>1274.02</v>
      </c>
      <c r="F7" s="259"/>
      <c r="G7" s="259"/>
      <c r="H7" s="259"/>
      <c r="I7" s="259"/>
      <c r="J7" s="259"/>
      <c r="K7" s="259"/>
      <c r="L7" s="259"/>
      <c r="M7" s="259">
        <v>5.5</v>
      </c>
      <c r="N7" s="259">
        <v>1279.52</v>
      </c>
      <c r="P7" s="260"/>
      <c r="Q7" s="260"/>
      <c r="R7" s="260"/>
      <c r="S7" s="260"/>
      <c r="T7" s="260"/>
    </row>
    <row r="8" spans="1:21" ht="29.25" customHeight="1" x14ac:dyDescent="0.35">
      <c r="A8" s="1" t="s">
        <v>247</v>
      </c>
      <c r="B8" s="68" t="s">
        <v>245</v>
      </c>
      <c r="C8" s="259">
        <f t="shared" si="1"/>
        <v>0</v>
      </c>
      <c r="D8" s="259"/>
      <c r="E8" s="259">
        <v>63.84</v>
      </c>
      <c r="F8" s="259"/>
      <c r="G8" s="259"/>
      <c r="H8" s="259"/>
      <c r="I8" s="259"/>
      <c r="J8" s="259"/>
      <c r="K8" s="259"/>
      <c r="L8" s="259"/>
      <c r="M8" s="259"/>
      <c r="N8" s="259">
        <v>63.84</v>
      </c>
      <c r="P8" s="260"/>
      <c r="Q8" s="260"/>
      <c r="R8" s="260"/>
      <c r="S8" s="260"/>
      <c r="T8" s="260"/>
    </row>
    <row r="9" spans="1:21" ht="29.25" customHeight="1" x14ac:dyDescent="0.35">
      <c r="A9" s="1" t="s">
        <v>248</v>
      </c>
      <c r="B9" s="68" t="s">
        <v>245</v>
      </c>
      <c r="C9" s="259">
        <f t="shared" si="1"/>
        <v>-34.24</v>
      </c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>
        <v>-34.24</v>
      </c>
      <c r="P9" s="260"/>
      <c r="Q9" s="260"/>
      <c r="R9" s="260"/>
      <c r="S9" s="260"/>
      <c r="T9" s="260"/>
    </row>
    <row r="10" spans="1:21" ht="29.25" customHeight="1" x14ac:dyDescent="0.35">
      <c r="A10" s="1" t="s">
        <v>249</v>
      </c>
      <c r="B10" s="68" t="s">
        <v>112</v>
      </c>
      <c r="C10" s="259">
        <f t="shared" si="1"/>
        <v>5841.3499999999995</v>
      </c>
      <c r="D10" s="259"/>
      <c r="E10" s="259"/>
      <c r="F10" s="259"/>
      <c r="G10" s="259"/>
      <c r="H10" s="259"/>
      <c r="I10" s="259"/>
      <c r="J10" s="259"/>
      <c r="K10" s="259"/>
      <c r="L10" s="259"/>
      <c r="M10" s="259">
        <v>280.68</v>
      </c>
      <c r="N10" s="259">
        <v>6122.03</v>
      </c>
      <c r="P10" s="260"/>
      <c r="Q10" s="260"/>
      <c r="R10" s="260"/>
      <c r="S10" s="260"/>
      <c r="T10" s="260"/>
    </row>
    <row r="11" spans="1:21" ht="29.25" customHeight="1" x14ac:dyDescent="0.35">
      <c r="A11" s="1" t="s">
        <v>250</v>
      </c>
      <c r="B11" s="68" t="s">
        <v>251</v>
      </c>
      <c r="C11" s="259">
        <f t="shared" si="1"/>
        <v>2203.1999999999998</v>
      </c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>
        <v>2203.1999999999998</v>
      </c>
      <c r="P11" s="260"/>
      <c r="Q11" s="260"/>
      <c r="R11" s="260"/>
      <c r="S11" s="260"/>
      <c r="T11" s="260"/>
    </row>
    <row r="12" spans="1:21" ht="29.25" customHeight="1" x14ac:dyDescent="0.35">
      <c r="A12" s="1" t="s">
        <v>252</v>
      </c>
      <c r="B12" s="68" t="s">
        <v>115</v>
      </c>
      <c r="C12" s="259">
        <f t="shared" si="1"/>
        <v>-60.88</v>
      </c>
      <c r="D12" s="259"/>
      <c r="E12" s="259"/>
      <c r="F12" s="259"/>
      <c r="G12" s="259"/>
      <c r="H12" s="259"/>
      <c r="I12" s="259"/>
      <c r="J12" s="259"/>
      <c r="K12" s="259"/>
      <c r="L12" s="259"/>
      <c r="M12" s="259">
        <v>-3.04</v>
      </c>
      <c r="N12" s="259">
        <v>-63.92</v>
      </c>
      <c r="P12" s="260"/>
      <c r="Q12" s="260"/>
      <c r="R12" s="260"/>
      <c r="S12" s="260"/>
      <c r="T12" s="260"/>
    </row>
    <row r="13" spans="1:21" ht="29.25" customHeight="1" x14ac:dyDescent="0.35">
      <c r="A13" s="1" t="s">
        <v>253</v>
      </c>
      <c r="B13" s="68" t="s">
        <v>115</v>
      </c>
      <c r="C13" s="259">
        <f t="shared" si="1"/>
        <v>709.17</v>
      </c>
      <c r="D13" s="259"/>
      <c r="E13" s="259"/>
      <c r="F13" s="259"/>
      <c r="G13" s="259"/>
      <c r="H13" s="259"/>
      <c r="I13" s="259"/>
      <c r="J13" s="259"/>
      <c r="K13" s="259"/>
      <c r="L13" s="259"/>
      <c r="M13" s="259">
        <v>35.46</v>
      </c>
      <c r="N13" s="259">
        <v>744.63</v>
      </c>
      <c r="P13" s="260"/>
      <c r="Q13" s="260"/>
      <c r="R13" s="260"/>
      <c r="S13" s="260"/>
      <c r="T13" s="260"/>
    </row>
    <row r="14" spans="1:21" ht="29.25" customHeight="1" x14ac:dyDescent="0.35">
      <c r="A14" s="1" t="s">
        <v>254</v>
      </c>
      <c r="B14" s="68" t="s">
        <v>162</v>
      </c>
      <c r="C14" s="259">
        <f t="shared" si="1"/>
        <v>521.86</v>
      </c>
      <c r="D14" s="259"/>
      <c r="E14" s="259"/>
      <c r="F14" s="259"/>
      <c r="G14" s="259"/>
      <c r="H14" s="259"/>
      <c r="I14" s="259"/>
      <c r="J14" s="259"/>
      <c r="K14" s="259"/>
      <c r="L14" s="259"/>
      <c r="M14" s="259">
        <v>26.11</v>
      </c>
      <c r="N14" s="259">
        <v>547.97</v>
      </c>
      <c r="P14" s="260"/>
      <c r="Q14" s="260"/>
      <c r="R14" s="260"/>
      <c r="S14" s="260"/>
      <c r="T14" s="260"/>
    </row>
    <row r="15" spans="1:21" ht="29.25" customHeight="1" x14ac:dyDescent="0.35">
      <c r="A15" s="1" t="s">
        <v>255</v>
      </c>
      <c r="B15" s="68" t="s">
        <v>162</v>
      </c>
      <c r="C15" s="259">
        <f t="shared" ref="C15:C16" si="2">N15-D15-E15-F15-G15-H15-I15-J15-K15-L15-M15-D69-E69-F69-G69-H69-I69-J69-K69-L69-C69</f>
        <v>-9.89</v>
      </c>
      <c r="D15" s="259"/>
      <c r="E15" s="259"/>
      <c r="F15" s="259"/>
      <c r="G15" s="259"/>
      <c r="H15" s="259"/>
      <c r="I15" s="259"/>
      <c r="J15" s="259"/>
      <c r="K15" s="259"/>
      <c r="L15" s="259"/>
      <c r="M15" s="259">
        <v>-0.49</v>
      </c>
      <c r="N15" s="259">
        <v>-10.38</v>
      </c>
      <c r="P15" s="260"/>
      <c r="Q15" s="260"/>
      <c r="R15" s="260"/>
      <c r="S15" s="260"/>
      <c r="T15" s="260"/>
    </row>
    <row r="16" spans="1:21" ht="29.25" customHeight="1" x14ac:dyDescent="0.35">
      <c r="A16" s="1" t="s">
        <v>256</v>
      </c>
      <c r="B16" s="68" t="s">
        <v>257</v>
      </c>
      <c r="C16" s="259">
        <f t="shared" si="2"/>
        <v>917.92</v>
      </c>
      <c r="D16" s="259"/>
      <c r="E16" s="259"/>
      <c r="F16" s="259"/>
      <c r="G16" s="259"/>
      <c r="H16" s="259"/>
      <c r="I16" s="259"/>
      <c r="J16" s="259"/>
      <c r="K16" s="259"/>
      <c r="L16" s="259"/>
      <c r="M16" s="259">
        <v>39.200000000000003</v>
      </c>
      <c r="N16" s="259">
        <v>957.12</v>
      </c>
      <c r="P16" s="260"/>
      <c r="Q16" s="260"/>
      <c r="R16" s="260"/>
      <c r="S16" s="260"/>
      <c r="T16" s="260"/>
    </row>
    <row r="17" spans="1:20" ht="29.25" customHeight="1" x14ac:dyDescent="0.35">
      <c r="A17" s="1" t="s">
        <v>82</v>
      </c>
      <c r="B17" s="68" t="s">
        <v>82</v>
      </c>
      <c r="C17" s="259">
        <f t="shared" ref="C17:C20" si="3">N17-D17-E17-F17-G17-H17-I17-J17-K17-L17-M17-D71-E71-F71-G71-H71-I71-J71-K71-L71-C71</f>
        <v>0</v>
      </c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P17" s="260"/>
      <c r="Q17" s="260"/>
      <c r="R17" s="260"/>
      <c r="S17" s="260"/>
      <c r="T17" s="260"/>
    </row>
    <row r="18" spans="1:20" ht="29.25" customHeight="1" x14ac:dyDescent="0.35">
      <c r="A18" s="1" t="s">
        <v>82</v>
      </c>
      <c r="B18" s="68" t="s">
        <v>82</v>
      </c>
      <c r="C18" s="259">
        <f t="shared" si="3"/>
        <v>0</v>
      </c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P18" s="260"/>
      <c r="Q18" s="260"/>
      <c r="R18" s="260"/>
      <c r="S18" s="260"/>
      <c r="T18" s="260"/>
    </row>
    <row r="19" spans="1:20" ht="29.25" customHeight="1" x14ac:dyDescent="0.35">
      <c r="A19" s="1" t="s">
        <v>82</v>
      </c>
      <c r="B19" s="68" t="s">
        <v>82</v>
      </c>
      <c r="C19" s="259">
        <f t="shared" si="3"/>
        <v>0</v>
      </c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P19" s="260"/>
      <c r="Q19" s="260"/>
      <c r="R19" s="260"/>
      <c r="S19" s="260"/>
      <c r="T19" s="260"/>
    </row>
    <row r="20" spans="1:20" ht="29.25" customHeight="1" x14ac:dyDescent="0.35">
      <c r="A20" s="1" t="s">
        <v>82</v>
      </c>
      <c r="B20" s="68" t="s">
        <v>82</v>
      </c>
      <c r="C20" s="259">
        <f t="shared" si="3"/>
        <v>0</v>
      </c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P20" s="260"/>
      <c r="Q20" s="260"/>
      <c r="R20" s="260"/>
      <c r="S20" s="260"/>
      <c r="T20" s="260"/>
    </row>
    <row r="21" spans="1:20" ht="29.25" customHeight="1" x14ac:dyDescent="0.35">
      <c r="A21" s="1" t="s">
        <v>82</v>
      </c>
      <c r="B21" s="68" t="s">
        <v>82</v>
      </c>
      <c r="C21" s="259">
        <f t="shared" ref="C21:C32" si="4">N21-D21-E21-F21-G21-H21-I21-J21-K21-L21-M21-D75-E75-F75-G75-H75-I75-J75-K75-L75-C75</f>
        <v>0</v>
      </c>
      <c r="D21" s="259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P21" s="260"/>
      <c r="Q21" s="260"/>
      <c r="R21" s="260"/>
      <c r="S21" s="260"/>
      <c r="T21" s="260"/>
    </row>
    <row r="22" spans="1:20" ht="29.25" customHeight="1" x14ac:dyDescent="0.35">
      <c r="A22" s="1" t="s">
        <v>82</v>
      </c>
      <c r="B22" s="68" t="s">
        <v>82</v>
      </c>
      <c r="C22" s="259">
        <f t="shared" si="4"/>
        <v>0</v>
      </c>
      <c r="D22" s="259"/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P22" s="260"/>
      <c r="Q22" s="260"/>
      <c r="R22" s="260"/>
      <c r="S22" s="260"/>
      <c r="T22" s="260"/>
    </row>
    <row r="23" spans="1:20" ht="29.25" customHeight="1" x14ac:dyDescent="0.35">
      <c r="A23" s="1" t="s">
        <v>82</v>
      </c>
      <c r="B23" s="68" t="s">
        <v>82</v>
      </c>
      <c r="C23" s="259">
        <f t="shared" si="4"/>
        <v>0</v>
      </c>
      <c r="D23" s="259"/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P23" s="260"/>
      <c r="Q23" s="260"/>
      <c r="R23" s="260"/>
      <c r="S23" s="260"/>
      <c r="T23" s="260"/>
    </row>
    <row r="24" spans="1:20" ht="29.25" customHeight="1" x14ac:dyDescent="0.35">
      <c r="A24" s="1" t="s">
        <v>82</v>
      </c>
      <c r="B24" s="68" t="s">
        <v>82</v>
      </c>
      <c r="C24" s="259">
        <f t="shared" si="4"/>
        <v>0</v>
      </c>
      <c r="D24" s="259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P24" s="260"/>
      <c r="Q24" s="260"/>
      <c r="R24" s="260"/>
      <c r="S24" s="260"/>
      <c r="T24" s="260"/>
    </row>
    <row r="25" spans="1:20" ht="29.25" customHeight="1" x14ac:dyDescent="0.35">
      <c r="A25" s="1" t="s">
        <v>82</v>
      </c>
      <c r="B25" s="68" t="s">
        <v>82</v>
      </c>
      <c r="C25" s="259">
        <f t="shared" si="4"/>
        <v>0</v>
      </c>
      <c r="D25" s="259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P25" s="260"/>
      <c r="Q25" s="260"/>
      <c r="R25" s="260"/>
      <c r="S25" s="260"/>
      <c r="T25" s="260"/>
    </row>
    <row r="26" spans="1:20" ht="29.25" customHeight="1" x14ac:dyDescent="0.35">
      <c r="A26" s="1" t="s">
        <v>82</v>
      </c>
      <c r="B26" s="68" t="s">
        <v>82</v>
      </c>
      <c r="C26" s="259">
        <f t="shared" si="4"/>
        <v>0</v>
      </c>
      <c r="D26" s="259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P26" s="260"/>
      <c r="Q26" s="260"/>
      <c r="R26" s="260"/>
      <c r="S26" s="260"/>
      <c r="T26" s="260"/>
    </row>
    <row r="27" spans="1:20" ht="29.25" customHeight="1" x14ac:dyDescent="0.35">
      <c r="A27" s="1" t="s">
        <v>82</v>
      </c>
      <c r="B27" s="68" t="s">
        <v>82</v>
      </c>
      <c r="C27" s="259">
        <f t="shared" si="4"/>
        <v>0</v>
      </c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P27" s="260"/>
      <c r="Q27" s="260"/>
      <c r="R27" s="260"/>
      <c r="S27" s="260"/>
      <c r="T27" s="260"/>
    </row>
    <row r="28" spans="1:20" ht="29.25" customHeight="1" x14ac:dyDescent="0.35">
      <c r="A28" s="1" t="s">
        <v>82</v>
      </c>
      <c r="B28" s="68" t="s">
        <v>82</v>
      </c>
      <c r="C28" s="259">
        <f t="shared" si="4"/>
        <v>0</v>
      </c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P28" s="260"/>
      <c r="Q28" s="260"/>
      <c r="R28" s="260"/>
      <c r="S28" s="260"/>
      <c r="T28" s="260"/>
    </row>
    <row r="29" spans="1:20" ht="29.25" customHeight="1" x14ac:dyDescent="0.35">
      <c r="A29" s="1" t="s">
        <v>82</v>
      </c>
      <c r="B29" s="68" t="s">
        <v>82</v>
      </c>
      <c r="C29" s="259">
        <f t="shared" si="4"/>
        <v>0</v>
      </c>
      <c r="D29" s="259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P29" s="260"/>
      <c r="Q29" s="260"/>
      <c r="R29" s="260"/>
      <c r="S29" s="260"/>
      <c r="T29" s="260"/>
    </row>
    <row r="30" spans="1:20" ht="29.25" customHeight="1" x14ac:dyDescent="0.35">
      <c r="A30" s="1" t="s">
        <v>82</v>
      </c>
      <c r="B30" s="68" t="s">
        <v>82</v>
      </c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20" ht="29.25" customHeight="1" x14ac:dyDescent="0.35">
      <c r="A31" s="1" t="s">
        <v>82</v>
      </c>
      <c r="B31" s="68" t="s">
        <v>82</v>
      </c>
      <c r="C31" s="15">
        <f t="shared" si="4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20" ht="29.25" customHeight="1" x14ac:dyDescent="0.35">
      <c r="A32" s="1" t="s">
        <v>82</v>
      </c>
      <c r="B32" s="68" t="s">
        <v>82</v>
      </c>
      <c r="C32" s="15">
        <f t="shared" si="4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ht="29.25" customHeight="1" x14ac:dyDescent="0.35">
      <c r="A33" s="1" t="s">
        <v>82</v>
      </c>
      <c r="B33" s="68" t="s">
        <v>82</v>
      </c>
      <c r="C33" s="15">
        <f t="shared" ref="C33:C54" si="5">N33-D33-E33-F33-G33-H33-I33-J33-K33-L33-M33-D87-E87-F87-G87-H87-I87-J87-K87-L87-C87</f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ht="29.25" customHeight="1" x14ac:dyDescent="0.35">
      <c r="A34" s="1" t="s">
        <v>82</v>
      </c>
      <c r="B34" s="68" t="s">
        <v>82</v>
      </c>
      <c r="C34" s="15">
        <f t="shared" si="5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29.25" customHeight="1" x14ac:dyDescent="0.35">
      <c r="A35" s="1" t="s">
        <v>82</v>
      </c>
      <c r="B35" s="68" t="s">
        <v>82</v>
      </c>
      <c r="C35" s="15">
        <f t="shared" si="5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ht="29.25" customHeight="1" x14ac:dyDescent="0.35">
      <c r="A36" s="1" t="s">
        <v>82</v>
      </c>
      <c r="B36" s="68" t="s">
        <v>82</v>
      </c>
      <c r="C36" s="15">
        <f t="shared" si="5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ht="29.25" customHeight="1" x14ac:dyDescent="0.35">
      <c r="A37" s="1" t="s">
        <v>82</v>
      </c>
      <c r="B37" s="68" t="s">
        <v>82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ht="29.25" customHeight="1" x14ac:dyDescent="0.35">
      <c r="A38" s="1" t="s">
        <v>82</v>
      </c>
      <c r="B38" s="68" t="s">
        <v>82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29.25" customHeight="1" x14ac:dyDescent="0.35">
      <c r="A39" s="1" t="s">
        <v>82</v>
      </c>
      <c r="B39" s="68" t="s">
        <v>82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29.25" customHeight="1" x14ac:dyDescent="0.35">
      <c r="A40" s="1" t="s">
        <v>82</v>
      </c>
      <c r="B40" s="68" t="s">
        <v>82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ht="29.25" customHeight="1" x14ac:dyDescent="0.35">
      <c r="A41" s="1" t="s">
        <v>82</v>
      </c>
      <c r="B41" s="68" t="s">
        <v>82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29.25" customHeight="1" x14ac:dyDescent="0.35">
      <c r="A42" s="1" t="s">
        <v>82</v>
      </c>
      <c r="B42" s="68" t="s">
        <v>82</v>
      </c>
      <c r="C42" s="15">
        <f t="shared" si="5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ht="29.25" customHeight="1" x14ac:dyDescent="0.35">
      <c r="A43" s="1" t="s">
        <v>82</v>
      </c>
      <c r="B43" s="68" t="s">
        <v>82</v>
      </c>
      <c r="C43" s="15">
        <f t="shared" si="5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ht="29.25" customHeight="1" x14ac:dyDescent="0.35">
      <c r="A44" s="1" t="s">
        <v>82</v>
      </c>
      <c r="B44" s="68" t="s">
        <v>82</v>
      </c>
      <c r="C44" s="15">
        <f t="shared" si="5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29.25" customHeight="1" x14ac:dyDescent="0.35">
      <c r="A45" s="1" t="s">
        <v>82</v>
      </c>
      <c r="B45" s="68" t="s">
        <v>82</v>
      </c>
      <c r="C45" s="15">
        <f t="shared" si="5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29.25" customHeight="1" x14ac:dyDescent="0.35">
      <c r="A46" s="1" t="s">
        <v>82</v>
      </c>
      <c r="B46" s="68" t="s">
        <v>82</v>
      </c>
      <c r="C46" s="15">
        <f t="shared" si="5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ht="29.25" customHeight="1" x14ac:dyDescent="0.35">
      <c r="A47" s="1" t="s">
        <v>82</v>
      </c>
      <c r="B47" s="68" t="s">
        <v>82</v>
      </c>
      <c r="C47" s="15">
        <f t="shared" si="5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29.25" customHeight="1" x14ac:dyDescent="0.35">
      <c r="A48" s="1" t="s">
        <v>82</v>
      </c>
      <c r="B48" s="68" t="s">
        <v>82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5" ht="29.25" customHeight="1" x14ac:dyDescent="0.35">
      <c r="A49" s="1" t="s">
        <v>82</v>
      </c>
      <c r="B49" s="68" t="s">
        <v>82</v>
      </c>
      <c r="C49" s="15">
        <f t="shared" si="5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5" ht="29.25" customHeight="1" x14ac:dyDescent="0.35">
      <c r="A50" s="1" t="s">
        <v>82</v>
      </c>
      <c r="B50" s="68" t="s">
        <v>82</v>
      </c>
      <c r="C50" s="15">
        <f t="shared" si="5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5" ht="29.25" customHeight="1" x14ac:dyDescent="0.35">
      <c r="A51" s="1" t="s">
        <v>82</v>
      </c>
      <c r="B51" s="68" t="s">
        <v>82</v>
      </c>
      <c r="C51" s="15">
        <f t="shared" si="5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5" ht="29.25" customHeight="1" x14ac:dyDescent="0.35">
      <c r="A52" s="1" t="s">
        <v>82</v>
      </c>
      <c r="B52" s="68" t="s">
        <v>82</v>
      </c>
      <c r="C52" s="15">
        <f t="shared" si="5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5" ht="29.25" customHeight="1" x14ac:dyDescent="0.35">
      <c r="A53" s="1" t="s">
        <v>82</v>
      </c>
      <c r="B53" s="68" t="s">
        <v>82</v>
      </c>
      <c r="C53" s="15">
        <f t="shared" si="5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5" ht="29.25" customHeight="1" x14ac:dyDescent="0.35">
      <c r="A54" s="1" t="s">
        <v>82</v>
      </c>
      <c r="B54" s="68" t="s">
        <v>82</v>
      </c>
      <c r="C54" s="15">
        <f t="shared" si="5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5" ht="29.25" customHeight="1" x14ac:dyDescent="0.35">
      <c r="A55" s="1" t="s">
        <v>82</v>
      </c>
      <c r="B55" s="68" t="s">
        <v>82</v>
      </c>
      <c r="C55" s="15">
        <f t="shared" ref="C55" si="6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5" ht="29.25" customHeight="1" x14ac:dyDescent="0.35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7">F3</f>
        <v>0</v>
      </c>
      <c r="G56" s="16">
        <f t="shared" si="7"/>
        <v>0</v>
      </c>
      <c r="H56" s="16">
        <f t="shared" si="7"/>
        <v>0</v>
      </c>
      <c r="I56" s="16">
        <f t="shared" si="7"/>
        <v>0</v>
      </c>
      <c r="J56" s="16">
        <f t="shared" si="7"/>
        <v>0</v>
      </c>
      <c r="K56" s="16">
        <f t="shared" si="7"/>
        <v>0</v>
      </c>
      <c r="L56" s="16">
        <f t="shared" si="7"/>
        <v>0</v>
      </c>
      <c r="M56" s="16"/>
      <c r="N56" s="60">
        <f>SUM(C56:M56)+SUM(C118:J118)</f>
        <v>0</v>
      </c>
      <c r="O56" s="150"/>
    </row>
    <row r="57" spans="1:15" ht="29.25" customHeight="1" x14ac:dyDescent="0.4">
      <c r="A57" s="24" t="s">
        <v>84</v>
      </c>
      <c r="B57" s="10"/>
      <c r="C57" s="61">
        <f t="shared" ref="C57:M57" si="8">SUM(C6:C56)</f>
        <v>10139.85</v>
      </c>
      <c r="D57" s="61">
        <f t="shared" si="8"/>
        <v>0</v>
      </c>
      <c r="E57" s="61">
        <f t="shared" si="8"/>
        <v>1337.86</v>
      </c>
      <c r="F57" s="61">
        <f t="shared" si="8"/>
        <v>0</v>
      </c>
      <c r="G57" s="61">
        <f t="shared" si="8"/>
        <v>0</v>
      </c>
      <c r="H57" s="61">
        <f t="shared" si="8"/>
        <v>0</v>
      </c>
      <c r="I57" s="61">
        <f t="shared" si="8"/>
        <v>0</v>
      </c>
      <c r="J57" s="61">
        <f t="shared" si="8"/>
        <v>0</v>
      </c>
      <c r="K57" s="61">
        <f t="shared" si="8"/>
        <v>0</v>
      </c>
      <c r="L57" s="61">
        <f t="shared" si="8"/>
        <v>0</v>
      </c>
      <c r="M57" s="61">
        <f t="shared" si="8"/>
        <v>383.41999999999996</v>
      </c>
      <c r="N57" s="61">
        <f>SUM(N6:N56)</f>
        <v>11861.13</v>
      </c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tr">
        <f t="shared" ref="A59:B74" si="9">A5</f>
        <v>Invoice Number</v>
      </c>
      <c r="B59" s="6" t="str">
        <f t="shared" si="9"/>
        <v>Supplier Name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 t="shared" si="9"/>
        <v>2882617703</v>
      </c>
      <c r="B60" s="9" t="str">
        <f t="shared" si="9"/>
        <v>DIRECT PLUS FOOD GROUP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si="9"/>
        <v>2882617704</v>
      </c>
      <c r="B61" s="9" t="str">
        <f t="shared" si="9"/>
        <v>DIRECT PLUS FOOD GROUP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9"/>
        <v>2882617705</v>
      </c>
      <c r="B62" s="9" t="str">
        <f t="shared" si="9"/>
        <v>DIRECT PLUS FOOD GROUP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9"/>
        <v>2882617706</v>
      </c>
      <c r="B63" s="9" t="str">
        <f t="shared" si="9"/>
        <v>DIRECT PLUS FOOD GROUP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9"/>
        <v>2034298473</v>
      </c>
      <c r="B64" s="9" t="str">
        <f t="shared" si="9"/>
        <v>RED BULL CANADA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9"/>
        <v>3285617701</v>
      </c>
      <c r="B65" s="9" t="str">
        <f t="shared" si="9"/>
        <v>ARCTIC GLACIER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9"/>
        <v>82849789</v>
      </c>
      <c r="B66" s="9" t="str">
        <f t="shared" si="9"/>
        <v>OLD DUTCH FOODS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9"/>
        <v>82849788</v>
      </c>
      <c r="B67" s="9" t="str">
        <f t="shared" si="9"/>
        <v>OLD DUTCH FOODS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9"/>
        <v>92793699</v>
      </c>
      <c r="B68" s="9" t="str">
        <f t="shared" si="9"/>
        <v>FRITO LAY CANADA RETAIL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9"/>
        <v>26808937</v>
      </c>
      <c r="B69" s="9" t="str">
        <f t="shared" si="9"/>
        <v>FRITO LAY CANADA RETAIL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9"/>
        <v>80594</v>
      </c>
      <c r="B70" s="9" t="str">
        <f t="shared" si="9"/>
        <v>NUTRIFRESH WEST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9"/>
        <v xml:space="preserve"> </v>
      </c>
      <c r="B71" s="9" t="str">
        <f t="shared" si="9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9"/>
        <v xml:space="preserve"> </v>
      </c>
      <c r="B72" s="9" t="str">
        <f t="shared" si="9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9"/>
        <v xml:space="preserve"> </v>
      </c>
      <c r="B73" s="9" t="str">
        <f t="shared" si="9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9"/>
        <v xml:space="preserve"> </v>
      </c>
      <c r="B74" s="9" t="str">
        <f t="shared" si="9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ref="A75:B90" si="10">A21</f>
        <v xml:space="preserve"> </v>
      </c>
      <c r="B75" s="9" t="str">
        <f t="shared" si="1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0"/>
        <v xml:space="preserve"> </v>
      </c>
      <c r="B76" s="9" t="str">
        <f t="shared" si="1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si="10"/>
        <v xml:space="preserve"> </v>
      </c>
      <c r="B77" s="9" t="str">
        <f t="shared" si="10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0"/>
        <v xml:space="preserve"> </v>
      </c>
      <c r="B78" s="9" t="str">
        <f t="shared" si="10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0"/>
        <v xml:space="preserve"> </v>
      </c>
      <c r="B79" s="9" t="str">
        <f t="shared" si="10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0"/>
        <v xml:space="preserve"> </v>
      </c>
      <c r="B80" s="9" t="str">
        <f t="shared" si="10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0"/>
        <v xml:space="preserve"> </v>
      </c>
      <c r="B81" s="9" t="str">
        <f t="shared" si="10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0"/>
        <v xml:space="preserve"> </v>
      </c>
      <c r="B82" s="9" t="str">
        <f t="shared" si="10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0"/>
        <v xml:space="preserve"> </v>
      </c>
      <c r="B83" s="9" t="str">
        <f t="shared" si="10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0"/>
        <v xml:space="preserve"> </v>
      </c>
      <c r="B84" s="9" t="str">
        <f t="shared" si="10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0"/>
        <v xml:space="preserve"> </v>
      </c>
      <c r="B85" s="9" t="str">
        <f t="shared" si="10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0"/>
        <v xml:space="preserve"> </v>
      </c>
      <c r="B86" s="9" t="str">
        <f t="shared" si="10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0"/>
        <v xml:space="preserve"> </v>
      </c>
      <c r="B87" s="9" t="str">
        <f t="shared" si="10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0"/>
        <v xml:space="preserve"> </v>
      </c>
      <c r="B88" s="9" t="str">
        <f t="shared" si="10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0"/>
        <v xml:space="preserve"> </v>
      </c>
      <c r="B89" s="9" t="str">
        <f t="shared" si="10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0"/>
        <v xml:space="preserve"> </v>
      </c>
      <c r="B90" s="9" t="str">
        <f t="shared" si="10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ref="A91:B106" si="11">A37</f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si="11"/>
        <v xml:space="preserve"> </v>
      </c>
      <c r="B93" s="9" t="str">
        <f t="shared" si="11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1"/>
        <v xml:space="preserve"> </v>
      </c>
      <c r="B94" s="9" t="str">
        <f t="shared" si="11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1"/>
        <v xml:space="preserve"> </v>
      </c>
      <c r="B95" s="9" t="str">
        <f t="shared" si="11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1"/>
        <v xml:space="preserve"> </v>
      </c>
      <c r="B96" s="9" t="str">
        <f t="shared" si="11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1"/>
        <v xml:space="preserve"> </v>
      </c>
      <c r="B97" s="9" t="str">
        <f t="shared" si="11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1"/>
        <v xml:space="preserve"> </v>
      </c>
      <c r="B98" s="9" t="str">
        <f t="shared" si="11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1"/>
        <v xml:space="preserve"> </v>
      </c>
      <c r="B99" s="9" t="str">
        <f t="shared" si="11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1"/>
        <v xml:space="preserve"> </v>
      </c>
      <c r="B100" s="9" t="str">
        <f t="shared" si="11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1"/>
        <v xml:space="preserve"> </v>
      </c>
      <c r="B101" s="9" t="str">
        <f t="shared" si="11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1"/>
        <v xml:space="preserve"> </v>
      </c>
      <c r="B102" s="9" t="str">
        <f t="shared" si="11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1"/>
        <v xml:space="preserve"> </v>
      </c>
      <c r="B103" s="9" t="str">
        <f t="shared" si="11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1"/>
        <v xml:space="preserve"> </v>
      </c>
      <c r="B104" s="9" t="str">
        <f t="shared" si="11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1"/>
        <v xml:space="preserve"> </v>
      </c>
      <c r="B105" s="9" t="str">
        <f t="shared" si="11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1"/>
        <v xml:space="preserve"> </v>
      </c>
      <c r="B106" s="9" t="str">
        <f t="shared" si="11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ref="A107:B109" si="12">A53</f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si="12"/>
        <v xml:space="preserve"> </v>
      </c>
      <c r="B109" s="9" t="str">
        <f t="shared" si="12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tr">
        <f t="shared" ref="A110" si="13">A57</f>
        <v>Department Totals</v>
      </c>
      <c r="B110" s="8"/>
      <c r="C110" s="53">
        <f>SUM(C60:C109)</f>
        <v>0</v>
      </c>
      <c r="D110" s="53">
        <f>SUM(D60:D109)</f>
        <v>0</v>
      </c>
      <c r="E110" s="53">
        <f t="shared" ref="E110:L110" si="14">SUM(E60:E109)</f>
        <v>0</v>
      </c>
      <c r="F110" s="53">
        <f t="shared" si="14"/>
        <v>0</v>
      </c>
      <c r="G110" s="53">
        <f t="shared" si="14"/>
        <v>0</v>
      </c>
      <c r="H110" s="53">
        <f t="shared" si="14"/>
        <v>0</v>
      </c>
      <c r="I110" s="53">
        <f t="shared" si="14"/>
        <v>0</v>
      </c>
      <c r="J110" s="54">
        <f t="shared" si="14"/>
        <v>0</v>
      </c>
      <c r="K110" s="49">
        <f t="shared" si="14"/>
        <v>0</v>
      </c>
      <c r="L110" s="11">
        <f t="shared" si="14"/>
        <v>0</v>
      </c>
      <c r="M110" s="14"/>
    </row>
  </sheetData>
  <phoneticPr fontId="11" type="noConversion"/>
  <hyperlinks>
    <hyperlink ref="M1" location="'Receiving Totals'!A1" display="Receiving Totals" xr:uid="{3FB0E055-8D1E-4979-89A6-12CA03C24402}"/>
  </hyperlinks>
  <pageMargins left="0.7" right="0.7" top="0.75" bottom="0.75" header="0.3" footer="0.3"/>
  <pageSetup scale="30" orientation="landscape" horizontalDpi="300" verticalDpi="300" r:id="rId1"/>
  <rowBreaks count="1" manualBreakCount="1">
    <brk id="57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6846-27B2-4D6D-9E32-A9ACE75BEAA7}">
  <dimension ref="A1:O110"/>
  <sheetViews>
    <sheetView zoomScale="70" zoomScaleNormal="70" workbookViewId="0">
      <selection activeCell="N7" sqref="N7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 t="s">
        <v>13</v>
      </c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14</v>
      </c>
      <c r="B4" s="64">
        <f>'Friday WK1 (6)'!$B$4+1</f>
        <v>46200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258</v>
      </c>
      <c r="B6" s="68" t="s">
        <v>29</v>
      </c>
      <c r="C6" s="15">
        <f t="shared" ref="C6" si="1">N6-D6-E6-F6-G6-H6-I6-J6-K6-L6-M6-D60-E60-F60-G60-H60-I60-J60-K60-L60-C60</f>
        <v>126.65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>
        <v>126.65</v>
      </c>
    </row>
    <row r="7" spans="1:14" ht="29.25" customHeight="1" x14ac:dyDescent="0.35">
      <c r="A7" s="1" t="s">
        <v>82</v>
      </c>
      <c r="B7" s="68" t="s">
        <v>82</v>
      </c>
      <c r="C7" s="15">
        <f t="shared" ref="C7" si="2">N7-D7-E7-F7-G7-H7-I7-J7-K7-L7-M7-D61-E61-F61-G61-H61-I61-J61-K61-L61-C61</f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82</v>
      </c>
      <c r="B8" s="68" t="s">
        <v>82</v>
      </c>
      <c r="C8" s="15">
        <f t="shared" ref="C8" si="3">N8-D8-E8-F8-G8-H8-I8-J8-K8-L8-M8-D62-E62-F62-G62-H62-I62-J62-K62-L62-C62</f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82</v>
      </c>
      <c r="B9" s="68" t="s">
        <v>82</v>
      </c>
      <c r="C9" s="15">
        <f t="shared" ref="C9:C10" si="4">N9-D9-E9-F9-G9-H9-I9-J9-K9-L9-M9-D63-E63-F63-G63-H63-I63-J63-K63-L63-C63</f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82</v>
      </c>
      <c r="B10" s="68" t="s">
        <v>82</v>
      </c>
      <c r="C10" s="15">
        <f t="shared" si="4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82</v>
      </c>
      <c r="B11" s="68" t="s">
        <v>82</v>
      </c>
      <c r="C11" s="15">
        <f t="shared" ref="C11:C12" si="5">N11-D11-E11-F11-G11-H11-I11-J11-K11-L11-M11-D65-E65-F65-G65-H65-I65-J65-K65-L65-C65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82</v>
      </c>
      <c r="B12" s="68" t="s">
        <v>82</v>
      </c>
      <c r="C12" s="15">
        <f t="shared" si="5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82</v>
      </c>
      <c r="B13" s="68" t="s">
        <v>82</v>
      </c>
      <c r="C13" s="15">
        <f t="shared" ref="C13" si="6">N13-D13-E13-F13-G13-H13-I13-J13-K13-L13-M13-D67-E67-F67-G67-H67-I67-J67-K67-L67-C67</f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82</v>
      </c>
      <c r="B14" s="68" t="s">
        <v>82</v>
      </c>
      <c r="C14" s="15">
        <f t="shared" ref="C14:C20" si="7">N14-D14-E14-F14-G14-H14-I14-J14-K14-L14-M14-D68-E68-F68-G68-H68-I68-J68-K68-L68-C68</f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82</v>
      </c>
      <c r="B15" s="68" t="s">
        <v>82</v>
      </c>
      <c r="C15" s="15">
        <f t="shared" si="7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82</v>
      </c>
      <c r="B16" s="68" t="s">
        <v>82</v>
      </c>
      <c r="C16" s="15">
        <f t="shared" si="7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82</v>
      </c>
      <c r="B17" s="68" t="s">
        <v>82</v>
      </c>
      <c r="C17" s="15">
        <f t="shared" si="7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si="7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si="7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si="7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ref="C21:C55" si="8">N21-D21-E21-F21-G21-H21-I21-J21-K21-L21-M21-D75-E75-F75-G75-H75-I75-J75-K75-L75-C75</f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si="8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si="8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si="8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8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8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8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8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8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8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8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8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8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8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8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8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8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8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8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8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8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8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8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8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8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8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8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8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82</v>
      </c>
      <c r="B49" s="68" t="s">
        <v>82</v>
      </c>
      <c r="C49" s="15">
        <f t="shared" si="8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82</v>
      </c>
      <c r="B50" s="68" t="s">
        <v>82</v>
      </c>
      <c r="C50" s="15">
        <f t="shared" si="8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82</v>
      </c>
      <c r="B51" s="68" t="s">
        <v>82</v>
      </c>
      <c r="C51" s="15">
        <f t="shared" si="8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82</v>
      </c>
      <c r="B52" s="68" t="s">
        <v>82</v>
      </c>
      <c r="C52" s="15">
        <f t="shared" si="8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82</v>
      </c>
      <c r="B53" s="68" t="s">
        <v>82</v>
      </c>
      <c r="C53" s="15">
        <f t="shared" si="8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82</v>
      </c>
      <c r="B54" s="68" t="s">
        <v>82</v>
      </c>
      <c r="C54" s="15">
        <f t="shared" si="8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82</v>
      </c>
      <c r="B55" s="68" t="s">
        <v>82</v>
      </c>
      <c r="C55" s="15">
        <f t="shared" si="8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x14ac:dyDescent="0.35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9">F3</f>
        <v>0</v>
      </c>
      <c r="G56" s="16">
        <f t="shared" si="9"/>
        <v>0</v>
      </c>
      <c r="H56" s="16">
        <f t="shared" si="9"/>
        <v>0</v>
      </c>
      <c r="I56" s="16">
        <f t="shared" si="9"/>
        <v>0</v>
      </c>
      <c r="J56" s="16">
        <f t="shared" si="9"/>
        <v>0</v>
      </c>
      <c r="K56" s="16">
        <f t="shared" si="9"/>
        <v>0</v>
      </c>
      <c r="L56" s="16">
        <f t="shared" si="9"/>
        <v>0</v>
      </c>
      <c r="M56" s="16"/>
      <c r="N56" s="60">
        <f>SUM(C56:M56)+SUM(C118:J118)</f>
        <v>0</v>
      </c>
    </row>
    <row r="57" spans="1:14" ht="29.25" customHeight="1" x14ac:dyDescent="0.4">
      <c r="A57" s="24" t="s">
        <v>84</v>
      </c>
      <c r="B57" s="10"/>
      <c r="C57" s="61">
        <f t="shared" ref="C57:M57" si="10">SUM(C6:C56)</f>
        <v>126.65</v>
      </c>
      <c r="D57" s="61">
        <f t="shared" si="10"/>
        <v>0</v>
      </c>
      <c r="E57" s="61">
        <f t="shared" si="10"/>
        <v>0</v>
      </c>
      <c r="F57" s="61">
        <f t="shared" si="10"/>
        <v>0</v>
      </c>
      <c r="G57" s="61">
        <f t="shared" si="10"/>
        <v>0</v>
      </c>
      <c r="H57" s="61">
        <f t="shared" si="10"/>
        <v>0</v>
      </c>
      <c r="I57" s="61">
        <f t="shared" si="10"/>
        <v>0</v>
      </c>
      <c r="J57" s="61">
        <f t="shared" si="10"/>
        <v>0</v>
      </c>
      <c r="K57" s="61">
        <f t="shared" si="10"/>
        <v>0</v>
      </c>
      <c r="L57" s="61">
        <f t="shared" si="10"/>
        <v>0</v>
      </c>
      <c r="M57" s="61">
        <f t="shared" si="10"/>
        <v>0</v>
      </c>
      <c r="N57" s="61">
        <f>SUM(N6:N56)</f>
        <v>126.65</v>
      </c>
    </row>
    <row r="58" spans="1:14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 x14ac:dyDescent="0.35">
      <c r="A59" s="6" t="str">
        <f t="shared" ref="A59:B74" si="11">A5</f>
        <v>Invoice Number</v>
      </c>
      <c r="B59" s="6" t="str">
        <f t="shared" si="11"/>
        <v>Supplier Name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4" ht="29.25" customHeight="1" x14ac:dyDescent="0.35">
      <c r="A60" s="70" t="str">
        <f t="shared" si="11"/>
        <v>126454</v>
      </c>
      <c r="B60" s="9" t="str">
        <f t="shared" si="11"/>
        <v>ITALIAN BAKERY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si="11"/>
        <v xml:space="preserve"> </v>
      </c>
      <c r="B61" s="9" t="str">
        <f t="shared" si="11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si="11"/>
        <v xml:space="preserve"> </v>
      </c>
      <c r="B62" s="9" t="str">
        <f t="shared" si="11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si="11"/>
        <v xml:space="preserve"> </v>
      </c>
      <c r="B63" s="9" t="str">
        <f t="shared" si="11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si="11"/>
        <v xml:space="preserve"> </v>
      </c>
      <c r="B64" s="9" t="str">
        <f t="shared" si="11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11"/>
        <v xml:space="preserve"> </v>
      </c>
      <c r="B65" s="9" t="str">
        <f t="shared" si="11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11"/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11"/>
        <v xml:space="preserve"> </v>
      </c>
      <c r="B67" s="9" t="str">
        <f t="shared" si="11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11"/>
        <v xml:space="preserve"> </v>
      </c>
      <c r="B68" s="9" t="str">
        <f t="shared" si="11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11"/>
        <v xml:space="preserve"> </v>
      </c>
      <c r="B69" s="9" t="str">
        <f t="shared" si="11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11"/>
        <v xml:space="preserve"> </v>
      </c>
      <c r="B70" s="9" t="str">
        <f t="shared" si="11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11"/>
        <v xml:space="preserve"> </v>
      </c>
      <c r="B71" s="9" t="str">
        <f t="shared" si="11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1"/>
        <v xml:space="preserve"> </v>
      </c>
      <c r="B72" s="9" t="str">
        <f t="shared" si="11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1"/>
        <v xml:space="preserve"> </v>
      </c>
      <c r="B73" s="9" t="str">
        <f t="shared" si="11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1"/>
        <v xml:space="preserve"> </v>
      </c>
      <c r="B74" s="9" t="str">
        <f t="shared" si="11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ref="A75:B90" si="12">A21</f>
        <v xml:space="preserve"> </v>
      </c>
      <c r="B75" s="9" t="str">
        <f t="shared" si="12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2"/>
        <v xml:space="preserve"> </v>
      </c>
      <c r="B76" s="9" t="str">
        <f t="shared" si="12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si="12"/>
        <v xml:space="preserve"> </v>
      </c>
      <c r="B77" s="9" t="str">
        <f t="shared" si="12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2"/>
        <v xml:space="preserve"> </v>
      </c>
      <c r="B78" s="9" t="str">
        <f t="shared" si="12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2"/>
        <v xml:space="preserve"> </v>
      </c>
      <c r="B79" s="9" t="str">
        <f t="shared" si="12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2"/>
        <v xml:space="preserve"> </v>
      </c>
      <c r="B80" s="9" t="str">
        <f t="shared" si="12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2"/>
        <v xml:space="preserve"> </v>
      </c>
      <c r="B81" s="9" t="str">
        <f t="shared" si="12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2"/>
        <v xml:space="preserve"> </v>
      </c>
      <c r="B82" s="9" t="str">
        <f t="shared" si="12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2"/>
        <v xml:space="preserve"> </v>
      </c>
      <c r="B83" s="9" t="str">
        <f t="shared" si="12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2"/>
        <v xml:space="preserve"> </v>
      </c>
      <c r="B84" s="9" t="str">
        <f t="shared" si="12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2"/>
        <v xml:space="preserve"> </v>
      </c>
      <c r="B85" s="9" t="str">
        <f t="shared" si="12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2"/>
        <v xml:space="preserve"> </v>
      </c>
      <c r="B86" s="9" t="str">
        <f t="shared" si="12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2"/>
        <v xml:space="preserve"> </v>
      </c>
      <c r="B87" s="9" t="str">
        <f t="shared" si="12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2"/>
        <v xml:space="preserve"> </v>
      </c>
      <c r="B88" s="9" t="str">
        <f t="shared" si="12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2"/>
        <v xml:space="preserve"> </v>
      </c>
      <c r="B89" s="9" t="str">
        <f t="shared" si="12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2"/>
        <v xml:space="preserve"> </v>
      </c>
      <c r="B90" s="9" t="str">
        <f t="shared" si="12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ref="A91:B106" si="13">A37</f>
        <v xml:space="preserve"> </v>
      </c>
      <c r="B91" s="9" t="str">
        <f t="shared" si="13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3"/>
        <v xml:space="preserve"> </v>
      </c>
      <c r="B92" s="9" t="str">
        <f t="shared" si="13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si="13"/>
        <v xml:space="preserve"> </v>
      </c>
      <c r="B93" s="9" t="str">
        <f t="shared" si="13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3"/>
        <v xml:space="preserve"> </v>
      </c>
      <c r="B94" s="9" t="str">
        <f t="shared" si="13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3"/>
        <v xml:space="preserve"> </v>
      </c>
      <c r="B95" s="9" t="str">
        <f t="shared" si="13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3"/>
        <v xml:space="preserve"> </v>
      </c>
      <c r="B96" s="9" t="str">
        <f t="shared" si="13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3"/>
        <v xml:space="preserve"> </v>
      </c>
      <c r="B97" s="9" t="str">
        <f t="shared" si="13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3"/>
        <v xml:space="preserve"> </v>
      </c>
      <c r="B98" s="9" t="str">
        <f t="shared" si="13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3"/>
        <v xml:space="preserve"> </v>
      </c>
      <c r="B99" s="9" t="str">
        <f t="shared" si="13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3"/>
        <v xml:space="preserve"> </v>
      </c>
      <c r="B100" s="9" t="str">
        <f t="shared" si="13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3"/>
        <v xml:space="preserve"> </v>
      </c>
      <c r="B101" s="9" t="str">
        <f t="shared" si="13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3"/>
        <v xml:space="preserve"> </v>
      </c>
      <c r="B102" s="9" t="str">
        <f t="shared" si="13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3"/>
        <v xml:space="preserve"> </v>
      </c>
      <c r="B103" s="9" t="str">
        <f t="shared" si="13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3"/>
        <v xml:space="preserve"> </v>
      </c>
      <c r="B104" s="9" t="str">
        <f t="shared" si="13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3"/>
        <v xml:space="preserve"> </v>
      </c>
      <c r="B105" s="9" t="str">
        <f t="shared" si="13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3"/>
        <v xml:space="preserve"> </v>
      </c>
      <c r="B106" s="9" t="str">
        <f t="shared" si="1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ref="A107:B109" si="14">A53</f>
        <v xml:space="preserve"> </v>
      </c>
      <c r="B107" s="9" t="str">
        <f t="shared" si="14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4"/>
        <v xml:space="preserve"> </v>
      </c>
      <c r="B108" s="9" t="str">
        <f t="shared" si="14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si="14"/>
        <v xml:space="preserve"> </v>
      </c>
      <c r="B109" s="9" t="str">
        <f t="shared" si="1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tr">
        <f t="shared" ref="A110" si="15">A57</f>
        <v>Department Totals</v>
      </c>
      <c r="B110" s="8"/>
      <c r="C110" s="53">
        <f>SUM(C60:C109)</f>
        <v>0</v>
      </c>
      <c r="D110" s="53">
        <f>SUM(D60:D109)</f>
        <v>0</v>
      </c>
      <c r="E110" s="53">
        <f t="shared" ref="E110:L110" si="16">SUM(E60:E109)</f>
        <v>0</v>
      </c>
      <c r="F110" s="53">
        <f t="shared" si="16"/>
        <v>0</v>
      </c>
      <c r="G110" s="53">
        <f t="shared" si="16"/>
        <v>0</v>
      </c>
      <c r="H110" s="53">
        <f t="shared" si="16"/>
        <v>0</v>
      </c>
      <c r="I110" s="53">
        <f t="shared" si="16"/>
        <v>0</v>
      </c>
      <c r="J110" s="54">
        <f t="shared" si="16"/>
        <v>0</v>
      </c>
      <c r="K110" s="49">
        <f t="shared" si="16"/>
        <v>0</v>
      </c>
      <c r="L110" s="11">
        <f t="shared" si="16"/>
        <v>0</v>
      </c>
      <c r="M110" s="14"/>
    </row>
  </sheetData>
  <hyperlinks>
    <hyperlink ref="M1" location="'Receiving Totals'!A1" display="Receiving Totals" xr:uid="{F9A929E4-4FC3-4F80-8348-659B0CCC0426}"/>
  </hyperlinks>
  <pageMargins left="0.2" right="0.2" top="0.75" bottom="0.25" header="0" footer="0"/>
  <pageSetup scale="30" fitToWidth="0" fitToHeight="0" orientation="landscape" horizontalDpi="300" verticalDpi="300" r:id="rId1"/>
  <rowBreaks count="1" manualBreakCount="1">
    <brk id="57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90224-76C2-4F38-9D21-A0DBD34A2E5C}">
  <dimension ref="A1:O110"/>
  <sheetViews>
    <sheetView zoomScale="70" zoomScaleNormal="70" workbookViewId="0">
      <pane ySplit="5" topLeftCell="A29" activePane="bottomLeft" state="frozen"/>
      <selection activeCell="A6" sqref="A6"/>
      <selection pane="bottomLeft" activeCell="O57" sqref="O57"/>
    </sheetView>
  </sheetViews>
  <sheetFormatPr defaultColWidth="9.140625" defaultRowHeight="15" x14ac:dyDescent="0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3" customWidth="1"/>
    <col min="16" max="16384" width="9.140625" style="13"/>
  </cols>
  <sheetData>
    <row r="1" spans="1:15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5" ht="33" customHeight="1" x14ac:dyDescent="0.5">
      <c r="A3" s="12"/>
      <c r="B3" s="65" t="s">
        <v>13</v>
      </c>
      <c r="C3" s="22">
        <f>C2*$N$3</f>
        <v>166.28663999999998</v>
      </c>
      <c r="D3" s="22"/>
      <c r="E3" s="22">
        <f t="shared" ref="E3:L3" si="0">E2*$N$3</f>
        <v>34.44012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55.312919999999998</v>
      </c>
      <c r="J3" s="22">
        <f t="shared" si="0"/>
        <v>42.441359999999996</v>
      </c>
      <c r="K3" s="22">
        <f t="shared" si="0"/>
        <v>49.398959999999995</v>
      </c>
      <c r="L3" s="22">
        <f t="shared" si="0"/>
        <v>0</v>
      </c>
      <c r="M3" s="22"/>
      <c r="N3" s="23">
        <v>347.88</v>
      </c>
    </row>
    <row r="4" spans="1:15" ht="21" customHeight="1" thickBot="1" x14ac:dyDescent="0.35">
      <c r="A4" s="62" t="s">
        <v>14</v>
      </c>
      <c r="B4" s="64">
        <f>'Saturday WK1 (7)'!B4+1</f>
        <v>46201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thickBot="1" x14ac:dyDescent="0.3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29.25" customHeight="1" x14ac:dyDescent="0.35">
      <c r="A6" s="1" t="s">
        <v>259</v>
      </c>
      <c r="B6" s="68" t="s">
        <v>31</v>
      </c>
      <c r="C6" s="15">
        <f t="shared" ref="C6:C54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>
        <v>-22.87</v>
      </c>
      <c r="L6" s="15"/>
      <c r="M6" s="15"/>
      <c r="N6" s="55">
        <v>-22.87</v>
      </c>
    </row>
    <row r="7" spans="1:15" ht="29.25" customHeight="1" x14ac:dyDescent="0.35">
      <c r="A7" s="1" t="s">
        <v>260</v>
      </c>
      <c r="B7" s="68" t="s">
        <v>31</v>
      </c>
      <c r="C7" s="15">
        <f t="shared" si="1"/>
        <v>1.8207657603852567E-14</v>
      </c>
      <c r="D7" s="15"/>
      <c r="E7" s="15"/>
      <c r="F7" s="15"/>
      <c r="G7" s="15"/>
      <c r="H7" s="15"/>
      <c r="I7" s="15"/>
      <c r="J7" s="15"/>
      <c r="K7" s="15">
        <v>3683.33</v>
      </c>
      <c r="L7" s="15"/>
      <c r="M7" s="15">
        <v>0.48</v>
      </c>
      <c r="N7" s="55">
        <v>3683.81</v>
      </c>
    </row>
    <row r="8" spans="1:15" ht="29.25" customHeight="1" x14ac:dyDescent="0.35">
      <c r="A8" s="1" t="s">
        <v>261</v>
      </c>
      <c r="B8" s="68" t="s">
        <v>31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>
        <v>243.86</v>
      </c>
      <c r="L8" s="15"/>
      <c r="M8" s="15"/>
      <c r="N8" s="55">
        <v>243.86</v>
      </c>
    </row>
    <row r="9" spans="1:15" ht="29.25" customHeight="1" x14ac:dyDescent="0.35">
      <c r="A9" s="1" t="s">
        <v>262</v>
      </c>
      <c r="B9" s="68" t="s">
        <v>37</v>
      </c>
      <c r="C9" s="15">
        <f t="shared" si="1"/>
        <v>0</v>
      </c>
      <c r="D9" s="15"/>
      <c r="E9" s="15">
        <v>200.05</v>
      </c>
      <c r="F9" s="15"/>
      <c r="G9" s="15"/>
      <c r="H9" s="15"/>
      <c r="I9" s="15"/>
      <c r="J9" s="15"/>
      <c r="K9" s="15"/>
      <c r="L9" s="15"/>
      <c r="M9" s="15"/>
      <c r="N9" s="55">
        <v>200.05</v>
      </c>
    </row>
    <row r="10" spans="1:15" ht="29.25" customHeight="1" x14ac:dyDescent="0.35">
      <c r="A10" s="1" t="s">
        <v>263</v>
      </c>
      <c r="B10" s="68" t="s">
        <v>264</v>
      </c>
      <c r="C10" s="15">
        <f t="shared" si="1"/>
        <v>0</v>
      </c>
      <c r="D10" s="15"/>
      <c r="E10" s="15">
        <v>403.86</v>
      </c>
      <c r="F10" s="15"/>
      <c r="G10" s="15"/>
      <c r="H10" s="15"/>
      <c r="I10" s="15"/>
      <c r="J10" s="15"/>
      <c r="K10" s="15"/>
      <c r="L10" s="15"/>
      <c r="M10" s="15"/>
      <c r="N10" s="55">
        <v>403.86</v>
      </c>
    </row>
    <row r="11" spans="1:15" ht="29.25" customHeight="1" x14ac:dyDescent="0.35">
      <c r="A11" s="1" t="s">
        <v>265</v>
      </c>
      <c r="B11" s="68" t="s">
        <v>33</v>
      </c>
      <c r="C11" s="15">
        <f t="shared" si="1"/>
        <v>-1.7763568394002505E-15</v>
      </c>
      <c r="D11" s="15"/>
      <c r="E11" s="15"/>
      <c r="F11" s="15"/>
      <c r="G11" s="15"/>
      <c r="H11" s="15"/>
      <c r="I11" s="15">
        <v>250.1</v>
      </c>
      <c r="J11" s="15"/>
      <c r="K11" s="15"/>
      <c r="L11" s="15"/>
      <c r="M11" s="15">
        <v>8.9700000000000006</v>
      </c>
      <c r="N11" s="55">
        <v>259.07</v>
      </c>
    </row>
    <row r="12" spans="1:15" ht="29.25" customHeight="1" x14ac:dyDescent="0.35">
      <c r="A12" s="1" t="s">
        <v>266</v>
      </c>
      <c r="B12" s="68" t="s">
        <v>39</v>
      </c>
      <c r="C12" s="15">
        <f t="shared" si="1"/>
        <v>0</v>
      </c>
      <c r="D12" s="15"/>
      <c r="E12" s="15">
        <v>699.86</v>
      </c>
      <c r="F12" s="15"/>
      <c r="G12" s="15"/>
      <c r="H12" s="15"/>
      <c r="I12" s="15"/>
      <c r="J12" s="15"/>
      <c r="K12" s="15"/>
      <c r="L12" s="15"/>
      <c r="M12" s="15"/>
      <c r="N12" s="55">
        <v>699.86</v>
      </c>
    </row>
    <row r="13" spans="1:15" ht="29.25" customHeight="1" x14ac:dyDescent="0.35">
      <c r="A13" s="1" t="s">
        <v>267</v>
      </c>
      <c r="B13" s="68" t="s">
        <v>39</v>
      </c>
      <c r="C13" s="15">
        <f t="shared" si="1"/>
        <v>0</v>
      </c>
      <c r="D13" s="15"/>
      <c r="E13" s="15">
        <v>2571.86</v>
      </c>
      <c r="F13" s="15"/>
      <c r="G13" s="15"/>
      <c r="H13" s="15"/>
      <c r="I13" s="15"/>
      <c r="J13" s="15"/>
      <c r="K13" s="15"/>
      <c r="L13" s="15"/>
      <c r="M13" s="15"/>
      <c r="N13" s="55">
        <v>2571.86</v>
      </c>
    </row>
    <row r="14" spans="1:15" ht="29.25" customHeight="1" x14ac:dyDescent="0.35">
      <c r="A14" s="1" t="s">
        <v>268</v>
      </c>
      <c r="B14" s="68" t="s">
        <v>39</v>
      </c>
      <c r="C14" s="15">
        <f t="shared" si="1"/>
        <v>0</v>
      </c>
      <c r="D14" s="15"/>
      <c r="E14" s="15">
        <v>4774.68</v>
      </c>
      <c r="F14" s="15"/>
      <c r="G14" s="15"/>
      <c r="H14" s="15"/>
      <c r="I14" s="15"/>
      <c r="J14" s="15"/>
      <c r="K14" s="15"/>
      <c r="L14" s="15"/>
      <c r="M14" s="15"/>
      <c r="N14" s="55">
        <v>4774.68</v>
      </c>
    </row>
    <row r="15" spans="1:15" ht="29.25" customHeight="1" x14ac:dyDescent="0.35">
      <c r="A15" s="1" t="s">
        <v>269</v>
      </c>
      <c r="B15" s="68" t="s">
        <v>39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>
        <v>101.34</v>
      </c>
      <c r="O15" s="13" t="s">
        <v>94</v>
      </c>
    </row>
    <row r="16" spans="1:15" ht="29.25" customHeight="1" x14ac:dyDescent="0.35">
      <c r="A16" s="1" t="s">
        <v>270</v>
      </c>
      <c r="B16" s="68" t="s">
        <v>39</v>
      </c>
      <c r="C16" s="15">
        <f t="shared" si="1"/>
        <v>935.31</v>
      </c>
      <c r="D16" s="15"/>
      <c r="E16" s="15">
        <v>41.99</v>
      </c>
      <c r="F16" s="15"/>
      <c r="G16" s="15"/>
      <c r="H16" s="15"/>
      <c r="I16" s="15"/>
      <c r="J16" s="15"/>
      <c r="K16" s="15"/>
      <c r="L16" s="15"/>
      <c r="M16" s="15"/>
      <c r="N16" s="55">
        <v>977.3</v>
      </c>
    </row>
    <row r="17" spans="1:15" ht="29.25" customHeight="1" x14ac:dyDescent="0.35">
      <c r="A17" s="1" t="s">
        <v>271</v>
      </c>
      <c r="B17" s="68" t="s">
        <v>39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>
        <v>484.98</v>
      </c>
      <c r="O17" s="13" t="s">
        <v>272</v>
      </c>
    </row>
    <row r="18" spans="1:15" ht="29.25" customHeight="1" x14ac:dyDescent="0.35">
      <c r="A18" s="1" t="s">
        <v>273</v>
      </c>
      <c r="B18" s="68" t="s">
        <v>39</v>
      </c>
      <c r="C18" s="15">
        <f t="shared" si="1"/>
        <v>10227.84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>
        <v>10227.84</v>
      </c>
    </row>
    <row r="19" spans="1:15" ht="29.25" customHeight="1" x14ac:dyDescent="0.35">
      <c r="A19" s="1" t="s">
        <v>274</v>
      </c>
      <c r="B19" s="68" t="s">
        <v>39</v>
      </c>
      <c r="C19" s="15">
        <f t="shared" si="1"/>
        <v>20.399999999999999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>
        <v>20.399999999999999</v>
      </c>
    </row>
    <row r="20" spans="1:15" ht="29.25" customHeight="1" x14ac:dyDescent="0.35">
      <c r="A20" s="1" t="s">
        <v>275</v>
      </c>
      <c r="B20" s="68" t="s">
        <v>39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>
        <v>123.28</v>
      </c>
      <c r="O20" s="13" t="s">
        <v>276</v>
      </c>
    </row>
    <row r="21" spans="1:15" ht="29.25" customHeight="1" x14ac:dyDescent="0.35">
      <c r="A21" s="1" t="s">
        <v>277</v>
      </c>
      <c r="B21" s="68" t="s">
        <v>39</v>
      </c>
      <c r="C21" s="15">
        <f t="shared" si="1"/>
        <v>66.16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>
        <v>66.16</v>
      </c>
    </row>
    <row r="22" spans="1:15" ht="29.25" customHeight="1" x14ac:dyDescent="0.35">
      <c r="A22" s="1" t="s">
        <v>278</v>
      </c>
      <c r="B22" s="68" t="s">
        <v>39</v>
      </c>
      <c r="C22" s="15">
        <f t="shared" si="1"/>
        <v>1003.53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>
        <v>1003.53</v>
      </c>
    </row>
    <row r="23" spans="1:15" ht="29.25" customHeight="1" x14ac:dyDescent="0.35">
      <c r="A23" s="1" t="s">
        <v>279</v>
      </c>
      <c r="B23" s="68" t="s">
        <v>39</v>
      </c>
      <c r="C23" s="15">
        <f t="shared" si="1"/>
        <v>70.56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>
        <v>70.56</v>
      </c>
    </row>
    <row r="24" spans="1:15" ht="29.25" customHeight="1" x14ac:dyDescent="0.35">
      <c r="A24" s="1" t="s">
        <v>280</v>
      </c>
      <c r="B24" s="68" t="s">
        <v>39</v>
      </c>
      <c r="C24" s="15">
        <f t="shared" si="1"/>
        <v>2030.36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>
        <v>2030.36</v>
      </c>
    </row>
    <row r="25" spans="1:15" ht="29.25" customHeight="1" x14ac:dyDescent="0.35">
      <c r="A25" s="1" t="s">
        <v>281</v>
      </c>
      <c r="B25" s="68" t="s">
        <v>39</v>
      </c>
      <c r="C25" s="15">
        <f t="shared" si="1"/>
        <v>20659.39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>
        <v>20659.39</v>
      </c>
    </row>
    <row r="26" spans="1:15" ht="29.25" customHeight="1" x14ac:dyDescent="0.35">
      <c r="A26" s="1" t="s">
        <v>282</v>
      </c>
      <c r="B26" s="68" t="s">
        <v>39</v>
      </c>
      <c r="C26" s="15">
        <f t="shared" si="1"/>
        <v>2687.33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>
        <v>2687.33</v>
      </c>
    </row>
    <row r="27" spans="1:15" ht="29.25" customHeight="1" x14ac:dyDescent="0.35">
      <c r="A27" s="1" t="s">
        <v>283</v>
      </c>
      <c r="B27" s="68" t="s">
        <v>39</v>
      </c>
      <c r="C27" s="15">
        <f t="shared" si="1"/>
        <v>534.24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>
        <v>534.24</v>
      </c>
    </row>
    <row r="28" spans="1:15" ht="29.25" customHeight="1" x14ac:dyDescent="0.35">
      <c r="A28" s="1" t="s">
        <v>284</v>
      </c>
      <c r="B28" s="68" t="s">
        <v>39</v>
      </c>
      <c r="C28" s="15">
        <f t="shared" si="1"/>
        <v>70.5</v>
      </c>
      <c r="D28" s="15"/>
      <c r="E28" s="15"/>
      <c r="F28" s="15"/>
      <c r="G28" s="15"/>
      <c r="H28" s="15"/>
      <c r="I28" s="15"/>
      <c r="J28" s="15"/>
      <c r="K28" s="15">
        <v>3088.08</v>
      </c>
      <c r="L28" s="15"/>
      <c r="M28" s="15"/>
      <c r="N28" s="55">
        <v>3158.58</v>
      </c>
    </row>
    <row r="29" spans="1:15" ht="29.25" customHeight="1" x14ac:dyDescent="0.35">
      <c r="A29" s="1" t="s">
        <v>285</v>
      </c>
      <c r="B29" s="68" t="s">
        <v>39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>
        <v>49.56</v>
      </c>
      <c r="L29" s="15"/>
      <c r="M29" s="15"/>
      <c r="N29" s="55">
        <v>49.56</v>
      </c>
    </row>
    <row r="30" spans="1:15" ht="29.25" customHeight="1" x14ac:dyDescent="0.35">
      <c r="A30" s="1" t="s">
        <v>286</v>
      </c>
      <c r="B30" s="68" t="s">
        <v>39</v>
      </c>
      <c r="C30" s="15">
        <f t="shared" si="1"/>
        <v>0</v>
      </c>
      <c r="D30" s="15"/>
      <c r="E30" s="15">
        <v>252.4</v>
      </c>
      <c r="F30" s="15"/>
      <c r="G30" s="15"/>
      <c r="H30" s="15"/>
      <c r="I30" s="15"/>
      <c r="J30" s="15"/>
      <c r="K30" s="15"/>
      <c r="L30" s="15"/>
      <c r="M30" s="15"/>
      <c r="N30" s="55">
        <v>252.4</v>
      </c>
    </row>
    <row r="31" spans="1:15" ht="29.25" customHeight="1" x14ac:dyDescent="0.35">
      <c r="A31" s="1" t="s">
        <v>287</v>
      </c>
      <c r="B31" s="68" t="s">
        <v>39</v>
      </c>
      <c r="C31" s="15">
        <f t="shared" si="1"/>
        <v>0</v>
      </c>
      <c r="D31" s="15"/>
      <c r="E31" s="15">
        <v>1286.43</v>
      </c>
      <c r="F31" s="15"/>
      <c r="G31" s="15"/>
      <c r="H31" s="15"/>
      <c r="I31" s="15"/>
      <c r="J31" s="15"/>
      <c r="K31" s="15"/>
      <c r="L31" s="15"/>
      <c r="M31" s="15"/>
      <c r="N31" s="55">
        <v>1286.43</v>
      </c>
    </row>
    <row r="32" spans="1:15" ht="29.25" customHeight="1" x14ac:dyDescent="0.35">
      <c r="A32" s="1" t="s">
        <v>288</v>
      </c>
      <c r="B32" s="68" t="s">
        <v>39</v>
      </c>
      <c r="C32" s="15">
        <f t="shared" si="1"/>
        <v>0</v>
      </c>
      <c r="D32" s="15"/>
      <c r="E32" s="15">
        <v>663.35</v>
      </c>
      <c r="F32" s="15"/>
      <c r="G32" s="15"/>
      <c r="H32" s="15"/>
      <c r="I32" s="15"/>
      <c r="J32" s="15"/>
      <c r="K32" s="15"/>
      <c r="L32" s="15"/>
      <c r="M32" s="15"/>
      <c r="N32" s="55">
        <v>663.35</v>
      </c>
    </row>
    <row r="33" spans="1:15" ht="29.25" customHeight="1" x14ac:dyDescent="0.35">
      <c r="A33" s="1" t="s">
        <v>289</v>
      </c>
      <c r="B33" s="68" t="s">
        <v>39</v>
      </c>
      <c r="C33" s="15">
        <f t="shared" si="1"/>
        <v>0</v>
      </c>
      <c r="D33" s="15"/>
      <c r="E33" s="15">
        <v>415.01</v>
      </c>
      <c r="F33" s="15"/>
      <c r="G33" s="15"/>
      <c r="H33" s="15"/>
      <c r="I33" s="15"/>
      <c r="J33" s="15"/>
      <c r="K33" s="15"/>
      <c r="L33" s="15"/>
      <c r="M33" s="15"/>
      <c r="N33" s="55">
        <v>415.01</v>
      </c>
    </row>
    <row r="34" spans="1:15" ht="29.25" customHeight="1" x14ac:dyDescent="0.35">
      <c r="A34" s="1" t="s">
        <v>290</v>
      </c>
      <c r="B34" s="68" t="s">
        <v>39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>
        <v>58.64</v>
      </c>
      <c r="O34" s="13" t="s">
        <v>291</v>
      </c>
    </row>
    <row r="35" spans="1:15" ht="29.25" customHeight="1" x14ac:dyDescent="0.35">
      <c r="A35" s="1" t="s">
        <v>292</v>
      </c>
      <c r="B35" s="68" t="s">
        <v>39</v>
      </c>
      <c r="C35" s="15">
        <f t="shared" si="1"/>
        <v>108.15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>
        <v>108.15</v>
      </c>
    </row>
    <row r="36" spans="1:15" ht="29.25" customHeight="1" x14ac:dyDescent="0.35">
      <c r="A36" s="1" t="s">
        <v>293</v>
      </c>
      <c r="B36" s="68" t="s">
        <v>39</v>
      </c>
      <c r="C36" s="15">
        <f t="shared" si="1"/>
        <v>1188.3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>
        <v>1188.3</v>
      </c>
    </row>
    <row r="37" spans="1:15" ht="29.25" customHeight="1" x14ac:dyDescent="0.35">
      <c r="A37" s="1" t="s">
        <v>294</v>
      </c>
      <c r="B37" s="68" t="s">
        <v>39</v>
      </c>
      <c r="C37" s="15">
        <f t="shared" si="1"/>
        <v>114.66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>
        <v>114.66</v>
      </c>
    </row>
    <row r="38" spans="1:15" ht="29.25" customHeight="1" x14ac:dyDescent="0.35">
      <c r="A38" s="1" t="s">
        <v>295</v>
      </c>
      <c r="B38" s="68" t="s">
        <v>39</v>
      </c>
      <c r="C38" s="15">
        <f t="shared" si="1"/>
        <v>420.46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>
        <v>420.46</v>
      </c>
    </row>
    <row r="39" spans="1:15" ht="29.25" customHeight="1" x14ac:dyDescent="0.35">
      <c r="A39" s="1" t="s">
        <v>296</v>
      </c>
      <c r="B39" s="68" t="s">
        <v>39</v>
      </c>
      <c r="C39" s="15">
        <f t="shared" si="1"/>
        <v>281.94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>
        <v>281.94</v>
      </c>
    </row>
    <row r="40" spans="1:15" ht="29.25" customHeight="1" x14ac:dyDescent="0.35">
      <c r="A40" s="1" t="s">
        <v>297</v>
      </c>
      <c r="B40" s="68" t="s">
        <v>39</v>
      </c>
      <c r="C40" s="15">
        <f t="shared" si="1"/>
        <v>11.76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>
        <v>11.76</v>
      </c>
    </row>
    <row r="41" spans="1:15" ht="29.25" customHeight="1" x14ac:dyDescent="0.35">
      <c r="A41" s="1" t="s">
        <v>298</v>
      </c>
      <c r="B41" s="68" t="s">
        <v>39</v>
      </c>
      <c r="C41" s="15">
        <f t="shared" si="1"/>
        <v>678.3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>
        <v>678.3</v>
      </c>
    </row>
    <row r="42" spans="1:15" ht="29.25" customHeight="1" x14ac:dyDescent="0.35">
      <c r="A42" s="1" t="s">
        <v>299</v>
      </c>
      <c r="B42" s="68" t="s">
        <v>39</v>
      </c>
      <c r="C42" s="15">
        <f t="shared" si="1"/>
        <v>104.23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>
        <v>104.23</v>
      </c>
    </row>
    <row r="43" spans="1:15" ht="29.25" customHeight="1" x14ac:dyDescent="0.35">
      <c r="A43" s="1" t="s">
        <v>300</v>
      </c>
      <c r="B43" s="68" t="s">
        <v>39</v>
      </c>
      <c r="C43" s="15">
        <f t="shared" si="1"/>
        <v>0</v>
      </c>
      <c r="D43" s="15"/>
      <c r="E43" s="15">
        <v>228.33</v>
      </c>
      <c r="F43" s="15"/>
      <c r="G43" s="15"/>
      <c r="H43" s="15"/>
      <c r="I43" s="15"/>
      <c r="J43" s="15"/>
      <c r="K43" s="15"/>
      <c r="L43" s="15"/>
      <c r="M43" s="15"/>
      <c r="N43" s="55">
        <v>228.33</v>
      </c>
    </row>
    <row r="44" spans="1:15" ht="29.25" customHeight="1" x14ac:dyDescent="0.35">
      <c r="A44" s="1" t="s">
        <v>301</v>
      </c>
      <c r="B44" s="68" t="s">
        <v>39</v>
      </c>
      <c r="C44" s="15">
        <f t="shared" si="1"/>
        <v>131.66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>
        <v>131.66</v>
      </c>
    </row>
    <row r="45" spans="1:15" ht="29.25" customHeight="1" x14ac:dyDescent="0.35">
      <c r="A45" s="1" t="s">
        <v>302</v>
      </c>
      <c r="B45" s="68" t="s">
        <v>39</v>
      </c>
      <c r="C45" s="15">
        <f t="shared" si="1"/>
        <v>171.28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>
        <v>171.28</v>
      </c>
    </row>
    <row r="46" spans="1:15" ht="29.25" customHeight="1" x14ac:dyDescent="0.35">
      <c r="A46" s="1" t="s">
        <v>303</v>
      </c>
      <c r="B46" s="68" t="s">
        <v>39</v>
      </c>
      <c r="C46" s="15">
        <f t="shared" si="1"/>
        <v>0</v>
      </c>
      <c r="D46" s="15"/>
      <c r="E46" s="15">
        <v>4750.13</v>
      </c>
      <c r="F46" s="15"/>
      <c r="G46" s="15"/>
      <c r="H46" s="15"/>
      <c r="I46" s="15"/>
      <c r="J46" s="15"/>
      <c r="K46" s="15"/>
      <c r="L46" s="15"/>
      <c r="M46" s="15"/>
      <c r="N46" s="55">
        <v>4750.13</v>
      </c>
    </row>
    <row r="47" spans="1:15" ht="29.25" customHeight="1" x14ac:dyDescent="0.35">
      <c r="A47" s="1" t="s">
        <v>304</v>
      </c>
      <c r="B47" s="68" t="s">
        <v>39</v>
      </c>
      <c r="C47" s="15">
        <f t="shared" si="1"/>
        <v>0</v>
      </c>
      <c r="D47" s="15"/>
      <c r="E47" s="15">
        <v>356.6</v>
      </c>
      <c r="F47" s="15"/>
      <c r="G47" s="15"/>
      <c r="H47" s="15"/>
      <c r="I47" s="15"/>
      <c r="J47" s="15"/>
      <c r="K47" s="15"/>
      <c r="L47" s="15"/>
      <c r="M47" s="15"/>
      <c r="N47" s="55">
        <v>356.6</v>
      </c>
    </row>
    <row r="48" spans="1:15" ht="29.25" customHeight="1" x14ac:dyDescent="0.35">
      <c r="A48" s="1" t="s">
        <v>305</v>
      </c>
      <c r="B48" s="68" t="s">
        <v>39</v>
      </c>
      <c r="C48" s="15">
        <f t="shared" si="1"/>
        <v>0</v>
      </c>
      <c r="D48" s="15"/>
      <c r="E48" s="15"/>
      <c r="F48" s="15"/>
      <c r="G48" s="15"/>
      <c r="H48" s="15"/>
      <c r="I48" s="15">
        <v>137.85</v>
      </c>
      <c r="J48" s="15"/>
      <c r="K48" s="15"/>
      <c r="L48" s="15"/>
      <c r="M48" s="15"/>
      <c r="N48" s="55">
        <v>137.85</v>
      </c>
    </row>
    <row r="49" spans="1:15" ht="29.25" customHeight="1" x14ac:dyDescent="0.35">
      <c r="A49" s="1" t="s">
        <v>306</v>
      </c>
      <c r="B49" s="68" t="s">
        <v>39</v>
      </c>
      <c r="C49" s="15">
        <f t="shared" si="1"/>
        <v>0</v>
      </c>
      <c r="D49" s="15"/>
      <c r="E49" s="15"/>
      <c r="F49" s="15"/>
      <c r="G49" s="15"/>
      <c r="H49" s="15"/>
      <c r="I49" s="15">
        <v>2818.27</v>
      </c>
      <c r="J49" s="15"/>
      <c r="K49" s="15"/>
      <c r="L49" s="15"/>
      <c r="M49" s="15"/>
      <c r="N49" s="55">
        <v>2818.27</v>
      </c>
    </row>
    <row r="50" spans="1:15" ht="29.25" customHeight="1" x14ac:dyDescent="0.35">
      <c r="A50" s="1" t="s">
        <v>307</v>
      </c>
      <c r="B50" s="68" t="s">
        <v>39</v>
      </c>
      <c r="C50" s="15">
        <f t="shared" si="1"/>
        <v>0</v>
      </c>
      <c r="D50" s="15"/>
      <c r="E50" s="15"/>
      <c r="F50" s="15"/>
      <c r="G50" s="15"/>
      <c r="H50" s="15"/>
      <c r="I50" s="15">
        <v>338.6</v>
      </c>
      <c r="J50" s="15"/>
      <c r="K50" s="15"/>
      <c r="L50" s="15"/>
      <c r="M50" s="15"/>
      <c r="N50" s="55">
        <v>338.6</v>
      </c>
    </row>
    <row r="51" spans="1:15" ht="29.25" customHeight="1" x14ac:dyDescent="0.35">
      <c r="A51" s="1" t="s">
        <v>82</v>
      </c>
      <c r="B51" s="68" t="s">
        <v>82</v>
      </c>
      <c r="C51" s="15">
        <f t="shared" si="1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1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1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1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2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39</v>
      </c>
      <c r="C56" s="16">
        <f>C3</f>
        <v>166.28663999999998</v>
      </c>
      <c r="D56" s="16"/>
      <c r="E56" s="16">
        <f>E3</f>
        <v>34.44012</v>
      </c>
      <c r="F56" s="16">
        <f t="shared" ref="F56:L56" si="3">F3</f>
        <v>0</v>
      </c>
      <c r="G56" s="16">
        <f t="shared" si="3"/>
        <v>0</v>
      </c>
      <c r="H56" s="16">
        <f t="shared" si="3"/>
        <v>0</v>
      </c>
      <c r="I56" s="16">
        <f t="shared" si="3"/>
        <v>55.312919999999998</v>
      </c>
      <c r="J56" s="16">
        <f t="shared" si="3"/>
        <v>42.441359999999996</v>
      </c>
      <c r="K56" s="16">
        <f t="shared" si="3"/>
        <v>49.398959999999995</v>
      </c>
      <c r="L56" s="16">
        <f t="shared" si="3"/>
        <v>0</v>
      </c>
      <c r="M56" s="16"/>
      <c r="N56" s="60">
        <f>SUM(C56:M56)+SUM(C118:J118)</f>
        <v>347.87999999999994</v>
      </c>
      <c r="O56" s="13" t="s">
        <v>308</v>
      </c>
    </row>
    <row r="57" spans="1:15" ht="29.25" customHeight="1" thickBot="1" x14ac:dyDescent="0.45">
      <c r="A57" s="24" t="s">
        <v>84</v>
      </c>
      <c r="B57" s="10"/>
      <c r="C57" s="61">
        <f t="shared" ref="C57:M57" si="4">SUM(C6:C56)</f>
        <v>41682.646640000021</v>
      </c>
      <c r="D57" s="61">
        <f t="shared" si="4"/>
        <v>0</v>
      </c>
      <c r="E57" s="61">
        <f t="shared" si="4"/>
        <v>16678.990119999999</v>
      </c>
      <c r="F57" s="61">
        <f t="shared" si="4"/>
        <v>0</v>
      </c>
      <c r="G57" s="61">
        <f t="shared" si="4"/>
        <v>0</v>
      </c>
      <c r="H57" s="61">
        <f t="shared" si="4"/>
        <v>0</v>
      </c>
      <c r="I57" s="61">
        <f t="shared" si="4"/>
        <v>3600.1329199999996</v>
      </c>
      <c r="J57" s="61">
        <f t="shared" si="4"/>
        <v>42.441359999999996</v>
      </c>
      <c r="K57" s="61">
        <f t="shared" si="4"/>
        <v>7091.3589600000005</v>
      </c>
      <c r="L57" s="61">
        <f t="shared" si="4"/>
        <v>0</v>
      </c>
      <c r="M57" s="61">
        <f t="shared" si="4"/>
        <v>9.4500000000000011</v>
      </c>
      <c r="N57" s="61">
        <f>SUM(N6:N56)</f>
        <v>69873.260000000053</v>
      </c>
    </row>
    <row r="58" spans="1:15" ht="29.25" customHeight="1" thickBot="1" x14ac:dyDescent="0.3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>Sum error</v>
      </c>
    </row>
    <row r="59" spans="1:15" ht="45.75" customHeight="1" x14ac:dyDescent="0.2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>1003652120</v>
      </c>
      <c r="B60" s="70" t="str">
        <f>B6</f>
        <v>SAPUTO DAIRY PRODUCTS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61" si="5">A7</f>
        <v>4003701372</v>
      </c>
      <c r="B61" s="70" t="str">
        <f t="shared" si="5"/>
        <v>SAPUTO DAIRY PRODUCTS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ref="A62:B62" si="6">A8</f>
        <v>4003701374</v>
      </c>
      <c r="B62" s="70" t="str">
        <f t="shared" si="6"/>
        <v>SAPUTO DAIRY PRODUCTS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ref="A63:B63" si="7">A9</f>
        <v>3280944</v>
      </c>
      <c r="B63" s="70" t="str">
        <f t="shared" si="7"/>
        <v>LILYDALE SOFINA FOODS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ref="A64:B64" si="8">A10</f>
        <v>100351280</v>
      </c>
      <c r="B64" s="70" t="str">
        <f t="shared" si="8"/>
        <v>FREYBE GOURMET FOODS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ref="A65:B65" si="9">A11</f>
        <v>SO185965</v>
      </c>
      <c r="B65" s="70" t="str">
        <f t="shared" si="9"/>
        <v>STAR PRODUCE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ref="A66:B66" si="10">A12</f>
        <v>6660239</v>
      </c>
      <c r="B66" s="70" t="str">
        <f t="shared" si="10"/>
        <v>THE GROCERY PEOPLE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ref="A67:B67" si="11">A13</f>
        <v>6660588</v>
      </c>
      <c r="B67" s="70" t="str">
        <f t="shared" si="11"/>
        <v>THE GROCERY PEOPLE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ref="A68:B68" si="12">A14</f>
        <v>6665623</v>
      </c>
      <c r="B68" s="70" t="str">
        <f t="shared" si="12"/>
        <v>THE GROCERY PEOPLE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ref="A69:B69" si="13">A15</f>
        <v>6661029</v>
      </c>
      <c r="B69" s="70" t="str">
        <f t="shared" si="13"/>
        <v>THE GROCERY PEOPLE</v>
      </c>
      <c r="C69" s="26"/>
      <c r="D69" s="26"/>
      <c r="E69" s="26">
        <v>101.34</v>
      </c>
      <c r="F69" s="26"/>
      <c r="G69" s="26"/>
      <c r="H69" s="26"/>
      <c r="I69" s="26"/>
      <c r="J69" s="52"/>
      <c r="K69" s="48"/>
      <c r="L69" s="2"/>
      <c r="M69" s="14" t="s">
        <v>309</v>
      </c>
    </row>
    <row r="70" spans="1:13" ht="29.25" customHeight="1" x14ac:dyDescent="0.35">
      <c r="A70" s="70" t="str">
        <f t="shared" ref="A70:B70" si="14">A16</f>
        <v>6662077</v>
      </c>
      <c r="B70" s="70" t="str">
        <f t="shared" si="14"/>
        <v>THE GROCERY PEOPLE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ref="A71:B71" si="15">A17</f>
        <v>6663371</v>
      </c>
      <c r="B71" s="70" t="str">
        <f t="shared" si="15"/>
        <v>THE GROCERY PEOPLE</v>
      </c>
      <c r="C71" s="26">
        <v>484.98</v>
      </c>
      <c r="D71" s="26"/>
      <c r="E71" s="26"/>
      <c r="F71" s="26"/>
      <c r="G71" s="26"/>
      <c r="H71" s="26"/>
      <c r="I71" s="26"/>
      <c r="J71" s="52"/>
      <c r="K71" s="48"/>
      <c r="L71" s="2"/>
      <c r="M71" s="14" t="s">
        <v>310</v>
      </c>
    </row>
    <row r="72" spans="1:13" ht="29.25" customHeight="1" x14ac:dyDescent="0.35">
      <c r="A72" s="70" t="str">
        <f t="shared" ref="A72:B72" si="16">A18</f>
        <v>5632856</v>
      </c>
      <c r="B72" s="70" t="str">
        <f t="shared" si="16"/>
        <v>THE GROCERY PEOPLE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ref="A73:B73" si="17">A19</f>
        <v>5632861</v>
      </c>
      <c r="B73" s="70" t="str">
        <f t="shared" si="17"/>
        <v>THE GROCERY PEOPLE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ref="A74:B74" si="18">A20</f>
        <v>5633291</v>
      </c>
      <c r="B74" s="70" t="str">
        <f t="shared" si="18"/>
        <v>THE GROCERY PEOPLE</v>
      </c>
      <c r="C74" s="26">
        <v>123.28</v>
      </c>
      <c r="D74" s="26"/>
      <c r="E74" s="26"/>
      <c r="F74" s="26"/>
      <c r="G74" s="26"/>
      <c r="H74" s="26"/>
      <c r="I74" s="26"/>
      <c r="J74" s="52"/>
      <c r="K74" s="48"/>
      <c r="L74" s="2"/>
      <c r="M74" s="14" t="s">
        <v>276</v>
      </c>
    </row>
    <row r="75" spans="1:13" ht="29.25" customHeight="1" x14ac:dyDescent="0.35">
      <c r="A75" s="70" t="str">
        <f t="shared" ref="A75:B75" si="19">A21</f>
        <v>5634754</v>
      </c>
      <c r="B75" s="70" t="str">
        <f t="shared" si="19"/>
        <v>THE GROCERY PEOPLE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ref="A76:B76" si="20">A22</f>
        <v>5635177</v>
      </c>
      <c r="B76" s="70" t="str">
        <f t="shared" si="20"/>
        <v>THE GROCERY PEOPLE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77" si="21">A23</f>
        <v>5635270</v>
      </c>
      <c r="B77" s="70" t="str">
        <f t="shared" si="21"/>
        <v>THE GROCERY PEOPLE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ref="A78:B78" si="22">A24</f>
        <v>5635433</v>
      </c>
      <c r="B78" s="70" t="str">
        <f t="shared" si="22"/>
        <v>THE GROCERY PEOPLE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ref="A79:B79" si="23">A25</f>
        <v>5635914</v>
      </c>
      <c r="B79" s="70" t="str">
        <f t="shared" si="23"/>
        <v>THE GROCERY PEOPLE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ref="A80:B80" si="24">A26</f>
        <v>5635916</v>
      </c>
      <c r="B80" s="70" t="str">
        <f t="shared" si="24"/>
        <v>THE GROCERY PEOPLE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ref="A81:B81" si="25">A27</f>
        <v>5636042</v>
      </c>
      <c r="B81" s="70" t="str">
        <f t="shared" si="25"/>
        <v>THE GROCERY PEOPLE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ref="A82:B82" si="26">A28</f>
        <v>5636044</v>
      </c>
      <c r="B82" s="70" t="str">
        <f t="shared" si="26"/>
        <v>THE GROCERY PEOPLE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ref="A83:B83" si="27">A29</f>
        <v>5636045</v>
      </c>
      <c r="B83" s="70" t="str">
        <f t="shared" si="27"/>
        <v>THE GROCERY PEOPLE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ref="A84:B84" si="28">A30</f>
        <v>8242570</v>
      </c>
      <c r="B84" s="70" t="str">
        <f t="shared" si="28"/>
        <v>THE GROCERY PEOPLE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ref="A85:B85" si="29">A31</f>
        <v>8242976</v>
      </c>
      <c r="B85" s="70" t="str">
        <f t="shared" si="29"/>
        <v>THE GROCERY PEOPLE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ref="A86:B86" si="30">A32</f>
        <v>8243386</v>
      </c>
      <c r="B86" s="70" t="str">
        <f t="shared" si="30"/>
        <v>THE GROCERY PEOPLE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ref="A87:B87" si="31">A33</f>
        <v>8243603</v>
      </c>
      <c r="B87" s="70" t="str">
        <f t="shared" si="31"/>
        <v>THE GROCERY PEOPLE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ref="A88:B88" si="32">A34</f>
        <v>5632862</v>
      </c>
      <c r="B88" s="70" t="str">
        <f t="shared" si="32"/>
        <v>THE GROCERY PEOPLE</v>
      </c>
      <c r="C88" s="26">
        <v>58.64</v>
      </c>
      <c r="D88" s="26"/>
      <c r="E88" s="26"/>
      <c r="F88" s="26"/>
      <c r="G88" s="26"/>
      <c r="H88" s="26"/>
      <c r="I88" s="26"/>
      <c r="J88" s="52"/>
      <c r="K88" s="48"/>
      <c r="L88" s="2"/>
      <c r="M88" s="14" t="s">
        <v>291</v>
      </c>
    </row>
    <row r="89" spans="1:13" ht="29.25" customHeight="1" x14ac:dyDescent="0.35">
      <c r="A89" s="70" t="str">
        <f t="shared" ref="A89:B89" si="33">A35</f>
        <v>5632970</v>
      </c>
      <c r="B89" s="70" t="str">
        <f t="shared" si="33"/>
        <v>THE GROCERY PEOPLE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ref="A90:B90" si="34">A36</f>
        <v>5633158</v>
      </c>
      <c r="B90" s="70" t="str">
        <f t="shared" si="34"/>
        <v>THE GROCERY PEOPLE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ref="A91:B91" si="35">A37</f>
        <v>5633948</v>
      </c>
      <c r="B91" s="70" t="str">
        <f t="shared" si="35"/>
        <v>THE GROCERY PEOPLE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ref="A92:B92" si="36">A38</f>
        <v>5634067</v>
      </c>
      <c r="B92" s="70" t="str">
        <f t="shared" si="36"/>
        <v>THE GROCERY PEOPLE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93" si="37">A39</f>
        <v>5634483</v>
      </c>
      <c r="B93" s="70" t="str">
        <f t="shared" si="37"/>
        <v>THE GROCERY PEOPLE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ref="A94:B94" si="38">A40</f>
        <v>5635178</v>
      </c>
      <c r="B94" s="70" t="str">
        <f t="shared" si="38"/>
        <v>THE GROCERY PEOPLE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ref="A95:B95" si="39">A41</f>
        <v>5635520</v>
      </c>
      <c r="B95" s="70" t="str">
        <f t="shared" si="39"/>
        <v>THE GROCERY PEOPLE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ref="A96:B96" si="40">A42</f>
        <v>5635521</v>
      </c>
      <c r="B96" s="70" t="str">
        <f t="shared" si="40"/>
        <v>THE GROCERY PEOPLE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ref="A97:B97" si="41">A43</f>
        <v>5635709</v>
      </c>
      <c r="B97" s="70" t="str">
        <f t="shared" si="41"/>
        <v>THE GROCERY PEOPLE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ref="A98:B98" si="42">A44</f>
        <v>5635828</v>
      </c>
      <c r="B98" s="70" t="str">
        <f t="shared" si="42"/>
        <v>THE GROCERY PEOPLE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ref="A99:B99" si="43">A45</f>
        <v>5636043</v>
      </c>
      <c r="B99" s="70" t="str">
        <f t="shared" si="43"/>
        <v>THE GROCERY PEOPLE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ref="A100:B100" si="44">A46</f>
        <v>5635179</v>
      </c>
      <c r="B100" s="70" t="str">
        <f t="shared" si="44"/>
        <v>THE GROCERY PEOPLE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ref="A101:B101" si="45">A47</f>
        <v>5635603</v>
      </c>
      <c r="B101" s="70" t="str">
        <f t="shared" si="45"/>
        <v>THE GROCERY PEOPLE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ref="A102:B102" si="46">A48</f>
        <v>5636232</v>
      </c>
      <c r="B102" s="70" t="str">
        <f t="shared" si="46"/>
        <v>THE GROCERY PEOPLE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ref="A103:B103" si="47">A49</f>
        <v>5636233</v>
      </c>
      <c r="B103" s="70" t="str">
        <f t="shared" si="47"/>
        <v>THE GROCERY PEOPLE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ref="A104:B104" si="48">A50</f>
        <v>5636384</v>
      </c>
      <c r="B104" s="70" t="str">
        <f t="shared" si="48"/>
        <v>THE GROCERY PEOPLE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ref="A105:B105" si="49">A51</f>
        <v xml:space="preserve"> </v>
      </c>
      <c r="B105" s="70" t="str">
        <f t="shared" si="4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ref="A106:B106" si="50">A52</f>
        <v xml:space="preserve"> </v>
      </c>
      <c r="B106" s="70" t="str">
        <f t="shared" si="50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ref="A107:B107" si="51">A53</f>
        <v xml:space="preserve"> </v>
      </c>
      <c r="B107" s="70" t="str">
        <f t="shared" si="51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ref="A108:B108" si="52">A54</f>
        <v xml:space="preserve"> </v>
      </c>
      <c r="B108" s="70" t="str">
        <f t="shared" si="5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53">A55</f>
        <v xml:space="preserve"> </v>
      </c>
      <c r="B109" s="70" t="str">
        <f t="shared" si="53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84</v>
      </c>
      <c r="B110" s="8"/>
      <c r="C110" s="53">
        <f>SUM(C60:C109)</f>
        <v>666.9</v>
      </c>
      <c r="D110" s="53">
        <f>SUM(D60:D109)</f>
        <v>0</v>
      </c>
      <c r="E110" s="53">
        <f t="shared" ref="E110:K110" si="54">SUM(E60:E109)</f>
        <v>101.34</v>
      </c>
      <c r="F110" s="53">
        <f t="shared" si="54"/>
        <v>0</v>
      </c>
      <c r="G110" s="53">
        <f t="shared" si="54"/>
        <v>0</v>
      </c>
      <c r="H110" s="53">
        <f t="shared" si="54"/>
        <v>0</v>
      </c>
      <c r="I110" s="53">
        <f t="shared" si="54"/>
        <v>0</v>
      </c>
      <c r="J110" s="54">
        <f t="shared" si="54"/>
        <v>0</v>
      </c>
      <c r="K110" s="49">
        <f t="shared" si="54"/>
        <v>0</v>
      </c>
      <c r="L110" s="11">
        <v>0</v>
      </c>
      <c r="M110" s="14"/>
    </row>
  </sheetData>
  <hyperlinks>
    <hyperlink ref="M1" location="'Receiving Totals'!A1" display="Receiving Totals" xr:uid="{0C8D21DD-F080-415B-A7C0-8588C6895870}"/>
  </hyperlinks>
  <pageMargins left="0.7" right="0.7" top="0.75" bottom="0.75" header="0.3" footer="0.3"/>
  <pageSetup scale="29" fitToWidth="0" fitToHeight="0" orientation="landscape" horizontalDpi="4294967295" verticalDpi="4294967295" r:id="rId1"/>
  <rowBreaks count="1" manualBreakCount="1">
    <brk id="57" max="1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72EF-A63F-4AF5-8822-827607983E69}">
  <dimension ref="A1:O110"/>
  <sheetViews>
    <sheetView zoomScale="70" zoomScaleNormal="70" workbookViewId="0">
      <pane ySplit="5" topLeftCell="A6" activePane="bottomLeft" state="frozen"/>
      <selection activeCell="A6" sqref="A6"/>
      <selection pane="bottomLeft" activeCell="N14" sqref="N14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 t="s">
        <v>13</v>
      </c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14</v>
      </c>
      <c r="B4" s="64">
        <f>'Sunday WK2 (8)'!$B$4+1</f>
        <v>46202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15</v>
      </c>
      <c r="B5" s="223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311</v>
      </c>
      <c r="B6" s="68" t="s">
        <v>123</v>
      </c>
      <c r="C6" s="15">
        <f t="shared" ref="C6:C22" si="1">N6-D6-E6-F6-G6-H6-I6-J6-K6-L6-M6-D60-E60-F60-G60-H60-I60-J60-K60-L60-C60</f>
        <v>1727.85</v>
      </c>
      <c r="D6" s="15"/>
      <c r="E6" s="15"/>
      <c r="F6" s="15"/>
      <c r="G6" s="15"/>
      <c r="H6" s="15"/>
      <c r="I6" s="15"/>
      <c r="J6" s="15"/>
      <c r="K6" s="15"/>
      <c r="L6" s="15"/>
      <c r="M6" s="15">
        <v>86.39</v>
      </c>
      <c r="N6" s="55">
        <v>1814.24</v>
      </c>
    </row>
    <row r="7" spans="1:14" ht="29.25" customHeight="1" x14ac:dyDescent="0.35">
      <c r="A7" s="1" t="s">
        <v>312</v>
      </c>
      <c r="B7" s="68" t="s">
        <v>106</v>
      </c>
      <c r="C7" s="15">
        <f t="shared" si="1"/>
        <v>2747.84</v>
      </c>
      <c r="D7" s="15"/>
      <c r="E7" s="15"/>
      <c r="F7" s="15"/>
      <c r="G7" s="15"/>
      <c r="H7" s="15"/>
      <c r="I7" s="15"/>
      <c r="J7" s="15"/>
      <c r="K7" s="15"/>
      <c r="L7" s="15"/>
      <c r="M7" s="15">
        <v>121.75</v>
      </c>
      <c r="N7" s="55">
        <v>2869.59</v>
      </c>
    </row>
    <row r="8" spans="1:14" ht="29.25" customHeight="1" x14ac:dyDescent="0.35">
      <c r="A8" s="1" t="s">
        <v>313</v>
      </c>
      <c r="B8" s="68" t="s">
        <v>106</v>
      </c>
      <c r="C8" s="15">
        <f t="shared" si="1"/>
        <v>4446.0600000000004</v>
      </c>
      <c r="D8" s="15"/>
      <c r="E8" s="15"/>
      <c r="F8" s="15"/>
      <c r="G8" s="15"/>
      <c r="H8" s="15"/>
      <c r="I8" s="15"/>
      <c r="J8" s="15"/>
      <c r="K8" s="15"/>
      <c r="L8" s="15"/>
      <c r="M8" s="15">
        <v>168.45</v>
      </c>
      <c r="N8" s="55">
        <v>4614.51</v>
      </c>
    </row>
    <row r="9" spans="1:14" ht="29.25" customHeight="1" x14ac:dyDescent="0.35">
      <c r="A9" s="1" t="s">
        <v>314</v>
      </c>
      <c r="B9" s="68" t="s">
        <v>118</v>
      </c>
      <c r="C9" s="15">
        <f t="shared" si="1"/>
        <v>1062.23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>
        <v>1062.23</v>
      </c>
    </row>
    <row r="10" spans="1:14" ht="29.25" customHeight="1" x14ac:dyDescent="0.35">
      <c r="A10" s="1" t="s">
        <v>315</v>
      </c>
      <c r="B10" s="68" t="s">
        <v>118</v>
      </c>
      <c r="C10" s="15">
        <f t="shared" si="1"/>
        <v>-180.32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>
        <v>-180.32</v>
      </c>
    </row>
    <row r="11" spans="1:14" ht="29.25" customHeight="1" x14ac:dyDescent="0.35">
      <c r="A11" s="1" t="s">
        <v>316</v>
      </c>
      <c r="B11" s="68" t="s">
        <v>115</v>
      </c>
      <c r="C11" s="15">
        <f t="shared" si="1"/>
        <v>262.61</v>
      </c>
      <c r="D11" s="15"/>
      <c r="E11" s="15"/>
      <c r="F11" s="15"/>
      <c r="G11" s="15"/>
      <c r="H11" s="15"/>
      <c r="I11" s="15"/>
      <c r="J11" s="15"/>
      <c r="K11" s="15"/>
      <c r="L11" s="15"/>
      <c r="M11" s="15">
        <v>13.13</v>
      </c>
      <c r="N11" s="55">
        <v>275.74</v>
      </c>
    </row>
    <row r="12" spans="1:14" ht="29.25" customHeight="1" x14ac:dyDescent="0.35">
      <c r="A12" s="1" t="s">
        <v>317</v>
      </c>
      <c r="B12" s="68" t="s">
        <v>29</v>
      </c>
      <c r="C12" s="15">
        <f t="shared" si="1"/>
        <v>423.49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>
        <v>423.49</v>
      </c>
    </row>
    <row r="13" spans="1:14" ht="29.25" customHeight="1" x14ac:dyDescent="0.35">
      <c r="A13" s="1" t="s">
        <v>318</v>
      </c>
      <c r="B13" s="68" t="s">
        <v>160</v>
      </c>
      <c r="C13" s="15">
        <f t="shared" si="1"/>
        <v>0</v>
      </c>
      <c r="D13" s="15"/>
      <c r="E13" s="15">
        <v>2041.15</v>
      </c>
      <c r="F13" s="15"/>
      <c r="G13" s="15"/>
      <c r="H13" s="15"/>
      <c r="I13" s="15"/>
      <c r="J13" s="15"/>
      <c r="K13" s="15"/>
      <c r="L13" s="15"/>
      <c r="M13" s="15"/>
      <c r="N13" s="55">
        <v>2041.15</v>
      </c>
    </row>
    <row r="14" spans="1:14" ht="29.25" customHeight="1" x14ac:dyDescent="0.35">
      <c r="A14" s="1" t="s">
        <v>82</v>
      </c>
      <c r="B14" s="68" t="s">
        <v>82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82</v>
      </c>
      <c r="B15" s="68" t="s">
        <v>82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82</v>
      </c>
      <c r="B16" s="68" t="s">
        <v>82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82</v>
      </c>
      <c r="B17" s="68" t="s">
        <v>82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ref="C23" si="2">N23-D23-E23-F23-G23-H23-I23-J23-K23-L23-M23-D77-E77-F77-G77-H77-I77-J77-K77-L77-C77</f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ref="C24" si="3">N24-D24-E24-F24-G24-H24-I24-J24-K24-L24-M24-D78-E78-F78-G78-H78-I78-J78-K78-L78-C78</f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ref="C25:C35" si="4">N25-D25-E25-F25-G25-H25-I25-J25-K25-L25-M25-D79-E79-F79-G79-H79-I79-J79-K79-L79-C79</f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4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4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4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4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4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4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4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4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4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ref="C36:C51" si="5">N36-D36-E36-F36-G36-H36-I36-J36-K36-L36-M36-D90-E90-F90-G90-H90-I90-J90-K90-L90-C90</f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5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5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5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5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5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5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82</v>
      </c>
      <c r="B49" s="68" t="s">
        <v>82</v>
      </c>
      <c r="C49" s="15">
        <f t="shared" si="5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82</v>
      </c>
      <c r="B50" s="68" t="s">
        <v>82</v>
      </c>
      <c r="C50" s="15">
        <f t="shared" si="5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82</v>
      </c>
      <c r="B51" s="68" t="s">
        <v>82</v>
      </c>
      <c r="C51" s="15">
        <f t="shared" si="5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82</v>
      </c>
      <c r="B52" s="68" t="s">
        <v>82</v>
      </c>
      <c r="C52" s="15">
        <f t="shared" ref="C52:C54" si="6">N52-D52-E52-F52-G52-H52-I52-J52-K52-L52-M52-D106-E106-F106-G106-H106-I106-J106-K106-L106-C106</f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82</v>
      </c>
      <c r="B53" s="68" t="s">
        <v>82</v>
      </c>
      <c r="C53" s="15">
        <f t="shared" si="6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82</v>
      </c>
      <c r="B54" s="68" t="s">
        <v>82</v>
      </c>
      <c r="C54" s="15">
        <f t="shared" si="6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82</v>
      </c>
      <c r="B55" s="68" t="s">
        <v>82</v>
      </c>
      <c r="C55" s="15">
        <f t="shared" ref="C55" si="7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x14ac:dyDescent="0.35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8">F3</f>
        <v>0</v>
      </c>
      <c r="G56" s="16">
        <f t="shared" si="8"/>
        <v>0</v>
      </c>
      <c r="H56" s="16">
        <f t="shared" si="8"/>
        <v>0</v>
      </c>
      <c r="I56" s="16">
        <f t="shared" si="8"/>
        <v>0</v>
      </c>
      <c r="J56" s="16">
        <f t="shared" si="8"/>
        <v>0</v>
      </c>
      <c r="K56" s="16">
        <f t="shared" si="8"/>
        <v>0</v>
      </c>
      <c r="L56" s="16">
        <f t="shared" si="8"/>
        <v>0</v>
      </c>
      <c r="M56" s="16"/>
      <c r="N56" s="60">
        <f>SUM(C56:M56)+SUM(C118:J118)</f>
        <v>0</v>
      </c>
    </row>
    <row r="57" spans="1:14" ht="29.25" customHeight="1" x14ac:dyDescent="0.4">
      <c r="A57" s="24" t="s">
        <v>84</v>
      </c>
      <c r="B57" s="10"/>
      <c r="C57" s="61">
        <f>SUM(C6:C56)</f>
        <v>10489.76</v>
      </c>
      <c r="D57" s="61">
        <f t="shared" ref="D57:M57" si="9">SUM(D6:D56)</f>
        <v>0</v>
      </c>
      <c r="E57" s="61">
        <f t="shared" si="9"/>
        <v>2041.15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0</v>
      </c>
      <c r="J57" s="61">
        <f t="shared" si="9"/>
        <v>0</v>
      </c>
      <c r="K57" s="61">
        <f t="shared" si="9"/>
        <v>0</v>
      </c>
      <c r="L57" s="61">
        <f t="shared" si="9"/>
        <v>0</v>
      </c>
      <c r="M57" s="61">
        <f t="shared" si="9"/>
        <v>389.71999999999997</v>
      </c>
      <c r="N57" s="61">
        <f>SUM(N6:N56)</f>
        <v>12920.63</v>
      </c>
    </row>
    <row r="58" spans="1:14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 x14ac:dyDescent="0.35">
      <c r="A59" s="6" t="s">
        <v>15</v>
      </c>
      <c r="B59" s="224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4" ht="29.25" customHeight="1" x14ac:dyDescent="0.35">
      <c r="A60" s="70" t="str">
        <f>A6</f>
        <v>92578138</v>
      </c>
      <c r="B60" s="9" t="str">
        <f>B6</f>
        <v>FRITO LAY CANADA VENDING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61" si="10">A7</f>
        <v>54132304</v>
      </c>
      <c r="B61" s="9" t="str">
        <f t="shared" si="10"/>
        <v>PEPSICO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ref="A62:B62" si="11">A8</f>
        <v>54132303</v>
      </c>
      <c r="B62" s="9" t="str">
        <f t="shared" si="11"/>
        <v>PEPSICO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ref="A63:B63" si="12">A9</f>
        <v>226650718099</v>
      </c>
      <c r="B63" s="9" t="str">
        <f t="shared" si="12"/>
        <v>CANADA BREAD COMPANY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ref="A64:B64" si="13">A10</f>
        <v>226650718001</v>
      </c>
      <c r="B64" s="9" t="str">
        <f t="shared" si="13"/>
        <v>CANADA BREAD COMPANY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ref="A65:B65" si="14">A11</f>
        <v>82849805</v>
      </c>
      <c r="B65" s="9" t="str">
        <f t="shared" si="14"/>
        <v>OLD DUTCH FOODS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ref="A66:B66" si="15">A12</f>
        <v>126480</v>
      </c>
      <c r="B66" s="9" t="str">
        <f t="shared" si="15"/>
        <v>ITALIAN BAKERY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ref="A67:B67" si="16">A13</f>
        <v>INV26-04514</v>
      </c>
      <c r="B67" s="9" t="str">
        <f t="shared" si="16"/>
        <v>CAPITAL FINE MEATS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ref="A68:B68" si="17">A14</f>
        <v xml:space="preserve"> </v>
      </c>
      <c r="B68" s="9" t="str">
        <f t="shared" si="17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ref="A69:B69" si="18">A15</f>
        <v xml:space="preserve"> </v>
      </c>
      <c r="B69" s="9" t="str">
        <f t="shared" si="18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ref="A70:B70" si="19">A16</f>
        <v xml:space="preserve"> </v>
      </c>
      <c r="B70" s="9" t="str">
        <f t="shared" si="19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ref="A71:B71" si="20">A17</f>
        <v xml:space="preserve"> </v>
      </c>
      <c r="B71" s="9" t="str">
        <f t="shared" si="20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ref="A72:B72" si="21">A18</f>
        <v xml:space="preserve"> </v>
      </c>
      <c r="B72" s="9" t="str">
        <f t="shared" si="21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ref="A73:B73" si="22">A19</f>
        <v xml:space="preserve"> </v>
      </c>
      <c r="B73" s="9" t="str">
        <f t="shared" si="22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ref="A74:B74" si="23">A20</f>
        <v xml:space="preserve"> </v>
      </c>
      <c r="B74" s="9" t="str">
        <f t="shared" si="23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ref="A75:B75" si="24">A21</f>
        <v xml:space="preserve"> </v>
      </c>
      <c r="B75" s="9" t="str">
        <f t="shared" si="24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ref="A76:B76" si="25">A22</f>
        <v xml:space="preserve"> </v>
      </c>
      <c r="B76" s="9" t="str">
        <f t="shared" si="25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77" si="26">A23</f>
        <v xml:space="preserve"> </v>
      </c>
      <c r="B77" s="9" t="str">
        <f t="shared" si="26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ref="A78:B78" si="27">A24</f>
        <v xml:space="preserve"> </v>
      </c>
      <c r="B78" s="9" t="str">
        <f t="shared" si="27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ref="A79:B79" si="28">A25</f>
        <v xml:space="preserve"> </v>
      </c>
      <c r="B79" s="9" t="str">
        <f t="shared" si="28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ref="A80:B80" si="29">A26</f>
        <v xml:space="preserve"> </v>
      </c>
      <c r="B80" s="9" t="str">
        <f t="shared" si="29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ref="A81:B81" si="30">A27</f>
        <v xml:space="preserve"> </v>
      </c>
      <c r="B81" s="9" t="str">
        <f t="shared" si="30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ref="A82:B82" si="31">A28</f>
        <v xml:space="preserve"> </v>
      </c>
      <c r="B82" s="9" t="str">
        <f t="shared" si="3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ref="A83:B83" si="32">A29</f>
        <v xml:space="preserve"> </v>
      </c>
      <c r="B83" s="9" t="str">
        <f t="shared" si="32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ref="A84:B84" si="33">A30</f>
        <v xml:space="preserve"> </v>
      </c>
      <c r="B84" s="9" t="str">
        <f t="shared" si="33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ref="A85:B85" si="34">A31</f>
        <v xml:space="preserve"> </v>
      </c>
      <c r="B85" s="9" t="str">
        <f t="shared" si="34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ref="A86:B86" si="35">A32</f>
        <v xml:space="preserve"> </v>
      </c>
      <c r="B86" s="9" t="str">
        <f t="shared" si="35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ref="A87:B87" si="36">A33</f>
        <v xml:space="preserve"> </v>
      </c>
      <c r="B87" s="9" t="str">
        <f t="shared" si="36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ref="A88:B88" si="37">A34</f>
        <v xml:space="preserve"> </v>
      </c>
      <c r="B88" s="9" t="str">
        <f t="shared" si="37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ref="A89:B89" si="38">A35</f>
        <v xml:space="preserve"> </v>
      </c>
      <c r="B89" s="9" t="str">
        <f t="shared" si="38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ref="A90:B90" si="39">A36</f>
        <v xml:space="preserve"> </v>
      </c>
      <c r="B90" s="9" t="str">
        <f t="shared" si="39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ref="A91:B91" si="40">A37</f>
        <v xml:space="preserve"> </v>
      </c>
      <c r="B91" s="9" t="str">
        <f t="shared" si="40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ref="A92:B92" si="41">A38</f>
        <v xml:space="preserve"> </v>
      </c>
      <c r="B92" s="9" t="str">
        <f t="shared" si="4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93" si="42">A39</f>
        <v xml:space="preserve"> </v>
      </c>
      <c r="B93" s="9" t="str">
        <f t="shared" si="42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ref="A94:B94" si="43">A40</f>
        <v xml:space="preserve"> </v>
      </c>
      <c r="B94" s="9" t="str">
        <f t="shared" si="43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ref="A95:B95" si="44">A41</f>
        <v xml:space="preserve"> </v>
      </c>
      <c r="B95" s="9" t="str">
        <f t="shared" si="44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ref="A96:B96" si="45">A42</f>
        <v xml:space="preserve"> </v>
      </c>
      <c r="B96" s="9" t="str">
        <f t="shared" si="45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ref="A97:B97" si="46">A43</f>
        <v xml:space="preserve"> </v>
      </c>
      <c r="B97" s="9" t="str">
        <f t="shared" si="46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ref="A98:B98" si="47">A44</f>
        <v xml:space="preserve"> </v>
      </c>
      <c r="B98" s="9" t="str">
        <f t="shared" si="47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ref="A99:B99" si="48">A45</f>
        <v xml:space="preserve"> </v>
      </c>
      <c r="B99" s="9" t="str">
        <f t="shared" si="48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ref="A100:B100" si="49">A46</f>
        <v xml:space="preserve"> </v>
      </c>
      <c r="B100" s="9" t="str">
        <f t="shared" si="49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ref="A101:B101" si="50">A47</f>
        <v xml:space="preserve"> </v>
      </c>
      <c r="B101" s="9" t="str">
        <f t="shared" si="50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ref="A102:B102" si="51">A48</f>
        <v xml:space="preserve"> </v>
      </c>
      <c r="B102" s="9" t="str">
        <f t="shared" si="51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ref="A103:B103" si="52">A49</f>
        <v xml:space="preserve"> </v>
      </c>
      <c r="B103" s="9" t="str">
        <f t="shared" si="5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ref="A104:B104" si="53">A50</f>
        <v xml:space="preserve"> </v>
      </c>
      <c r="B104" s="9" t="str">
        <f t="shared" si="53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ref="A105:B105" si="54">A51</f>
        <v xml:space="preserve"> </v>
      </c>
      <c r="B105" s="9" t="str">
        <f t="shared" si="54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ref="A106:B106" si="55">A52</f>
        <v xml:space="preserve"> </v>
      </c>
      <c r="B106" s="9" t="str">
        <f t="shared" si="55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ref="A107:B107" si="56">A53</f>
        <v xml:space="preserve"> </v>
      </c>
      <c r="B107" s="9" t="str">
        <f t="shared" si="56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ref="A108:B108" si="57">A54</f>
        <v xml:space="preserve"> </v>
      </c>
      <c r="B108" s="9" t="str">
        <f t="shared" si="57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58">A55</f>
        <v xml:space="preserve"> </v>
      </c>
      <c r="B109" s="9" t="str">
        <f t="shared" si="58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59">SUM(E60:E109)</f>
        <v>0</v>
      </c>
      <c r="F110" s="53">
        <f t="shared" si="59"/>
        <v>0</v>
      </c>
      <c r="G110" s="53">
        <f t="shared" si="59"/>
        <v>0</v>
      </c>
      <c r="H110" s="53">
        <f t="shared" si="59"/>
        <v>0</v>
      </c>
      <c r="I110" s="53">
        <f t="shared" si="59"/>
        <v>0</v>
      </c>
      <c r="J110" s="54">
        <f t="shared" si="59"/>
        <v>0</v>
      </c>
      <c r="K110" s="49">
        <f t="shared" si="59"/>
        <v>0</v>
      </c>
      <c r="L110" s="11">
        <v>0</v>
      </c>
      <c r="M110" s="14"/>
    </row>
  </sheetData>
  <hyperlinks>
    <hyperlink ref="M1" location="'Receiving Totals'!A1" display="Receiving Totals" xr:uid="{1DDBC1AE-745A-4F99-BA33-F1F4D493289D}"/>
  </hyperlinks>
  <pageMargins left="0.7" right="0.7" top="0.75" bottom="0.75" header="0.3" footer="0.3"/>
  <pageSetup scale="30" fitToWidth="0" fitToHeight="0" orientation="landscape" horizontalDpi="300" verticalDpi="300" r:id="rId1"/>
  <rowBreaks count="1" manualBreakCount="1">
    <brk id="57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78EC-1AE1-4ACC-A0BF-20F909BA54D8}">
  <dimension ref="A1:O110"/>
  <sheetViews>
    <sheetView zoomScale="60" zoomScaleNormal="60" workbookViewId="0">
      <pane ySplit="5" topLeftCell="A31" activePane="bottomLeft" state="frozen"/>
      <selection activeCell="A6" sqref="A6"/>
      <selection pane="bottomLeft" activeCell="M46" sqref="M4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 t="s">
        <v>13</v>
      </c>
      <c r="C3" s="22">
        <f>C2*$N$3</f>
        <v>197.46657999999999</v>
      </c>
      <c r="D3" s="22"/>
      <c r="E3" s="22">
        <f t="shared" ref="E3:L3" si="0">E2*$N$3</f>
        <v>40.897890000000004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65.684489999999997</v>
      </c>
      <c r="J3" s="22">
        <f t="shared" si="0"/>
        <v>50.399419999999999</v>
      </c>
      <c r="K3" s="22">
        <f t="shared" si="0"/>
        <v>58.661619999999999</v>
      </c>
      <c r="L3" s="22">
        <f t="shared" si="0"/>
        <v>0</v>
      </c>
      <c r="M3" s="22"/>
      <c r="N3" s="23">
        <v>413.11</v>
      </c>
    </row>
    <row r="4" spans="1:14" ht="21" customHeight="1" x14ac:dyDescent="0.35">
      <c r="A4" s="63" t="s">
        <v>14</v>
      </c>
      <c r="B4" s="64">
        <f>'Monday WK2 (9)'!$B$4+1</f>
        <v>46203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319</v>
      </c>
      <c r="B6" s="68" t="s">
        <v>108</v>
      </c>
      <c r="C6" s="15">
        <f t="shared" ref="C6:C40" si="1">N6-D6-E6-F6-G6-H6-I6-J6-K6-L6-M6-D60-E60-F60-G60-H60-I60-J60-K60-L60-C60</f>
        <v>95.52</v>
      </c>
      <c r="D6" s="15"/>
      <c r="E6" s="15"/>
      <c r="F6" s="15"/>
      <c r="G6" s="15"/>
      <c r="H6" s="15"/>
      <c r="I6" s="15"/>
      <c r="J6" s="15"/>
      <c r="K6" s="15"/>
      <c r="L6" s="15"/>
      <c r="M6" s="15">
        <v>4.78</v>
      </c>
      <c r="N6" s="55">
        <v>100.3</v>
      </c>
    </row>
    <row r="7" spans="1:14" ht="29.25" customHeight="1" x14ac:dyDescent="0.35">
      <c r="A7" s="1" t="s">
        <v>320</v>
      </c>
      <c r="B7" s="68" t="s">
        <v>31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>
        <v>2066.77</v>
      </c>
      <c r="L7" s="15"/>
      <c r="M7" s="15">
        <v>0.5</v>
      </c>
      <c r="N7" s="55">
        <v>2067.27</v>
      </c>
    </row>
    <row r="8" spans="1:14" ht="29.25" customHeight="1" x14ac:dyDescent="0.35">
      <c r="A8" s="1" t="s">
        <v>321</v>
      </c>
      <c r="B8" s="68" t="s">
        <v>31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>
        <v>81.290000000000006</v>
      </c>
      <c r="L8" s="15"/>
      <c r="M8" s="15"/>
      <c r="N8" s="55">
        <v>81.290000000000006</v>
      </c>
    </row>
    <row r="9" spans="1:14" ht="29.25" customHeight="1" x14ac:dyDescent="0.35">
      <c r="A9" s="1" t="s">
        <v>322</v>
      </c>
      <c r="B9" s="68" t="s">
        <v>39</v>
      </c>
      <c r="C9" s="15">
        <f t="shared" si="1"/>
        <v>256.14999999999998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>
        <v>256.14999999999998</v>
      </c>
    </row>
    <row r="10" spans="1:14" ht="29.25" customHeight="1" x14ac:dyDescent="0.35">
      <c r="A10" s="1" t="s">
        <v>323</v>
      </c>
      <c r="B10" s="68" t="s">
        <v>39</v>
      </c>
      <c r="C10" s="15">
        <f t="shared" si="1"/>
        <v>1355.42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>
        <v>1355.42</v>
      </c>
    </row>
    <row r="11" spans="1:14" ht="29.25" customHeight="1" x14ac:dyDescent="0.35">
      <c r="A11" s="1" t="s">
        <v>324</v>
      </c>
      <c r="B11" s="68" t="s">
        <v>39</v>
      </c>
      <c r="C11" s="15">
        <f t="shared" si="1"/>
        <v>37.32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>
        <v>37.32</v>
      </c>
    </row>
    <row r="12" spans="1:14" ht="29.25" customHeight="1" x14ac:dyDescent="0.35">
      <c r="A12" s="1" t="s">
        <v>325</v>
      </c>
      <c r="B12" s="68" t="s">
        <v>39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>
        <v>142.13</v>
      </c>
      <c r="L12" s="15"/>
      <c r="M12" s="15"/>
      <c r="N12" s="55">
        <v>142.13</v>
      </c>
    </row>
    <row r="13" spans="1:14" ht="29.25" customHeight="1" x14ac:dyDescent="0.35">
      <c r="A13" s="1" t="s">
        <v>326</v>
      </c>
      <c r="B13" s="68" t="s">
        <v>39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>
        <v>18.47</v>
      </c>
      <c r="L13" s="15"/>
      <c r="M13" s="15"/>
      <c r="N13" s="55">
        <v>18.47</v>
      </c>
    </row>
    <row r="14" spans="1:14" ht="29.25" customHeight="1" x14ac:dyDescent="0.35">
      <c r="A14" s="1" t="s">
        <v>327</v>
      </c>
      <c r="B14" s="68" t="s">
        <v>39</v>
      </c>
      <c r="C14" s="15">
        <f t="shared" si="1"/>
        <v>0</v>
      </c>
      <c r="D14" s="15"/>
      <c r="E14" s="15">
        <v>119.66</v>
      </c>
      <c r="F14" s="15"/>
      <c r="G14" s="15"/>
      <c r="H14" s="15"/>
      <c r="I14" s="15"/>
      <c r="J14" s="15"/>
      <c r="K14" s="15"/>
      <c r="L14" s="15"/>
      <c r="M14" s="15"/>
      <c r="N14" s="55">
        <v>119.66</v>
      </c>
    </row>
    <row r="15" spans="1:14" ht="29.25" customHeight="1" x14ac:dyDescent="0.35">
      <c r="A15" s="1" t="s">
        <v>328</v>
      </c>
      <c r="B15" s="68" t="s">
        <v>39</v>
      </c>
      <c r="C15" s="15">
        <f t="shared" si="1"/>
        <v>67.34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>
        <v>67.34</v>
      </c>
    </row>
    <row r="16" spans="1:14" ht="29.25" customHeight="1" x14ac:dyDescent="0.35">
      <c r="A16" s="1" t="s">
        <v>329</v>
      </c>
      <c r="B16" s="68" t="s">
        <v>39</v>
      </c>
      <c r="C16" s="15">
        <f t="shared" si="1"/>
        <v>918.9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>
        <v>918.9</v>
      </c>
    </row>
    <row r="17" spans="1:14" ht="29.25" customHeight="1" x14ac:dyDescent="0.35">
      <c r="A17" s="1" t="s">
        <v>330</v>
      </c>
      <c r="B17" s="68" t="s">
        <v>39</v>
      </c>
      <c r="C17" s="15">
        <f t="shared" si="1"/>
        <v>309.93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>
        <v>309.93</v>
      </c>
    </row>
    <row r="18" spans="1:14" ht="29.25" customHeight="1" x14ac:dyDescent="0.35">
      <c r="A18" s="1" t="s">
        <v>331</v>
      </c>
      <c r="B18" s="68" t="s">
        <v>39</v>
      </c>
      <c r="C18" s="15">
        <f t="shared" si="1"/>
        <v>603.08000000000004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>
        <v>603.08000000000004</v>
      </c>
    </row>
    <row r="19" spans="1:14" ht="29.25" customHeight="1" x14ac:dyDescent="0.35">
      <c r="A19" s="1" t="s">
        <v>332</v>
      </c>
      <c r="B19" s="68" t="s">
        <v>39</v>
      </c>
      <c r="C19" s="15">
        <f t="shared" si="1"/>
        <v>10914.84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>
        <v>10914.84</v>
      </c>
    </row>
    <row r="20" spans="1:14" ht="29.25" customHeight="1" x14ac:dyDescent="0.35">
      <c r="A20" s="1" t="s">
        <v>333</v>
      </c>
      <c r="B20" s="68" t="s">
        <v>39</v>
      </c>
      <c r="C20" s="15">
        <f t="shared" si="1"/>
        <v>1858.34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>
        <v>1858.34</v>
      </c>
    </row>
    <row r="21" spans="1:14" ht="29.25" customHeight="1" x14ac:dyDescent="0.35">
      <c r="A21" s="1" t="s">
        <v>334</v>
      </c>
      <c r="B21" s="68" t="s">
        <v>39</v>
      </c>
      <c r="C21" s="15">
        <f t="shared" si="1"/>
        <v>56.260000000000218</v>
      </c>
      <c r="D21" s="15"/>
      <c r="E21" s="15"/>
      <c r="F21" s="15"/>
      <c r="G21" s="15"/>
      <c r="H21" s="15"/>
      <c r="I21" s="15"/>
      <c r="J21" s="15"/>
      <c r="K21" s="15">
        <v>2196.62</v>
      </c>
      <c r="L21" s="15"/>
      <c r="M21" s="15"/>
      <c r="N21" s="55">
        <v>2252.88</v>
      </c>
    </row>
    <row r="22" spans="1:14" ht="29.25" customHeight="1" x14ac:dyDescent="0.35">
      <c r="A22" s="1" t="s">
        <v>335</v>
      </c>
      <c r="B22" s="68" t="s">
        <v>39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>
        <v>678.96</v>
      </c>
      <c r="L22" s="15"/>
      <c r="M22" s="15"/>
      <c r="N22" s="55">
        <v>678.96</v>
      </c>
    </row>
    <row r="23" spans="1:14" ht="29.25" customHeight="1" x14ac:dyDescent="0.35">
      <c r="A23" s="1" t="s">
        <v>336</v>
      </c>
      <c r="B23" s="68" t="s">
        <v>39</v>
      </c>
      <c r="C23" s="15">
        <f t="shared" si="1"/>
        <v>294.7199999999998</v>
      </c>
      <c r="D23" s="15"/>
      <c r="E23" s="15">
        <v>2634.67</v>
      </c>
      <c r="F23" s="15"/>
      <c r="G23" s="15"/>
      <c r="H23" s="15"/>
      <c r="I23" s="15"/>
      <c r="J23" s="15"/>
      <c r="K23" s="15"/>
      <c r="L23" s="15"/>
      <c r="M23" s="15"/>
      <c r="N23" s="55">
        <v>2929.39</v>
      </c>
    </row>
    <row r="24" spans="1:14" ht="29.25" customHeight="1" x14ac:dyDescent="0.35">
      <c r="A24" s="1" t="s">
        <v>337</v>
      </c>
      <c r="B24" s="68" t="s">
        <v>39</v>
      </c>
      <c r="C24" s="15">
        <f t="shared" si="1"/>
        <v>250.38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>
        <v>250.38</v>
      </c>
    </row>
    <row r="25" spans="1:14" ht="29.25" customHeight="1" x14ac:dyDescent="0.35">
      <c r="A25" s="1" t="s">
        <v>338</v>
      </c>
      <c r="B25" s="68" t="s">
        <v>39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>
        <v>2354.2399999999998</v>
      </c>
      <c r="L25" s="15"/>
      <c r="M25" s="15"/>
      <c r="N25" s="55">
        <v>2354.2399999999998</v>
      </c>
    </row>
    <row r="26" spans="1:14" ht="29.25" customHeight="1" x14ac:dyDescent="0.35">
      <c r="A26" s="1" t="s">
        <v>339</v>
      </c>
      <c r="B26" s="68" t="s">
        <v>39</v>
      </c>
      <c r="C26" s="15">
        <f t="shared" si="1"/>
        <v>175.35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>
        <v>175.35</v>
      </c>
    </row>
    <row r="27" spans="1:14" ht="29.25" customHeight="1" x14ac:dyDescent="0.35">
      <c r="A27" s="1" t="s">
        <v>340</v>
      </c>
      <c r="B27" s="68" t="s">
        <v>39</v>
      </c>
      <c r="C27" s="15">
        <f t="shared" si="1"/>
        <v>19618.78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>
        <v>19618.78</v>
      </c>
    </row>
    <row r="28" spans="1:14" ht="29.25" customHeight="1" x14ac:dyDescent="0.35">
      <c r="A28" s="1" t="s">
        <v>341</v>
      </c>
      <c r="B28" s="68" t="s">
        <v>39</v>
      </c>
      <c r="C28" s="15">
        <f t="shared" si="1"/>
        <v>208.1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>
        <v>208.1</v>
      </c>
    </row>
    <row r="29" spans="1:14" ht="29.25" customHeight="1" x14ac:dyDescent="0.35">
      <c r="A29" s="1" t="s">
        <v>342</v>
      </c>
      <c r="B29" s="68" t="s">
        <v>39</v>
      </c>
      <c r="C29" s="15">
        <f t="shared" si="1"/>
        <v>49.44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>
        <v>49.44</v>
      </c>
    </row>
    <row r="30" spans="1:14" ht="29.25" customHeight="1" x14ac:dyDescent="0.35">
      <c r="A30" s="1" t="s">
        <v>343</v>
      </c>
      <c r="B30" s="68" t="s">
        <v>39</v>
      </c>
      <c r="C30" s="15">
        <f t="shared" si="1"/>
        <v>0</v>
      </c>
      <c r="D30" s="15"/>
      <c r="E30" s="15"/>
      <c r="F30" s="15"/>
      <c r="G30" s="15"/>
      <c r="H30" s="15"/>
      <c r="I30" s="15">
        <v>91.9</v>
      </c>
      <c r="J30" s="15"/>
      <c r="K30" s="15"/>
      <c r="L30" s="15"/>
      <c r="M30" s="15"/>
      <c r="N30" s="55">
        <v>91.9</v>
      </c>
    </row>
    <row r="31" spans="1:14" ht="29.25" customHeight="1" x14ac:dyDescent="0.35">
      <c r="A31" s="1" t="s">
        <v>344</v>
      </c>
      <c r="B31" s="68" t="s">
        <v>39</v>
      </c>
      <c r="C31" s="15">
        <f t="shared" si="1"/>
        <v>0</v>
      </c>
      <c r="D31" s="15"/>
      <c r="E31" s="15"/>
      <c r="F31" s="15"/>
      <c r="G31" s="15"/>
      <c r="H31" s="15"/>
      <c r="I31" s="15">
        <v>554.27</v>
      </c>
      <c r="J31" s="15"/>
      <c r="K31" s="15"/>
      <c r="L31" s="15"/>
      <c r="M31" s="15"/>
      <c r="N31" s="55">
        <v>554.27</v>
      </c>
    </row>
    <row r="32" spans="1:14" ht="29.25" customHeight="1" x14ac:dyDescent="0.35">
      <c r="A32" s="1" t="s">
        <v>345</v>
      </c>
      <c r="B32" s="68" t="s">
        <v>39</v>
      </c>
      <c r="C32" s="15">
        <f t="shared" si="1"/>
        <v>0</v>
      </c>
      <c r="D32" s="15"/>
      <c r="E32" s="15"/>
      <c r="F32" s="15"/>
      <c r="G32" s="15"/>
      <c r="H32" s="15"/>
      <c r="I32" s="15">
        <v>4267.34</v>
      </c>
      <c r="J32" s="15"/>
      <c r="K32" s="15"/>
      <c r="L32" s="15"/>
      <c r="M32" s="15"/>
      <c r="N32" s="55">
        <v>4267.34</v>
      </c>
    </row>
    <row r="33" spans="1:15" ht="29.25" customHeight="1" x14ac:dyDescent="0.35">
      <c r="A33" s="1" t="s">
        <v>346</v>
      </c>
      <c r="B33" s="68" t="s">
        <v>39</v>
      </c>
      <c r="C33" s="15">
        <f t="shared" si="1"/>
        <v>0</v>
      </c>
      <c r="D33" s="15"/>
      <c r="E33" s="15"/>
      <c r="F33" s="15"/>
      <c r="G33" s="15"/>
      <c r="H33" s="15"/>
      <c r="I33" s="15">
        <v>544.86</v>
      </c>
      <c r="J33" s="15"/>
      <c r="K33" s="15"/>
      <c r="L33" s="15"/>
      <c r="M33" s="15"/>
      <c r="N33" s="55">
        <v>544.86</v>
      </c>
    </row>
    <row r="34" spans="1:15" ht="29.25" customHeight="1" x14ac:dyDescent="0.35">
      <c r="A34" s="1" t="s">
        <v>347</v>
      </c>
      <c r="B34" s="68" t="s">
        <v>77</v>
      </c>
      <c r="C34" s="15">
        <f t="shared" si="1"/>
        <v>74.28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>
        <v>74.28</v>
      </c>
    </row>
    <row r="35" spans="1:15" ht="29.25" customHeight="1" x14ac:dyDescent="0.35">
      <c r="A35" s="1" t="s">
        <v>348</v>
      </c>
      <c r="B35" s="68" t="s">
        <v>77</v>
      </c>
      <c r="C35" s="15">
        <f t="shared" si="1"/>
        <v>102.96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>
        <v>102.96</v>
      </c>
    </row>
    <row r="36" spans="1:15" ht="29.25" customHeight="1" x14ac:dyDescent="0.35">
      <c r="A36" s="1" t="s">
        <v>349</v>
      </c>
      <c r="B36" s="68" t="s">
        <v>77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>
        <v>44.69</v>
      </c>
      <c r="O36" s="148" t="s">
        <v>350</v>
      </c>
    </row>
    <row r="37" spans="1:15" ht="29.25" customHeight="1" x14ac:dyDescent="0.35">
      <c r="A37" s="1" t="s">
        <v>351</v>
      </c>
      <c r="B37" s="68" t="s">
        <v>158</v>
      </c>
      <c r="C37" s="15">
        <f t="shared" si="1"/>
        <v>180</v>
      </c>
      <c r="D37" s="15"/>
      <c r="E37" s="15"/>
      <c r="F37" s="15"/>
      <c r="G37" s="15"/>
      <c r="H37" s="15"/>
      <c r="I37" s="15"/>
      <c r="J37" s="15"/>
      <c r="K37" s="15"/>
      <c r="L37" s="15"/>
      <c r="M37" s="15">
        <v>0.75</v>
      </c>
      <c r="N37" s="55">
        <v>180.75</v>
      </c>
    </row>
    <row r="38" spans="1:15" ht="29.25" customHeight="1" x14ac:dyDescent="0.35">
      <c r="A38" s="1" t="s">
        <v>352</v>
      </c>
      <c r="B38" s="68" t="s">
        <v>104</v>
      </c>
      <c r="C38" s="15">
        <f t="shared" si="1"/>
        <v>5865.9</v>
      </c>
      <c r="D38" s="15"/>
      <c r="E38" s="15"/>
      <c r="F38" s="15"/>
      <c r="G38" s="15"/>
      <c r="H38" s="15"/>
      <c r="I38" s="15"/>
      <c r="J38" s="15"/>
      <c r="K38" s="15"/>
      <c r="L38" s="15"/>
      <c r="M38" s="15">
        <v>240.04</v>
      </c>
      <c r="N38" s="55">
        <v>6105.94</v>
      </c>
    </row>
    <row r="39" spans="1:15" ht="29.25" customHeight="1" x14ac:dyDescent="0.35">
      <c r="A39" s="1" t="s">
        <v>353</v>
      </c>
      <c r="B39" s="68" t="s">
        <v>104</v>
      </c>
      <c r="C39" s="15">
        <f t="shared" si="1"/>
        <v>487.52</v>
      </c>
      <c r="D39" s="15"/>
      <c r="E39" s="15"/>
      <c r="F39" s="15"/>
      <c r="G39" s="15"/>
      <c r="H39" s="15"/>
      <c r="I39" s="15"/>
      <c r="J39" s="15"/>
      <c r="K39" s="15"/>
      <c r="L39" s="15"/>
      <c r="M39" s="15">
        <v>22.19</v>
      </c>
      <c r="N39" s="55">
        <v>509.71</v>
      </c>
    </row>
    <row r="40" spans="1:15" ht="29.25" customHeight="1" x14ac:dyDescent="0.35">
      <c r="A40" s="1" t="s">
        <v>354</v>
      </c>
      <c r="B40" s="68" t="s">
        <v>162</v>
      </c>
      <c r="C40" s="15">
        <f t="shared" si="1"/>
        <v>580.75</v>
      </c>
      <c r="D40" s="15"/>
      <c r="E40" s="15"/>
      <c r="F40" s="15"/>
      <c r="G40" s="15"/>
      <c r="H40" s="15"/>
      <c r="I40" s="15"/>
      <c r="J40" s="15"/>
      <c r="K40" s="15"/>
      <c r="L40" s="15"/>
      <c r="M40" s="15">
        <v>26.29</v>
      </c>
      <c r="N40" s="55">
        <v>607.04</v>
      </c>
    </row>
    <row r="41" spans="1:15" ht="29.25" customHeight="1" x14ac:dyDescent="0.35">
      <c r="A41" s="1" t="s">
        <v>355</v>
      </c>
      <c r="B41" s="68" t="s">
        <v>162</v>
      </c>
      <c r="C41" s="15">
        <f t="shared" ref="C41:C54" si="2">N41-D41-E41-F41-G41-H41-I41-J41-K41-L41-M41-D95-E95-F95-G95-H95-I95-J95-K95-L95-C95</f>
        <v>-48.56</v>
      </c>
      <c r="D41" s="15"/>
      <c r="E41" s="15"/>
      <c r="F41" s="15"/>
      <c r="G41" s="15"/>
      <c r="H41" s="15"/>
      <c r="I41" s="15"/>
      <c r="J41" s="15"/>
      <c r="K41" s="15"/>
      <c r="L41" s="15"/>
      <c r="M41" s="15">
        <v>-2.4300000000000002</v>
      </c>
      <c r="N41" s="55">
        <v>-50.99</v>
      </c>
    </row>
    <row r="42" spans="1:15" ht="29.25" customHeight="1" x14ac:dyDescent="0.35">
      <c r="A42" s="1" t="s">
        <v>356</v>
      </c>
      <c r="B42" s="68" t="s">
        <v>357</v>
      </c>
      <c r="C42" s="15">
        <f t="shared" si="2"/>
        <v>4040.0599999999995</v>
      </c>
      <c r="D42" s="15"/>
      <c r="E42" s="15"/>
      <c r="F42" s="15"/>
      <c r="G42" s="15"/>
      <c r="H42" s="15"/>
      <c r="I42" s="15"/>
      <c r="J42" s="15"/>
      <c r="K42" s="15"/>
      <c r="L42" s="15"/>
      <c r="M42" s="15">
        <v>142.41999999999999</v>
      </c>
      <c r="N42" s="55">
        <v>4182.4799999999996</v>
      </c>
    </row>
    <row r="43" spans="1:15" ht="29.25" customHeight="1" x14ac:dyDescent="0.35">
      <c r="A43" s="1" t="s">
        <v>82</v>
      </c>
      <c r="B43" s="68" t="s">
        <v>82</v>
      </c>
      <c r="C43" s="15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5" ht="29.25" customHeight="1" x14ac:dyDescent="0.35">
      <c r="A44" s="1" t="s">
        <v>82</v>
      </c>
      <c r="B44" s="68" t="s">
        <v>82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5" ht="29.25" customHeight="1" x14ac:dyDescent="0.35">
      <c r="A45" s="1" t="s">
        <v>82</v>
      </c>
      <c r="B45" s="68" t="s">
        <v>82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5" ht="29.25" customHeight="1" x14ac:dyDescent="0.35">
      <c r="A46" s="1" t="s">
        <v>82</v>
      </c>
      <c r="B46" s="68" t="s">
        <v>82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5" ht="29.25" customHeight="1" x14ac:dyDescent="0.35">
      <c r="A47" s="1" t="s">
        <v>82</v>
      </c>
      <c r="B47" s="68" t="s">
        <v>82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5" ht="29.25" customHeight="1" x14ac:dyDescent="0.35">
      <c r="A48" s="1" t="s">
        <v>82</v>
      </c>
      <c r="B48" s="68" t="s">
        <v>82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3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1" t="s">
        <v>0</v>
      </c>
      <c r="B56" s="68" t="s">
        <v>39</v>
      </c>
      <c r="C56" s="15">
        <f>C3</f>
        <v>197.46657999999999</v>
      </c>
      <c r="D56" s="15"/>
      <c r="E56" s="15">
        <f>E3</f>
        <v>40.897890000000004</v>
      </c>
      <c r="F56" s="15">
        <f t="shared" ref="F56:L56" si="4">F3</f>
        <v>0</v>
      </c>
      <c r="G56" s="15">
        <f t="shared" si="4"/>
        <v>0</v>
      </c>
      <c r="H56" s="15">
        <f t="shared" si="4"/>
        <v>0</v>
      </c>
      <c r="I56" s="15">
        <f t="shared" si="4"/>
        <v>65.684489999999997</v>
      </c>
      <c r="J56" s="15">
        <f t="shared" si="4"/>
        <v>50.399419999999999</v>
      </c>
      <c r="K56" s="15">
        <f t="shared" si="4"/>
        <v>58.661619999999999</v>
      </c>
      <c r="L56" s="15">
        <f t="shared" si="4"/>
        <v>0</v>
      </c>
      <c r="M56" s="15"/>
      <c r="N56" s="55">
        <f>SUM(C56:M56)+SUM(C118:J118)</f>
        <v>413.11</v>
      </c>
      <c r="O56" s="148" t="s">
        <v>358</v>
      </c>
    </row>
    <row r="57" spans="1:15" ht="29.25" customHeight="1" x14ac:dyDescent="0.4">
      <c r="A57" s="24" t="s">
        <v>84</v>
      </c>
      <c r="B57" s="10"/>
      <c r="C57" s="61">
        <f>SUM(C6:C56)</f>
        <v>48550.246579999999</v>
      </c>
      <c r="D57" s="61">
        <f t="shared" ref="D57:M57" si="5">SUM(D6:D56)</f>
        <v>0</v>
      </c>
      <c r="E57" s="61">
        <f t="shared" si="5"/>
        <v>2795.2278900000001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5524.0544899999995</v>
      </c>
      <c r="J57" s="61">
        <f t="shared" si="5"/>
        <v>50.399419999999999</v>
      </c>
      <c r="K57" s="61">
        <f t="shared" si="5"/>
        <v>7597.1416199999994</v>
      </c>
      <c r="L57" s="61">
        <f t="shared" si="5"/>
        <v>0</v>
      </c>
      <c r="M57" s="61">
        <f t="shared" si="5"/>
        <v>434.53999999999996</v>
      </c>
      <c r="N57" s="61">
        <f>SUM(N6:N56)</f>
        <v>64996.3</v>
      </c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>32922</v>
      </c>
      <c r="B60" s="9" t="str">
        <f>B6</f>
        <v>NELLA WEST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61" si="6">A7</f>
        <v>4003710022</v>
      </c>
      <c r="B61" s="9" t="str">
        <f t="shared" si="6"/>
        <v>SAPUTO DAIRY PRODUCTS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ref="A62:B62" si="7">A8</f>
        <v>4003710021</v>
      </c>
      <c r="B62" s="9" t="str">
        <f t="shared" si="7"/>
        <v>SAPUTO DAIRY PRODUCTS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ref="A63:B63" si="8">A9</f>
        <v>6670111</v>
      </c>
      <c r="B63" s="9" t="str">
        <f t="shared" si="8"/>
        <v>THE GROCERY PEOPLE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ref="A64:B64" si="9">A10</f>
        <v>6670958</v>
      </c>
      <c r="B64" s="9" t="str">
        <f t="shared" si="9"/>
        <v>THE GROCERY PEOPLE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4" ht="29.25" customHeight="1" x14ac:dyDescent="0.35">
      <c r="A65" s="70" t="str">
        <f t="shared" ref="A65:B65" si="10">A11</f>
        <v>6670959</v>
      </c>
      <c r="B65" s="9" t="str">
        <f t="shared" si="10"/>
        <v>THE GROCERY PEOPLE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4" ht="29.25" customHeight="1" x14ac:dyDescent="0.35">
      <c r="A66" s="70" t="str">
        <f t="shared" ref="A66:B66" si="11">A12</f>
        <v>6671926</v>
      </c>
      <c r="B66" s="9" t="str">
        <f t="shared" si="11"/>
        <v>THE GROCERY PEOPLE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4" ht="29.25" customHeight="1" x14ac:dyDescent="0.35">
      <c r="A67" s="70" t="str">
        <f t="shared" ref="A67:B67" si="12">A13</f>
        <v>6671927</v>
      </c>
      <c r="B67" s="9" t="str">
        <f t="shared" si="12"/>
        <v>THE GROCERY PEOPLE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4" ht="29.25" customHeight="1" x14ac:dyDescent="0.35">
      <c r="A68" s="70" t="str">
        <f t="shared" ref="A68:B68" si="13">A14</f>
        <v>6671928</v>
      </c>
      <c r="B68" s="9" t="str">
        <f t="shared" si="13"/>
        <v>THE GROCERY PEOPLE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  <c r="N68" s="13" t="s">
        <v>82</v>
      </c>
    </row>
    <row r="69" spans="1:14" ht="29.25" customHeight="1" x14ac:dyDescent="0.35">
      <c r="A69" s="70" t="str">
        <f t="shared" ref="A69:B69" si="14">A15</f>
        <v>6669929</v>
      </c>
      <c r="B69" s="9" t="str">
        <f t="shared" si="14"/>
        <v>THE GROCERY PEOPLE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4" ht="29.25" customHeight="1" x14ac:dyDescent="0.35">
      <c r="A70" s="70" t="str">
        <f t="shared" ref="A70:B70" si="15">A16</f>
        <v>5636178</v>
      </c>
      <c r="B70" s="9" t="str">
        <f t="shared" si="15"/>
        <v>THE GROCERY PEOPLE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4" ht="29.25" customHeight="1" x14ac:dyDescent="0.35">
      <c r="A71" s="70" t="str">
        <f t="shared" ref="A71:B71" si="16">A17</f>
        <v>5636320</v>
      </c>
      <c r="B71" s="9" t="str">
        <f t="shared" si="16"/>
        <v>THE GROCERY PEOPLE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4" ht="29.25" customHeight="1" x14ac:dyDescent="0.35">
      <c r="A72" s="70" t="str">
        <f t="shared" ref="A72:B72" si="17">A18</f>
        <v>5636542</v>
      </c>
      <c r="B72" s="9" t="str">
        <f t="shared" si="17"/>
        <v>THE GROCERY PEOPLE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4" ht="29.25" customHeight="1" x14ac:dyDescent="0.35">
      <c r="A73" s="70" t="str">
        <f t="shared" ref="A73:B73" si="18">A19</f>
        <v>5637370</v>
      </c>
      <c r="B73" s="9" t="str">
        <f t="shared" si="18"/>
        <v>THE GROCERY PEOPLE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4" ht="29.25" customHeight="1" x14ac:dyDescent="0.35">
      <c r="A74" s="70" t="str">
        <f t="shared" ref="A74:B74" si="19">A20</f>
        <v>5637433</v>
      </c>
      <c r="B74" s="9" t="str">
        <f t="shared" si="19"/>
        <v>THE GROCERY PEOPLE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4" ht="29.25" customHeight="1" x14ac:dyDescent="0.35">
      <c r="A75" s="70" t="str">
        <f t="shared" ref="A75:B75" si="20">A21</f>
        <v>5637511</v>
      </c>
      <c r="B75" s="9" t="str">
        <f t="shared" si="20"/>
        <v>THE GROCERY PEOPLE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4" ht="29.25" customHeight="1" x14ac:dyDescent="0.35">
      <c r="A76" s="70" t="str">
        <f t="shared" ref="A76:B76" si="21">A22</f>
        <v>5637544</v>
      </c>
      <c r="B76" s="9" t="str">
        <f t="shared" si="21"/>
        <v>THE GROCERY PEOPLE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4" ht="29.25" customHeight="1" x14ac:dyDescent="0.35">
      <c r="A77" s="70" t="str">
        <f t="shared" ref="A77:B77" si="22">A23</f>
        <v>5636992</v>
      </c>
      <c r="B77" s="9" t="str">
        <f t="shared" si="22"/>
        <v>THE GROCERY PEOPLE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4" ht="29.25" customHeight="1" x14ac:dyDescent="0.35">
      <c r="A78" s="70" t="str">
        <f t="shared" ref="A78:B78" si="23">A24</f>
        <v>5636155</v>
      </c>
      <c r="B78" s="9" t="str">
        <f t="shared" si="23"/>
        <v>THE GROCERY PEOPLE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  <c r="N78" s="13" t="s">
        <v>82</v>
      </c>
    </row>
    <row r="79" spans="1:14" ht="29.25" customHeight="1" x14ac:dyDescent="0.35">
      <c r="A79" s="70" t="str">
        <f t="shared" ref="A79:B79" si="24">A25</f>
        <v>5636457</v>
      </c>
      <c r="B79" s="9" t="str">
        <f t="shared" si="24"/>
        <v>THE GROCERY PEOPLE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4" ht="29.25" customHeight="1" x14ac:dyDescent="0.35">
      <c r="A80" s="70" t="str">
        <f t="shared" ref="A80:B80" si="25">A26</f>
        <v>5637011</v>
      </c>
      <c r="B80" s="9" t="str">
        <f t="shared" si="25"/>
        <v>THE GROCERY PEOPLE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ref="A81:B81" si="26">A27</f>
        <v>5637171</v>
      </c>
      <c r="B81" s="9" t="str">
        <f t="shared" si="26"/>
        <v>THE GROCERY PEOPLE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ref="A82:B82" si="27">A28</f>
        <v>5637215</v>
      </c>
      <c r="B82" s="9" t="str">
        <f t="shared" si="27"/>
        <v>THE GROCERY PEOPLE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ref="A83:B83" si="28">A29</f>
        <v>5637216</v>
      </c>
      <c r="B83" s="9" t="str">
        <f t="shared" si="28"/>
        <v>THE GROCERY PEOPLE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ref="A84:B84" si="29">A30</f>
        <v>5637995</v>
      </c>
      <c r="B84" s="9" t="str">
        <f t="shared" si="29"/>
        <v>THE GROCERY PEOPLE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ref="A85:B85" si="30">A31</f>
        <v>5638018</v>
      </c>
      <c r="B85" s="9" t="str">
        <f t="shared" si="30"/>
        <v>THE GROCERY PEOPLE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ref="A86:B86" si="31">A32</f>
        <v>5638025</v>
      </c>
      <c r="B86" s="9" t="str">
        <f t="shared" si="31"/>
        <v>THE GROCERY PEOPLE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ref="A87:B87" si="32">A33</f>
        <v>5638041</v>
      </c>
      <c r="B87" s="9" t="str">
        <f t="shared" si="32"/>
        <v>THE GROCERY PEOPLE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ref="A88:B88" si="33">A34</f>
        <v>6652917</v>
      </c>
      <c r="B88" s="9" t="str">
        <f t="shared" si="33"/>
        <v>FEDERATED CO-OPERATIVES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ref="A89:B89" si="34">A35</f>
        <v>6653196</v>
      </c>
      <c r="B89" s="9" t="str">
        <f t="shared" si="34"/>
        <v>FEDERATED CO-OPERATIVES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ref="A90:B90" si="35">A36</f>
        <v>6663764</v>
      </c>
      <c r="B90" s="9" t="str">
        <f t="shared" si="35"/>
        <v>FEDERATED CO-OPERATIVES</v>
      </c>
      <c r="C90" s="26">
        <v>44.69</v>
      </c>
      <c r="D90" s="26"/>
      <c r="E90" s="26"/>
      <c r="F90" s="26"/>
      <c r="G90" s="26"/>
      <c r="H90" s="26"/>
      <c r="I90" s="26"/>
      <c r="J90" s="52"/>
      <c r="K90" s="48"/>
      <c r="L90" s="2"/>
      <c r="M90" s="14" t="s">
        <v>359</v>
      </c>
    </row>
    <row r="91" spans="1:13" ht="29.25" customHeight="1" x14ac:dyDescent="0.35">
      <c r="A91" s="70" t="str">
        <f t="shared" ref="A91:B91" si="36">A37</f>
        <v>118511</v>
      </c>
      <c r="B91" s="9" t="str">
        <f t="shared" si="36"/>
        <v>KENNELLI SPRINGS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ref="A92:B92" si="37">A38</f>
        <v>53048735061</v>
      </c>
      <c r="B92" s="9" t="str">
        <f t="shared" si="37"/>
        <v>COCA COLA CANADA BOTTLING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93" si="38">A39</f>
        <v>53048735062</v>
      </c>
      <c r="B93" s="9" t="str">
        <f t="shared" si="38"/>
        <v>COCA COLA CANADA BOTTLING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ref="A94:B94" si="39">A40</f>
        <v>92794355</v>
      </c>
      <c r="B94" s="9" t="str">
        <f t="shared" si="39"/>
        <v>FRITO LAY CANADA RETAIL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ref="A95:B95" si="40">A41</f>
        <v>77684065</v>
      </c>
      <c r="B95" s="9" t="str">
        <f t="shared" si="40"/>
        <v>FRITO LAY CANADA RETAIL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ref="A96:B96" si="41">A42</f>
        <v>7726181003</v>
      </c>
      <c r="B96" s="9" t="str">
        <f t="shared" si="41"/>
        <v>UNITED DISTRIBUTION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ref="A97:B97" si="42">A43</f>
        <v xml:space="preserve"> </v>
      </c>
      <c r="B97" s="9" t="str">
        <f t="shared" si="42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ref="A98:B98" si="43">A44</f>
        <v xml:space="preserve"> </v>
      </c>
      <c r="B98" s="9" t="str">
        <f t="shared" si="43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ref="A99:B99" si="44">A45</f>
        <v xml:space="preserve"> </v>
      </c>
      <c r="B99" s="9" t="str">
        <f t="shared" si="44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ref="A100:B100" si="45">A46</f>
        <v xml:space="preserve"> </v>
      </c>
      <c r="B100" s="9" t="str">
        <f t="shared" si="45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ref="A101:B101" si="46">A47</f>
        <v xml:space="preserve"> </v>
      </c>
      <c r="B101" s="9" t="str">
        <f t="shared" si="46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ref="A102:B102" si="47">A48</f>
        <v xml:space="preserve"> </v>
      </c>
      <c r="B102" s="9" t="str">
        <f t="shared" si="47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ref="A103:B103" si="48">A49</f>
        <v xml:space="preserve"> </v>
      </c>
      <c r="B103" s="9" t="str">
        <f t="shared" si="48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ref="A104:B104" si="49">A50</f>
        <v xml:space="preserve"> </v>
      </c>
      <c r="B104" s="9" t="str">
        <f t="shared" si="4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ref="A105:B105" si="50">A51</f>
        <v xml:space="preserve"> </v>
      </c>
      <c r="B105" s="9" t="str">
        <f t="shared" si="50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ref="A106:B106" si="51">A52</f>
        <v xml:space="preserve"> </v>
      </c>
      <c r="B106" s="9" t="str">
        <f t="shared" si="51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ref="A107:B107" si="52">A53</f>
        <v xml:space="preserve"> </v>
      </c>
      <c r="B107" s="9" t="str">
        <f t="shared" si="5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ref="A108:B108" si="53">A54</f>
        <v xml:space="preserve"> </v>
      </c>
      <c r="B108" s="9" t="str">
        <f t="shared" si="53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54">A55</f>
        <v xml:space="preserve"> </v>
      </c>
      <c r="B109" s="9" t="str">
        <f t="shared" si="5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84</v>
      </c>
      <c r="B110" s="8"/>
      <c r="C110" s="53">
        <f>SUM(C60:C109)</f>
        <v>44.69</v>
      </c>
      <c r="D110" s="53">
        <f t="shared" ref="D110:K110" si="55">SUM(D60:D109)</f>
        <v>0</v>
      </c>
      <c r="E110" s="53">
        <f t="shared" si="55"/>
        <v>0</v>
      </c>
      <c r="F110" s="53">
        <f t="shared" si="55"/>
        <v>0</v>
      </c>
      <c r="G110" s="53">
        <f t="shared" si="55"/>
        <v>0</v>
      </c>
      <c r="H110" s="53">
        <f t="shared" si="55"/>
        <v>0</v>
      </c>
      <c r="I110" s="53">
        <f t="shared" si="55"/>
        <v>0</v>
      </c>
      <c r="J110" s="53">
        <f t="shared" si="55"/>
        <v>0</v>
      </c>
      <c r="K110" s="53">
        <f t="shared" si="55"/>
        <v>0</v>
      </c>
      <c r="L110" s="11">
        <v>0</v>
      </c>
      <c r="M110" s="14"/>
    </row>
  </sheetData>
  <hyperlinks>
    <hyperlink ref="M1" location="'Receiving Totals'!A1" display="Receiving Totals" xr:uid="{95ACA90F-B13E-49B8-96BB-B8734C963976}"/>
  </hyperlinks>
  <pageMargins left="0.70866141732283472" right="0.70866141732283472" top="0.74803149606299213" bottom="0.74803149606299213" header="0.31496062992125984" footer="0.31496062992125984"/>
  <pageSetup scale="29" fitToWidth="0" fitToHeight="0" orientation="landscape" verticalDpi="1200" r:id="rId1"/>
  <rowBreaks count="1" manualBreakCount="1">
    <brk id="57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956E-BBE2-4BC7-9113-D100E946CA81}">
  <dimension ref="A1:O110"/>
  <sheetViews>
    <sheetView zoomScale="60" zoomScaleNormal="60" workbookViewId="0">
      <pane ySplit="5" topLeftCell="A6" activePane="bottomLeft" state="frozen"/>
      <selection activeCell="A6" sqref="A6"/>
      <selection pane="bottomLeft" activeCell="N7" sqref="N7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 t="s">
        <v>13</v>
      </c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14</v>
      </c>
      <c r="B4" s="64">
        <f>'Tuesday WK2 (10)'!B4+1</f>
        <v>46204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360</v>
      </c>
      <c r="B6" s="68" t="s">
        <v>115</v>
      </c>
      <c r="C6" s="15">
        <f t="shared" ref="C6:C10" si="1">N6-D6-E6-F6-G6-H6-I6-J6-K6-L6-M6-D60-E60-F60-G60-H60-I60-J60-K60-L60-C60</f>
        <v>113.58000000000001</v>
      </c>
      <c r="D6" s="15"/>
      <c r="E6" s="15"/>
      <c r="F6" s="15"/>
      <c r="G6" s="15"/>
      <c r="H6" s="15"/>
      <c r="I6" s="15"/>
      <c r="J6" s="15"/>
      <c r="K6" s="15"/>
      <c r="L6" s="15"/>
      <c r="M6" s="15">
        <v>5.68</v>
      </c>
      <c r="N6" s="55">
        <v>119.26</v>
      </c>
    </row>
    <row r="7" spans="1:14" ht="29.25" customHeight="1" x14ac:dyDescent="0.35">
      <c r="A7" s="1" t="s">
        <v>82</v>
      </c>
      <c r="B7" s="68" t="s">
        <v>82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82</v>
      </c>
      <c r="B8" s="68" t="s">
        <v>82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82</v>
      </c>
      <c r="B9" s="68" t="s">
        <v>82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82</v>
      </c>
      <c r="B10" s="68" t="s">
        <v>82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82</v>
      </c>
      <c r="B11" s="68" t="s">
        <v>82</v>
      </c>
      <c r="C11" s="15">
        <f t="shared" ref="C11:C12" si="2">N11-D11-E11-F11-G11-H11-I11-J11-K11-L11-M11-D65-E65-F65-G65-H65-I65-J65-K65-L65-C65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82</v>
      </c>
      <c r="B12" s="68" t="s">
        <v>82</v>
      </c>
      <c r="C12" s="15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82</v>
      </c>
      <c r="B13" s="68" t="s">
        <v>82</v>
      </c>
      <c r="C13" s="15">
        <f t="shared" ref="C13:C16" si="3">N13-D13-E13-F13-G13-H13-I13-J13-K13-L13-M13-D67-E67-F67-G67-H67-I67-J67-K67-L67-C67</f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82</v>
      </c>
      <c r="B14" s="68" t="s">
        <v>82</v>
      </c>
      <c r="C14" s="15">
        <f t="shared" si="3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82</v>
      </c>
      <c r="B15" s="68" t="s">
        <v>82</v>
      </c>
      <c r="C15" s="15">
        <f t="shared" si="3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82</v>
      </c>
      <c r="B16" s="68" t="s">
        <v>82</v>
      </c>
      <c r="C16" s="15">
        <f t="shared" si="3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82</v>
      </c>
      <c r="B17" s="68" t="s">
        <v>82</v>
      </c>
      <c r="C17" s="15">
        <f t="shared" ref="C17:C33" si="4">N17-D17-E17-F17-G17-H17-I17-J17-K17-L17-M17-D71-E71-F71-G71-H71-I71-J71-K71-L71-C71</f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si="4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si="4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si="4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si="4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si="4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si="4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si="4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4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4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4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4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4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4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4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4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ref="C34:C48" si="5">N34-D34-E34-F34-G34-H34-I34-J34-K34-L34-M34-D88-E88-F88-G88-H88-I88-J88-K88-L88-C88</f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5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5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5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5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5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5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5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5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ref="C49:C50" si="6">N49-D49-E49-F49-G49-H49-I49-J49-K49-L49-M49-D103-E103-F103-G103-H103-I103-J103-K103-L103-C103</f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si="6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ref="C51:C54" si="7">N51-D51-E51-F51-G51-H51-I51-J51-K51-L51-M51-D105-E105-F105-G105-H105-I105-J105-K105-L105-C105</f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8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5.5" x14ac:dyDescent="0.35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9">F3</f>
        <v>0</v>
      </c>
      <c r="G56" s="16">
        <f t="shared" si="9"/>
        <v>0</v>
      </c>
      <c r="H56" s="16">
        <f t="shared" si="9"/>
        <v>0</v>
      </c>
      <c r="I56" s="16">
        <f t="shared" si="9"/>
        <v>0</v>
      </c>
      <c r="J56" s="16">
        <f t="shared" si="9"/>
        <v>0</v>
      </c>
      <c r="K56" s="16">
        <f t="shared" si="9"/>
        <v>0</v>
      </c>
      <c r="L56" s="16">
        <f t="shared" si="9"/>
        <v>0</v>
      </c>
      <c r="M56" s="16"/>
      <c r="N56" s="60">
        <f>SUM(C56:M56)+SUM(C118:J118)</f>
        <v>0</v>
      </c>
      <c r="O56" s="150" t="s">
        <v>361</v>
      </c>
    </row>
    <row r="57" spans="1:15" ht="29.25" customHeight="1" x14ac:dyDescent="0.4">
      <c r="A57" s="24" t="s">
        <v>84</v>
      </c>
      <c r="B57" s="10"/>
      <c r="C57" s="61">
        <f t="shared" ref="C57:M57" si="10">SUM(C6:C56)</f>
        <v>113.58000000000001</v>
      </c>
      <c r="D57" s="61">
        <f t="shared" si="10"/>
        <v>0</v>
      </c>
      <c r="E57" s="61">
        <f t="shared" si="10"/>
        <v>0</v>
      </c>
      <c r="F57" s="61">
        <f t="shared" si="10"/>
        <v>0</v>
      </c>
      <c r="G57" s="61">
        <f t="shared" si="10"/>
        <v>0</v>
      </c>
      <c r="H57" s="61">
        <f t="shared" si="10"/>
        <v>0</v>
      </c>
      <c r="I57" s="61">
        <f t="shared" si="10"/>
        <v>0</v>
      </c>
      <c r="J57" s="61">
        <f t="shared" si="10"/>
        <v>0</v>
      </c>
      <c r="K57" s="61">
        <f t="shared" si="10"/>
        <v>0</v>
      </c>
      <c r="L57" s="61">
        <f t="shared" si="10"/>
        <v>0</v>
      </c>
      <c r="M57" s="61">
        <f t="shared" si="10"/>
        <v>5.68</v>
      </c>
      <c r="N57" s="61">
        <f>SUM(N6:N56)</f>
        <v>119.26</v>
      </c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>82849818</v>
      </c>
      <c r="B60" s="9" t="str">
        <f>B6</f>
        <v>OLD DUTCH FOODS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11">A7</f>
        <v xml:space="preserve"> </v>
      </c>
      <c r="B61" s="9" t="str">
        <f t="shared" si="11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11"/>
        <v xml:space="preserve"> </v>
      </c>
      <c r="B62" s="9" t="str">
        <f t="shared" si="11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11"/>
        <v xml:space="preserve"> </v>
      </c>
      <c r="B63" s="9" t="str">
        <f t="shared" si="11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11"/>
        <v xml:space="preserve"> </v>
      </c>
      <c r="B64" s="9" t="str">
        <f t="shared" si="11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11"/>
        <v xml:space="preserve"> </v>
      </c>
      <c r="B65" s="9" t="str">
        <f t="shared" si="11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11"/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11"/>
        <v xml:space="preserve"> </v>
      </c>
      <c r="B67" s="9" t="str">
        <f t="shared" si="11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11"/>
        <v xml:space="preserve"> </v>
      </c>
      <c r="B68" s="9" t="str">
        <f t="shared" si="11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11"/>
        <v xml:space="preserve"> </v>
      </c>
      <c r="B69" s="9" t="str">
        <f t="shared" si="11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11"/>
        <v xml:space="preserve"> </v>
      </c>
      <c r="B70" s="9" t="str">
        <f t="shared" si="11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11"/>
        <v xml:space="preserve"> </v>
      </c>
      <c r="B71" s="9" t="str">
        <f t="shared" si="11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1"/>
        <v xml:space="preserve"> </v>
      </c>
      <c r="B72" s="9" t="str">
        <f t="shared" si="11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1"/>
        <v xml:space="preserve"> </v>
      </c>
      <c r="B73" s="9" t="str">
        <f t="shared" si="11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1"/>
        <v xml:space="preserve"> </v>
      </c>
      <c r="B74" s="9" t="str">
        <f t="shared" si="11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11"/>
        <v xml:space="preserve"> </v>
      </c>
      <c r="B75" s="9" t="str">
        <f t="shared" si="11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1"/>
        <v xml:space="preserve"> </v>
      </c>
      <c r="B76" s="9" t="str">
        <f t="shared" si="11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2">A23</f>
        <v xml:space="preserve"> </v>
      </c>
      <c r="B77" s="9" t="str">
        <f t="shared" si="12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2"/>
        <v xml:space="preserve"> </v>
      </c>
      <c r="B78" s="9" t="str">
        <f t="shared" si="12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2"/>
        <v xml:space="preserve"> </v>
      </c>
      <c r="B79" s="9" t="str">
        <f t="shared" si="12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2"/>
        <v xml:space="preserve"> </v>
      </c>
      <c r="B80" s="9" t="str">
        <f t="shared" si="12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2"/>
        <v xml:space="preserve"> </v>
      </c>
      <c r="B81" s="9" t="str">
        <f t="shared" si="12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2"/>
        <v xml:space="preserve"> </v>
      </c>
      <c r="B82" s="9" t="str">
        <f t="shared" si="12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2"/>
        <v xml:space="preserve"> </v>
      </c>
      <c r="B83" s="9" t="str">
        <f t="shared" si="12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2"/>
        <v xml:space="preserve"> </v>
      </c>
      <c r="B84" s="9" t="str">
        <f t="shared" si="12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2"/>
        <v xml:space="preserve"> </v>
      </c>
      <c r="B85" s="9" t="str">
        <f t="shared" si="12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2"/>
        <v xml:space="preserve"> </v>
      </c>
      <c r="B86" s="9" t="str">
        <f t="shared" si="12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2"/>
        <v xml:space="preserve"> </v>
      </c>
      <c r="B87" s="9" t="str">
        <f t="shared" si="12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2"/>
        <v xml:space="preserve"> </v>
      </c>
      <c r="B88" s="9" t="str">
        <f t="shared" si="12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2"/>
        <v xml:space="preserve"> </v>
      </c>
      <c r="B89" s="9" t="str">
        <f t="shared" si="12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2"/>
        <v xml:space="preserve"> </v>
      </c>
      <c r="B90" s="9" t="str">
        <f t="shared" si="12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2"/>
        <v xml:space="preserve"> </v>
      </c>
      <c r="B91" s="9" t="str">
        <f t="shared" si="12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2"/>
        <v xml:space="preserve"> </v>
      </c>
      <c r="B92" s="9" t="str">
        <f t="shared" si="12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3">A39</f>
        <v xml:space="preserve"> </v>
      </c>
      <c r="B93" s="9" t="str">
        <f t="shared" si="13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3"/>
        <v xml:space="preserve"> </v>
      </c>
      <c r="B94" s="9" t="str">
        <f t="shared" si="13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3"/>
        <v xml:space="preserve"> </v>
      </c>
      <c r="B95" s="9" t="str">
        <f t="shared" si="13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3"/>
        <v xml:space="preserve"> </v>
      </c>
      <c r="B96" s="9" t="str">
        <f t="shared" si="13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3"/>
        <v xml:space="preserve"> </v>
      </c>
      <c r="B97" s="9" t="str">
        <f t="shared" si="13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3"/>
        <v xml:space="preserve"> </v>
      </c>
      <c r="B98" s="9" t="str">
        <f t="shared" si="13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3"/>
        <v xml:space="preserve"> </v>
      </c>
      <c r="B99" s="9" t="str">
        <f t="shared" si="13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3"/>
        <v xml:space="preserve"> </v>
      </c>
      <c r="B100" s="9" t="str">
        <f t="shared" si="13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3"/>
        <v xml:space="preserve"> </v>
      </c>
      <c r="B101" s="9" t="str">
        <f t="shared" si="13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3"/>
        <v xml:space="preserve"> </v>
      </c>
      <c r="B102" s="9" t="str">
        <f t="shared" si="13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3"/>
        <v xml:space="preserve"> </v>
      </c>
      <c r="B103" s="9" t="str">
        <f t="shared" si="13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3"/>
        <v xml:space="preserve"> </v>
      </c>
      <c r="B104" s="9" t="str">
        <f t="shared" si="13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3"/>
        <v xml:space="preserve"> </v>
      </c>
      <c r="B105" s="9" t="str">
        <f t="shared" si="13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3"/>
        <v xml:space="preserve"> </v>
      </c>
      <c r="B106" s="9" t="str">
        <f t="shared" si="1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3"/>
        <v xml:space="preserve"> </v>
      </c>
      <c r="B107" s="9" t="str">
        <f t="shared" si="13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3"/>
        <v xml:space="preserve"> </v>
      </c>
      <c r="B108" s="9" t="str">
        <f t="shared" si="13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4">A55</f>
        <v xml:space="preserve"> </v>
      </c>
      <c r="B109" s="9" t="str">
        <f t="shared" si="1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5">SUM(E60:E109)</f>
        <v>0</v>
      </c>
      <c r="F110" s="53">
        <f t="shared" si="15"/>
        <v>0</v>
      </c>
      <c r="G110" s="53">
        <f t="shared" si="15"/>
        <v>0</v>
      </c>
      <c r="H110" s="53">
        <f t="shared" si="15"/>
        <v>0</v>
      </c>
      <c r="I110" s="53">
        <f t="shared" si="15"/>
        <v>0</v>
      </c>
      <c r="J110" s="54">
        <f t="shared" si="15"/>
        <v>0</v>
      </c>
      <c r="K110" s="49">
        <f t="shared" si="15"/>
        <v>0</v>
      </c>
      <c r="L110" s="11">
        <v>0</v>
      </c>
      <c r="M110" s="14"/>
    </row>
  </sheetData>
  <hyperlinks>
    <hyperlink ref="M1" location="'Receiving Totals'!A1" display="Receiving Totals" xr:uid="{06E52588-7B26-4D09-9068-52EF5DAB5CF1}"/>
  </hyperlinks>
  <pageMargins left="0.7" right="0.7" top="0.75" bottom="0.75" header="0.3" footer="0.3"/>
  <pageSetup scale="30" orientation="landscape" horizontalDpi="300" verticalDpi="300" r:id="rId1"/>
  <rowBreaks count="1" manualBreakCount="1">
    <brk id="57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7BCE-E766-4556-9B07-05A33CA95246}">
  <dimension ref="A1:O110"/>
  <sheetViews>
    <sheetView zoomScale="60" zoomScaleNormal="60" workbookViewId="0">
      <pane ySplit="5" topLeftCell="A40" activePane="bottomLeft" state="frozen"/>
      <selection activeCell="A6" sqref="A6"/>
      <selection pane="bottomLeft" activeCell="B47" sqref="B47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36.5703125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 t="s">
        <v>13</v>
      </c>
      <c r="C3" s="22">
        <f>C2*$N$3</f>
        <v>121.75615999999999</v>
      </c>
      <c r="D3" s="22"/>
      <c r="E3" s="22">
        <f t="shared" ref="E3:L3" si="0">E2*$N$3</f>
        <v>25.217280000000002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40.500480000000003</v>
      </c>
      <c r="J3" s="22">
        <f t="shared" si="0"/>
        <v>31.075839999999999</v>
      </c>
      <c r="K3" s="22">
        <f t="shared" si="0"/>
        <v>36.17024</v>
      </c>
      <c r="L3" s="22">
        <f t="shared" si="0"/>
        <v>0</v>
      </c>
      <c r="M3" s="22"/>
      <c r="N3" s="23">
        <v>254.72</v>
      </c>
    </row>
    <row r="4" spans="1:14" ht="21" customHeight="1" thickBot="1" x14ac:dyDescent="0.4">
      <c r="A4" s="63" t="s">
        <v>14</v>
      </c>
      <c r="B4" s="64">
        <f>'Wednesday WK2 (11)'!$B$4+1</f>
        <v>46205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15</v>
      </c>
      <c r="B5" s="223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362</v>
      </c>
      <c r="B6" s="68" t="s">
        <v>31</v>
      </c>
      <c r="C6" s="15">
        <f t="shared" ref="C6:C8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>
        <v>2407.1</v>
      </c>
      <c r="L6" s="15"/>
      <c r="M6" s="15"/>
      <c r="N6" s="55">
        <v>2407.1</v>
      </c>
    </row>
    <row r="7" spans="1:14" ht="29.25" customHeight="1" x14ac:dyDescent="0.35">
      <c r="A7" s="1" t="s">
        <v>363</v>
      </c>
      <c r="B7" s="68" t="s">
        <v>39</v>
      </c>
      <c r="C7" s="15">
        <f t="shared" si="1"/>
        <v>409.24</v>
      </c>
      <c r="D7" s="15"/>
      <c r="E7" s="15">
        <v>41.99</v>
      </c>
      <c r="F7" s="15"/>
      <c r="G7" s="15"/>
      <c r="H7" s="15"/>
      <c r="I7" s="15"/>
      <c r="J7" s="15"/>
      <c r="K7" s="15"/>
      <c r="L7" s="15"/>
      <c r="M7" s="15"/>
      <c r="N7" s="55">
        <v>451.23</v>
      </c>
    </row>
    <row r="8" spans="1:14" ht="29.25" customHeight="1" x14ac:dyDescent="0.35">
      <c r="A8" s="1" t="s">
        <v>364</v>
      </c>
      <c r="B8" s="68" t="s">
        <v>39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>
        <v>118.44</v>
      </c>
      <c r="L8" s="15"/>
      <c r="M8" s="15"/>
      <c r="N8" s="55">
        <v>118.44</v>
      </c>
    </row>
    <row r="9" spans="1:14" ht="29.25" customHeight="1" x14ac:dyDescent="0.35">
      <c r="A9" s="1" t="s">
        <v>365</v>
      </c>
      <c r="B9" s="68" t="s">
        <v>39</v>
      </c>
      <c r="C9" s="15">
        <f t="shared" ref="C9:C53" si="2">N9-D9-E9-F9-G9-H9-I9-J9-K9-L9-M9-D63-E63-F63-G63-H63-I63-J63-K63-L63-C63</f>
        <v>0</v>
      </c>
      <c r="D9" s="15"/>
      <c r="E9" s="15">
        <v>1966.47</v>
      </c>
      <c r="F9" s="15"/>
      <c r="G9" s="15"/>
      <c r="H9" s="15"/>
      <c r="I9" s="15"/>
      <c r="J9" s="15"/>
      <c r="K9" s="15"/>
      <c r="L9" s="15"/>
      <c r="M9" s="15"/>
      <c r="N9" s="55">
        <v>1966.47</v>
      </c>
    </row>
    <row r="10" spans="1:14" ht="29.25" customHeight="1" x14ac:dyDescent="0.35">
      <c r="A10" s="1" t="s">
        <v>366</v>
      </c>
      <c r="B10" s="68" t="s">
        <v>39</v>
      </c>
      <c r="C10" s="15">
        <f t="shared" si="2"/>
        <v>346.62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>
        <v>346.62</v>
      </c>
    </row>
    <row r="11" spans="1:14" ht="29.25" customHeight="1" x14ac:dyDescent="0.35">
      <c r="A11" s="1" t="s">
        <v>367</v>
      </c>
      <c r="B11" s="68" t="s">
        <v>39</v>
      </c>
      <c r="C11" s="15">
        <f t="shared" si="2"/>
        <v>123.84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>
        <v>123.84</v>
      </c>
    </row>
    <row r="12" spans="1:14" ht="29.25" customHeight="1" x14ac:dyDescent="0.35">
      <c r="A12" s="1" t="s">
        <v>368</v>
      </c>
      <c r="B12" s="68" t="s">
        <v>39</v>
      </c>
      <c r="C12" s="15">
        <f t="shared" si="2"/>
        <v>155.71000000000004</v>
      </c>
      <c r="D12" s="15"/>
      <c r="E12" s="15">
        <v>702.98</v>
      </c>
      <c r="F12" s="15"/>
      <c r="G12" s="15"/>
      <c r="H12" s="15"/>
      <c r="I12" s="15"/>
      <c r="J12" s="15"/>
      <c r="K12" s="15"/>
      <c r="L12" s="15"/>
      <c r="M12" s="15"/>
      <c r="N12" s="55">
        <v>858.69</v>
      </c>
    </row>
    <row r="13" spans="1:14" ht="29.25" customHeight="1" x14ac:dyDescent="0.35">
      <c r="A13" s="1" t="s">
        <v>369</v>
      </c>
      <c r="B13" s="68" t="s">
        <v>39</v>
      </c>
      <c r="C13" s="15">
        <f t="shared" si="2"/>
        <v>0</v>
      </c>
      <c r="D13" s="15"/>
      <c r="E13" s="15">
        <v>1196.54</v>
      </c>
      <c r="F13" s="15"/>
      <c r="G13" s="15"/>
      <c r="H13" s="15"/>
      <c r="I13" s="15"/>
      <c r="J13" s="15"/>
      <c r="K13" s="15"/>
      <c r="L13" s="15"/>
      <c r="M13" s="15"/>
      <c r="N13" s="55">
        <v>1196.54</v>
      </c>
    </row>
    <row r="14" spans="1:14" ht="29.25" customHeight="1" x14ac:dyDescent="0.35">
      <c r="A14" s="1" t="s">
        <v>370</v>
      </c>
      <c r="B14" s="68" t="s">
        <v>39</v>
      </c>
      <c r="C14" s="15">
        <f t="shared" si="2"/>
        <v>0</v>
      </c>
      <c r="D14" s="15"/>
      <c r="E14" s="15">
        <v>1588.44</v>
      </c>
      <c r="F14" s="15"/>
      <c r="G14" s="15"/>
      <c r="H14" s="15"/>
      <c r="I14" s="15"/>
      <c r="J14" s="15"/>
      <c r="K14" s="15"/>
      <c r="L14" s="15"/>
      <c r="M14" s="15"/>
      <c r="N14" s="55">
        <v>1588.44</v>
      </c>
    </row>
    <row r="15" spans="1:14" ht="29.25" customHeight="1" x14ac:dyDescent="0.35">
      <c r="A15" s="1" t="s">
        <v>371</v>
      </c>
      <c r="B15" s="68" t="s">
        <v>39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>
        <v>880.57</v>
      </c>
      <c r="L15" s="15"/>
      <c r="M15" s="15"/>
      <c r="N15" s="55">
        <v>880.57</v>
      </c>
    </row>
    <row r="16" spans="1:14" ht="29.25" customHeight="1" x14ac:dyDescent="0.35">
      <c r="A16" s="1" t="s">
        <v>372</v>
      </c>
      <c r="B16" s="68" t="s">
        <v>39</v>
      </c>
      <c r="C16" s="15">
        <f t="shared" si="2"/>
        <v>2329.06</v>
      </c>
      <c r="D16" s="15"/>
      <c r="E16" s="15">
        <v>115.33</v>
      </c>
      <c r="F16" s="15"/>
      <c r="G16" s="15"/>
      <c r="H16" s="15"/>
      <c r="I16" s="15"/>
      <c r="J16" s="15"/>
      <c r="K16" s="15"/>
      <c r="L16" s="15"/>
      <c r="M16" s="15"/>
      <c r="N16" s="55">
        <v>2444.39</v>
      </c>
    </row>
    <row r="17" spans="1:14" ht="29.25" customHeight="1" x14ac:dyDescent="0.35">
      <c r="A17" s="1" t="s">
        <v>373</v>
      </c>
      <c r="B17" s="68" t="s">
        <v>39</v>
      </c>
      <c r="C17" s="15">
        <f t="shared" si="2"/>
        <v>4600.88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>
        <v>4600.88</v>
      </c>
    </row>
    <row r="18" spans="1:14" ht="29.25" customHeight="1" x14ac:dyDescent="0.35">
      <c r="A18" s="1" t="s">
        <v>374</v>
      </c>
      <c r="B18" s="68" t="s">
        <v>39</v>
      </c>
      <c r="C18" s="15">
        <f t="shared" si="2"/>
        <v>560.69000000000005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>
        <v>560.69000000000005</v>
      </c>
    </row>
    <row r="19" spans="1:14" ht="29.25" customHeight="1" x14ac:dyDescent="0.35">
      <c r="A19" s="1" t="s">
        <v>375</v>
      </c>
      <c r="B19" s="68" t="s">
        <v>39</v>
      </c>
      <c r="C19" s="15">
        <f t="shared" si="2"/>
        <v>0</v>
      </c>
      <c r="D19" s="15"/>
      <c r="E19" s="15">
        <v>532.05999999999995</v>
      </c>
      <c r="F19" s="15"/>
      <c r="G19" s="15"/>
      <c r="H19" s="15"/>
      <c r="I19" s="15"/>
      <c r="J19" s="15"/>
      <c r="K19" s="15"/>
      <c r="L19" s="15"/>
      <c r="M19" s="15"/>
      <c r="N19" s="55">
        <v>532.05999999999995</v>
      </c>
    </row>
    <row r="20" spans="1:14" ht="29.25" customHeight="1" x14ac:dyDescent="0.35">
      <c r="A20" s="1" t="s">
        <v>376</v>
      </c>
      <c r="B20" s="68" t="s">
        <v>39</v>
      </c>
      <c r="C20" s="15">
        <f t="shared" si="2"/>
        <v>0</v>
      </c>
      <c r="D20" s="15"/>
      <c r="E20" s="15">
        <v>897.24</v>
      </c>
      <c r="F20" s="15"/>
      <c r="G20" s="15"/>
      <c r="H20" s="15"/>
      <c r="I20" s="15"/>
      <c r="J20" s="15"/>
      <c r="K20" s="15"/>
      <c r="L20" s="15"/>
      <c r="M20" s="15"/>
      <c r="N20" s="55">
        <v>897.24</v>
      </c>
    </row>
    <row r="21" spans="1:14" ht="29.25" customHeight="1" x14ac:dyDescent="0.35">
      <c r="A21" s="1" t="s">
        <v>377</v>
      </c>
      <c r="B21" s="68" t="s">
        <v>39</v>
      </c>
      <c r="C21" s="15">
        <f t="shared" si="2"/>
        <v>0</v>
      </c>
      <c r="D21" s="15"/>
      <c r="E21" s="15">
        <v>641.88</v>
      </c>
      <c r="F21" s="15"/>
      <c r="G21" s="15"/>
      <c r="H21" s="15"/>
      <c r="I21" s="15"/>
      <c r="J21" s="15"/>
      <c r="K21" s="15"/>
      <c r="L21" s="15"/>
      <c r="M21" s="15"/>
      <c r="N21" s="55">
        <v>641.88</v>
      </c>
    </row>
    <row r="22" spans="1:14" ht="29.25" customHeight="1" x14ac:dyDescent="0.35">
      <c r="A22" s="1" t="s">
        <v>378</v>
      </c>
      <c r="B22" s="68" t="s">
        <v>39</v>
      </c>
      <c r="C22" s="15">
        <f t="shared" si="2"/>
        <v>53.56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>
        <v>53.56</v>
      </c>
    </row>
    <row r="23" spans="1:14" ht="29.25" customHeight="1" x14ac:dyDescent="0.35">
      <c r="A23" s="1" t="s">
        <v>379</v>
      </c>
      <c r="B23" s="68" t="s">
        <v>39</v>
      </c>
      <c r="C23" s="15">
        <f t="shared" si="2"/>
        <v>178.32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>
        <v>178.32</v>
      </c>
    </row>
    <row r="24" spans="1:14" ht="29.25" customHeight="1" x14ac:dyDescent="0.35">
      <c r="A24" s="1" t="s">
        <v>380</v>
      </c>
      <c r="B24" s="68" t="s">
        <v>39</v>
      </c>
      <c r="C24" s="15">
        <f t="shared" si="2"/>
        <v>97.64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>
        <v>97.64</v>
      </c>
    </row>
    <row r="25" spans="1:14" ht="29.25" customHeight="1" x14ac:dyDescent="0.35">
      <c r="A25" s="1" t="s">
        <v>381</v>
      </c>
      <c r="B25" s="68" t="s">
        <v>39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>
        <v>693.6</v>
      </c>
      <c r="L25" s="15"/>
      <c r="M25" s="15"/>
      <c r="N25" s="55">
        <v>693.6</v>
      </c>
    </row>
    <row r="26" spans="1:14" ht="29.25" customHeight="1" x14ac:dyDescent="0.35">
      <c r="A26" s="1" t="s">
        <v>382</v>
      </c>
      <c r="B26" s="68" t="s">
        <v>39</v>
      </c>
      <c r="C26" s="15">
        <f t="shared" si="2"/>
        <v>259.95999999999998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>
        <v>259.95999999999998</v>
      </c>
    </row>
    <row r="27" spans="1:14" ht="29.25" customHeight="1" x14ac:dyDescent="0.35">
      <c r="A27" s="1" t="s">
        <v>383</v>
      </c>
      <c r="B27" s="68" t="s">
        <v>39</v>
      </c>
      <c r="C27" s="15">
        <f t="shared" si="2"/>
        <v>0</v>
      </c>
      <c r="D27" s="15"/>
      <c r="E27" s="15"/>
      <c r="F27" s="15"/>
      <c r="G27" s="15"/>
      <c r="H27" s="15"/>
      <c r="I27" s="15">
        <v>146</v>
      </c>
      <c r="J27" s="15"/>
      <c r="K27" s="15"/>
      <c r="L27" s="15"/>
      <c r="M27" s="15"/>
      <c r="N27" s="55">
        <v>146</v>
      </c>
    </row>
    <row r="28" spans="1:14" ht="29.25" customHeight="1" x14ac:dyDescent="0.35">
      <c r="A28" s="1" t="s">
        <v>384</v>
      </c>
      <c r="B28" s="68" t="s">
        <v>39</v>
      </c>
      <c r="C28" s="15">
        <f t="shared" si="2"/>
        <v>0</v>
      </c>
      <c r="D28" s="15"/>
      <c r="E28" s="15"/>
      <c r="F28" s="15"/>
      <c r="G28" s="15"/>
      <c r="H28" s="15"/>
      <c r="I28" s="15">
        <v>132.9</v>
      </c>
      <c r="J28" s="15"/>
      <c r="K28" s="15"/>
      <c r="L28" s="15"/>
      <c r="M28" s="15"/>
      <c r="N28" s="55">
        <v>132.9</v>
      </c>
    </row>
    <row r="29" spans="1:14" ht="29.25" customHeight="1" x14ac:dyDescent="0.35">
      <c r="A29" s="1" t="s">
        <v>385</v>
      </c>
      <c r="B29" s="68" t="s">
        <v>39</v>
      </c>
      <c r="C29" s="15">
        <f t="shared" si="2"/>
        <v>0</v>
      </c>
      <c r="D29" s="15"/>
      <c r="E29" s="15">
        <v>26.7</v>
      </c>
      <c r="F29" s="15"/>
      <c r="G29" s="15"/>
      <c r="H29" s="15"/>
      <c r="I29" s="15"/>
      <c r="J29" s="15"/>
      <c r="K29" s="15"/>
      <c r="L29" s="15"/>
      <c r="M29" s="15"/>
      <c r="N29" s="55">
        <v>26.7</v>
      </c>
    </row>
    <row r="30" spans="1:14" ht="29.25" customHeight="1" x14ac:dyDescent="0.35">
      <c r="A30" s="1" t="s">
        <v>386</v>
      </c>
      <c r="B30" s="68" t="s">
        <v>39</v>
      </c>
      <c r="C30" s="15">
        <f t="shared" si="2"/>
        <v>0</v>
      </c>
      <c r="D30" s="15"/>
      <c r="E30" s="15"/>
      <c r="F30" s="15"/>
      <c r="G30" s="15"/>
      <c r="H30" s="15"/>
      <c r="I30" s="15">
        <v>187.85</v>
      </c>
      <c r="J30" s="15"/>
      <c r="K30" s="15"/>
      <c r="L30" s="15"/>
      <c r="M30" s="15"/>
      <c r="N30" s="55">
        <v>187.85</v>
      </c>
    </row>
    <row r="31" spans="1:14" ht="29.25" customHeight="1" x14ac:dyDescent="0.35">
      <c r="A31" s="1" t="s">
        <v>387</v>
      </c>
      <c r="B31" s="68" t="s">
        <v>39</v>
      </c>
      <c r="C31" s="15">
        <f t="shared" si="2"/>
        <v>0</v>
      </c>
      <c r="D31" s="15"/>
      <c r="E31" s="15"/>
      <c r="F31" s="15"/>
      <c r="G31" s="15"/>
      <c r="H31" s="15"/>
      <c r="I31" s="15">
        <v>2469.61</v>
      </c>
      <c r="J31" s="15"/>
      <c r="K31" s="15"/>
      <c r="L31" s="15"/>
      <c r="M31" s="15"/>
      <c r="N31" s="55">
        <v>2469.61</v>
      </c>
    </row>
    <row r="32" spans="1:14" ht="29.25" customHeight="1" x14ac:dyDescent="0.35">
      <c r="A32" s="1" t="s">
        <v>388</v>
      </c>
      <c r="B32" s="68" t="s">
        <v>39</v>
      </c>
      <c r="C32" s="15">
        <f t="shared" si="2"/>
        <v>0</v>
      </c>
      <c r="D32" s="15"/>
      <c r="E32" s="15"/>
      <c r="F32" s="15"/>
      <c r="G32" s="15"/>
      <c r="H32" s="15"/>
      <c r="I32" s="15">
        <v>301.16000000000003</v>
      </c>
      <c r="J32" s="15"/>
      <c r="K32" s="15"/>
      <c r="L32" s="15"/>
      <c r="M32" s="15"/>
      <c r="N32" s="55">
        <v>301.16000000000003</v>
      </c>
    </row>
    <row r="33" spans="1:15" ht="29.25" customHeight="1" x14ac:dyDescent="0.35">
      <c r="A33" s="1" t="s">
        <v>389</v>
      </c>
      <c r="B33" s="68" t="s">
        <v>39</v>
      </c>
      <c r="C33" s="15">
        <f t="shared" si="2"/>
        <v>6578.7000000000007</v>
      </c>
      <c r="D33" s="15"/>
      <c r="E33" s="15">
        <v>495.9</v>
      </c>
      <c r="F33" s="15"/>
      <c r="G33" s="15"/>
      <c r="H33" s="15"/>
      <c r="I33" s="15"/>
      <c r="J33" s="15"/>
      <c r="K33" s="15">
        <v>114.2</v>
      </c>
      <c r="L33" s="15"/>
      <c r="M33" s="15"/>
      <c r="N33" s="55">
        <v>7188.8</v>
      </c>
      <c r="O33" s="148" t="s">
        <v>390</v>
      </c>
    </row>
    <row r="34" spans="1:15" ht="29.25" customHeight="1" x14ac:dyDescent="0.35">
      <c r="A34" s="1" t="s">
        <v>391</v>
      </c>
      <c r="B34" s="68" t="s">
        <v>39</v>
      </c>
      <c r="C34" s="15">
        <f t="shared" si="2"/>
        <v>5641.07</v>
      </c>
      <c r="D34" s="15"/>
      <c r="E34" s="15">
        <v>6254.54</v>
      </c>
      <c r="F34" s="15"/>
      <c r="G34" s="15"/>
      <c r="H34" s="15"/>
      <c r="I34" s="15"/>
      <c r="J34" s="15"/>
      <c r="K34" s="15">
        <v>1416.11</v>
      </c>
      <c r="L34" s="15"/>
      <c r="M34" s="15"/>
      <c r="N34" s="55">
        <v>13311.72</v>
      </c>
      <c r="O34" s="148" t="s">
        <v>390</v>
      </c>
    </row>
    <row r="35" spans="1:15" ht="29.25" customHeight="1" x14ac:dyDescent="0.35">
      <c r="A35" s="1" t="s">
        <v>392</v>
      </c>
      <c r="B35" s="68" t="s">
        <v>39</v>
      </c>
      <c r="C35" s="15">
        <f t="shared" si="2"/>
        <v>2024.26</v>
      </c>
      <c r="D35" s="15"/>
      <c r="E35" s="15"/>
      <c r="F35" s="15"/>
      <c r="G35" s="15"/>
      <c r="H35" s="15"/>
      <c r="I35" s="15"/>
      <c r="J35" s="15"/>
      <c r="K35" s="15">
        <v>54.86</v>
      </c>
      <c r="L35" s="15"/>
      <c r="M35" s="15"/>
      <c r="N35" s="55">
        <v>2079.12</v>
      </c>
      <c r="O35" s="148" t="s">
        <v>390</v>
      </c>
    </row>
    <row r="36" spans="1:15" ht="29.25" customHeight="1" x14ac:dyDescent="0.35">
      <c r="A36" s="1" t="s">
        <v>393</v>
      </c>
      <c r="B36" s="68" t="s">
        <v>39</v>
      </c>
      <c r="C36" s="15">
        <f t="shared" si="2"/>
        <v>130.18</v>
      </c>
      <c r="D36" s="15"/>
      <c r="E36" s="15"/>
      <c r="F36" s="15"/>
      <c r="G36" s="15"/>
      <c r="H36" s="15"/>
      <c r="I36" s="15"/>
      <c r="J36" s="15"/>
      <c r="K36" s="15">
        <v>40</v>
      </c>
      <c r="L36" s="15"/>
      <c r="M36" s="15"/>
      <c r="N36" s="55">
        <v>170.18</v>
      </c>
      <c r="O36" s="148" t="s">
        <v>390</v>
      </c>
    </row>
    <row r="37" spans="1:15" ht="29.25" customHeight="1" x14ac:dyDescent="0.35">
      <c r="A37" s="1" t="s">
        <v>394</v>
      </c>
      <c r="B37" s="68" t="s">
        <v>39</v>
      </c>
      <c r="C37" s="15">
        <f t="shared" si="2"/>
        <v>0</v>
      </c>
      <c r="D37" s="15"/>
      <c r="E37" s="15"/>
      <c r="F37" s="15"/>
      <c r="G37" s="15"/>
      <c r="H37" s="15"/>
      <c r="I37" s="15">
        <v>1482.8</v>
      </c>
      <c r="J37" s="15"/>
      <c r="K37" s="15"/>
      <c r="L37" s="15"/>
      <c r="M37" s="15"/>
      <c r="N37" s="55">
        <v>1482.8</v>
      </c>
      <c r="O37" s="148" t="s">
        <v>390</v>
      </c>
    </row>
    <row r="38" spans="1:15" ht="29.25" customHeight="1" x14ac:dyDescent="0.35">
      <c r="A38" s="1" t="s">
        <v>395</v>
      </c>
      <c r="B38" s="68" t="s">
        <v>77</v>
      </c>
      <c r="C38" s="15">
        <f t="shared" si="2"/>
        <v>47.58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>
        <v>47.58</v>
      </c>
      <c r="O38" s="148" t="s">
        <v>390</v>
      </c>
    </row>
    <row r="39" spans="1:15" ht="29.25" customHeight="1" x14ac:dyDescent="0.35">
      <c r="A39" s="1" t="s">
        <v>396</v>
      </c>
      <c r="B39" s="68" t="s">
        <v>77</v>
      </c>
      <c r="C39" s="15">
        <f t="shared" si="2"/>
        <v>50.16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>
        <v>50.16</v>
      </c>
      <c r="O39" s="148" t="s">
        <v>390</v>
      </c>
    </row>
    <row r="40" spans="1:15" ht="29.25" customHeight="1" x14ac:dyDescent="0.35">
      <c r="A40" s="1" t="s">
        <v>397</v>
      </c>
      <c r="B40" s="68" t="s">
        <v>77</v>
      </c>
      <c r="C40" s="15">
        <f t="shared" si="2"/>
        <v>25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>
        <v>25</v>
      </c>
      <c r="O40" s="148" t="s">
        <v>390</v>
      </c>
    </row>
    <row r="41" spans="1:15" ht="29.25" customHeight="1" x14ac:dyDescent="0.35">
      <c r="A41" s="1" t="s">
        <v>398</v>
      </c>
      <c r="B41" s="68" t="s">
        <v>77</v>
      </c>
      <c r="C41" s="15">
        <f t="shared" si="2"/>
        <v>23.71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>
        <v>23.71</v>
      </c>
      <c r="O41" s="148" t="s">
        <v>390</v>
      </c>
    </row>
    <row r="42" spans="1:15" ht="29.25" customHeight="1" x14ac:dyDescent="0.35">
      <c r="A42" s="1" t="s">
        <v>399</v>
      </c>
      <c r="B42" s="68" t="s">
        <v>29</v>
      </c>
      <c r="C42" s="15">
        <f t="shared" si="2"/>
        <v>349.02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>
        <v>349.02</v>
      </c>
    </row>
    <row r="43" spans="1:15" ht="29.25" customHeight="1" x14ac:dyDescent="0.35">
      <c r="A43" s="1" t="s">
        <v>400</v>
      </c>
      <c r="B43" s="68" t="s">
        <v>118</v>
      </c>
      <c r="C43" s="15">
        <f t="shared" si="2"/>
        <v>87.13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>
        <v>87.13</v>
      </c>
    </row>
    <row r="44" spans="1:15" ht="29.25" customHeight="1" x14ac:dyDescent="0.35">
      <c r="A44" s="1" t="s">
        <v>401</v>
      </c>
      <c r="B44" s="68" t="s">
        <v>402</v>
      </c>
      <c r="C44" s="15">
        <f t="shared" si="2"/>
        <v>0</v>
      </c>
      <c r="D44" s="15"/>
      <c r="E44" s="15">
        <v>3024.7</v>
      </c>
      <c r="F44" s="15"/>
      <c r="G44" s="15"/>
      <c r="H44" s="15"/>
      <c r="I44" s="15"/>
      <c r="J44" s="15"/>
      <c r="K44" s="15"/>
      <c r="L44" s="15"/>
      <c r="M44" s="15"/>
      <c r="N44" s="55">
        <v>3024.7</v>
      </c>
    </row>
    <row r="45" spans="1:15" ht="29.25" customHeight="1" x14ac:dyDescent="0.35">
      <c r="A45" s="1" t="s">
        <v>403</v>
      </c>
      <c r="B45" s="68" t="s">
        <v>245</v>
      </c>
      <c r="C45" s="15">
        <f t="shared" si="2"/>
        <v>0</v>
      </c>
      <c r="D45" s="15"/>
      <c r="E45" s="15">
        <v>1140.7</v>
      </c>
      <c r="F45" s="15"/>
      <c r="G45" s="15"/>
      <c r="H45" s="15"/>
      <c r="I45" s="15"/>
      <c r="J45" s="15"/>
      <c r="K45" s="15"/>
      <c r="L45" s="15"/>
      <c r="M45" s="15"/>
      <c r="N45" s="55">
        <v>1140.7</v>
      </c>
    </row>
    <row r="46" spans="1:15" ht="29.25" customHeight="1" x14ac:dyDescent="0.35">
      <c r="A46" s="1" t="s">
        <v>404</v>
      </c>
      <c r="B46" s="68" t="s">
        <v>245</v>
      </c>
      <c r="C46" s="15">
        <f t="shared" si="2"/>
        <v>330.76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>
        <v>330.76</v>
      </c>
    </row>
    <row r="47" spans="1:15" ht="29.25" customHeight="1" x14ac:dyDescent="0.35">
      <c r="A47" s="1" t="s">
        <v>405</v>
      </c>
      <c r="B47" s="68" t="s">
        <v>245</v>
      </c>
      <c r="C47" s="15">
        <f t="shared" si="2"/>
        <v>0</v>
      </c>
      <c r="D47" s="15"/>
      <c r="E47" s="15">
        <v>37.28</v>
      </c>
      <c r="F47" s="15"/>
      <c r="G47" s="15"/>
      <c r="H47" s="15"/>
      <c r="I47" s="15"/>
      <c r="J47" s="15"/>
      <c r="K47" s="15"/>
      <c r="L47" s="15"/>
      <c r="M47" s="15"/>
      <c r="N47" s="55">
        <v>37.28</v>
      </c>
    </row>
    <row r="48" spans="1:15" ht="29.25" customHeight="1" x14ac:dyDescent="0.35">
      <c r="A48" s="1" t="s">
        <v>82</v>
      </c>
      <c r="B48" s="68" t="s">
        <v>82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ref="C54:C55" si="3">N54-D54-E54-F54-G54-H54-I54-J54-K54-L54-M54-D108-E108-F108-G108-H108-I108-J108-K108-L108-C108</f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si="3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39</v>
      </c>
      <c r="C56" s="16">
        <f>C3</f>
        <v>121.75615999999999</v>
      </c>
      <c r="D56" s="16"/>
      <c r="E56" s="16">
        <f>E3</f>
        <v>25.217280000000002</v>
      </c>
      <c r="F56" s="16">
        <f t="shared" ref="F56:L56" si="4">F3</f>
        <v>0</v>
      </c>
      <c r="G56" s="16">
        <f t="shared" si="4"/>
        <v>0</v>
      </c>
      <c r="H56" s="16">
        <f t="shared" si="4"/>
        <v>0</v>
      </c>
      <c r="I56" s="16">
        <f t="shared" si="4"/>
        <v>40.500480000000003</v>
      </c>
      <c r="J56" s="16">
        <f t="shared" si="4"/>
        <v>31.075839999999999</v>
      </c>
      <c r="K56" s="16">
        <f t="shared" si="4"/>
        <v>36.17024</v>
      </c>
      <c r="L56" s="16">
        <f t="shared" si="4"/>
        <v>0</v>
      </c>
      <c r="M56" s="16"/>
      <c r="N56" s="60">
        <f>SUM(C56:M56)+SUM(C118:J118)</f>
        <v>254.72</v>
      </c>
      <c r="O56" s="148" t="s">
        <v>406</v>
      </c>
    </row>
    <row r="57" spans="1:15" ht="29.25" customHeight="1" thickBot="1" x14ac:dyDescent="0.45">
      <c r="A57" s="24" t="s">
        <v>84</v>
      </c>
      <c r="B57" s="10"/>
      <c r="C57" s="61">
        <f t="shared" ref="C57:M57" si="5">SUM(C6:C56)</f>
        <v>24524.846160000001</v>
      </c>
      <c r="D57" s="61">
        <f t="shared" si="5"/>
        <v>0</v>
      </c>
      <c r="E57" s="61">
        <f t="shared" si="5"/>
        <v>18687.967280000001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4760.8204799999994</v>
      </c>
      <c r="J57" s="61">
        <f t="shared" si="5"/>
        <v>31.075839999999999</v>
      </c>
      <c r="K57" s="61">
        <f t="shared" si="5"/>
        <v>5761.0502399999996</v>
      </c>
      <c r="L57" s="61">
        <f t="shared" si="5"/>
        <v>0</v>
      </c>
      <c r="M57" s="61">
        <f t="shared" si="5"/>
        <v>0</v>
      </c>
      <c r="N57" s="61">
        <f>SUM(N6:N56)</f>
        <v>53765.760000000002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15</v>
      </c>
      <c r="B59" s="224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>4003725681</v>
      </c>
      <c r="B60" s="9" t="str">
        <f>B6</f>
        <v>SAPUTO DAIRY PRODUCTS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6">A7</f>
        <v>6672805</v>
      </c>
      <c r="B61" s="9" t="str">
        <f t="shared" si="6"/>
        <v>THE GROCERY PEOPLE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6"/>
        <v>6674089</v>
      </c>
      <c r="B62" s="9" t="str">
        <f t="shared" si="6"/>
        <v>THE GROCERY PEOPLE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6"/>
        <v>6672317</v>
      </c>
      <c r="B63" s="9" t="str">
        <f t="shared" si="6"/>
        <v>THE GROCERY PEOPLE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6"/>
        <v>5638271</v>
      </c>
      <c r="B64" s="9" t="str">
        <f t="shared" si="6"/>
        <v>THE GROCERY PEOPLE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ref="A65:B68" si="7">A11</f>
        <v>5638389</v>
      </c>
      <c r="B65" s="9" t="str">
        <f t="shared" si="7"/>
        <v>THE GROCERY PEOPLE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7"/>
        <v>5639394</v>
      </c>
      <c r="B66" s="9" t="str">
        <f t="shared" si="7"/>
        <v>THE GROCERY PEOPLE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7"/>
        <v>5639528</v>
      </c>
      <c r="B67" s="9" t="str">
        <f t="shared" si="7"/>
        <v>THE GROCERY PEOPLE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7"/>
        <v>5639615</v>
      </c>
      <c r="B68" s="9" t="str">
        <f t="shared" si="7"/>
        <v>THE GROCERY PEOPLE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6"/>
        <v>5639857</v>
      </c>
      <c r="B69" s="9" t="str">
        <f t="shared" si="6"/>
        <v>THE GROCERY PEOPLE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6"/>
        <v>5640349</v>
      </c>
      <c r="B70" s="9" t="str">
        <f t="shared" si="6"/>
        <v>THE GROCERY PEOPLE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6"/>
        <v>5640350</v>
      </c>
      <c r="B71" s="9" t="str">
        <f t="shared" si="6"/>
        <v>THE GROCERY PEOPLE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6"/>
        <v>5640351</v>
      </c>
      <c r="B72" s="9" t="str">
        <f t="shared" si="6"/>
        <v>THE GROCERY PEOPLE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6"/>
        <v>8245664</v>
      </c>
      <c r="B73" s="9" t="str">
        <f t="shared" si="6"/>
        <v>THE GROCERY PEOPLE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6"/>
        <v>5637937</v>
      </c>
      <c r="B74" s="9" t="str">
        <f t="shared" si="6"/>
        <v>THE GROCERY PEOPLE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6"/>
        <v>5638269</v>
      </c>
      <c r="B75" s="9" t="str">
        <f t="shared" si="6"/>
        <v>THE GROCERY PEOPLE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6"/>
        <v>5638270</v>
      </c>
      <c r="B76" s="9" t="str">
        <f t="shared" si="6"/>
        <v>THE GROCERY PEOPLE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8">A23</f>
        <v>5639276</v>
      </c>
      <c r="B77" s="9" t="str">
        <f t="shared" si="8"/>
        <v>THE GROCERY PEOPLE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8"/>
        <v>5639614</v>
      </c>
      <c r="B78" s="9" t="str">
        <f t="shared" si="8"/>
        <v>THE GROCERY PEOPLE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8"/>
        <v>5639856</v>
      </c>
      <c r="B79" s="9" t="str">
        <f t="shared" si="8"/>
        <v>THE GROCERY PEOPLE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8"/>
        <v>5640151</v>
      </c>
      <c r="B80" s="9" t="str">
        <f t="shared" si="8"/>
        <v>THE GROCERY PEOPLE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8"/>
        <v>5639221</v>
      </c>
      <c r="B81" s="9" t="str">
        <f t="shared" si="8"/>
        <v>THE GROCERY PEOPLE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8"/>
        <v>5639264</v>
      </c>
      <c r="B82" s="9" t="str">
        <f t="shared" si="8"/>
        <v>THE GROCERY PEOPLE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8"/>
        <v>5640622</v>
      </c>
      <c r="B83" s="9" t="str">
        <f t="shared" si="8"/>
        <v>THE GROCERY PEOPLE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8"/>
        <v>5640769</v>
      </c>
      <c r="B84" s="9" t="str">
        <f t="shared" si="8"/>
        <v>THE GROCERY PEOPLE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8"/>
        <v>5640780</v>
      </c>
      <c r="B85" s="9" t="str">
        <f t="shared" si="8"/>
        <v>THE GROCERY PEOPLE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8"/>
        <v>5640791</v>
      </c>
      <c r="B86" s="9" t="str">
        <f t="shared" si="8"/>
        <v>THE GROCERY PEOPLE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8"/>
        <v>5638048</v>
      </c>
      <c r="B87" s="9" t="str">
        <f t="shared" si="8"/>
        <v>THE GROCERY PEOPLE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8"/>
        <v>5638263</v>
      </c>
      <c r="B88" s="9" t="str">
        <f t="shared" si="8"/>
        <v>THE GROCERY PEOPLE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8"/>
        <v>5638386</v>
      </c>
      <c r="B89" s="9" t="str">
        <f t="shared" si="8"/>
        <v>THE GROCERY PEOPLE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8"/>
        <v>5638387</v>
      </c>
      <c r="B90" s="9" t="str">
        <f t="shared" si="8"/>
        <v>THE GROCERY PEOPLE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8"/>
        <v>5639458</v>
      </c>
      <c r="B91" s="9" t="str">
        <f t="shared" si="8"/>
        <v>THE GROCERY PEOPLE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8"/>
        <v>6658229</v>
      </c>
      <c r="B92" s="9" t="str">
        <f t="shared" si="8"/>
        <v>FEDERATED CO-OPERATIVES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9">A39</f>
        <v>6658230</v>
      </c>
      <c r="B93" s="9" t="str">
        <f t="shared" si="9"/>
        <v>FEDERATED CO-OPERATIVES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9"/>
        <v>6668860</v>
      </c>
      <c r="B94" s="9" t="str">
        <f t="shared" si="9"/>
        <v>FEDERATED CO-OPERATIVES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9"/>
        <v>6669395</v>
      </c>
      <c r="B95" s="9" t="str">
        <f t="shared" si="9"/>
        <v>FEDERATED CO-OPERATIVES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9"/>
        <v>126552</v>
      </c>
      <c r="B96" s="9" t="str">
        <f t="shared" si="9"/>
        <v>ITALIAN BAKERY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9"/>
        <v>226650718381</v>
      </c>
      <c r="B97" s="9" t="str">
        <f t="shared" si="9"/>
        <v>CANADA BREAD COMPANY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9"/>
        <v>1120443</v>
      </c>
      <c r="B98" s="9" t="str">
        <f t="shared" si="9"/>
        <v>CALAHOO MEATS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9"/>
        <v>2882618305</v>
      </c>
      <c r="B99" s="9" t="str">
        <f t="shared" si="9"/>
        <v>DIRECT PLUS FOOD GROUP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9"/>
        <v>2882618307</v>
      </c>
      <c r="B100" s="9" t="str">
        <f t="shared" si="9"/>
        <v>DIRECT PLUS FOOD GROUP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9"/>
        <v>2882618306</v>
      </c>
      <c r="B101" s="9" t="str">
        <f t="shared" si="9"/>
        <v>DIRECT PLUS FOOD GROUP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9"/>
        <v xml:space="preserve"> </v>
      </c>
      <c r="B102" s="9" t="str">
        <f t="shared" si="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9"/>
        <v xml:space="preserve"> </v>
      </c>
      <c r="B103" s="9" t="str">
        <f t="shared" si="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9"/>
        <v xml:space="preserve"> </v>
      </c>
      <c r="B104" s="9" t="str">
        <f t="shared" si="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9"/>
        <v xml:space="preserve"> </v>
      </c>
      <c r="B105" s="9" t="str">
        <f t="shared" si="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9"/>
        <v xml:space="preserve"> </v>
      </c>
      <c r="B106" s="9" t="str">
        <f t="shared" si="9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9"/>
        <v xml:space="preserve"> </v>
      </c>
      <c r="B107" s="9" t="str">
        <f t="shared" si="9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9"/>
        <v xml:space="preserve"> </v>
      </c>
      <c r="B108" s="9" t="str">
        <f t="shared" si="9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0">A55</f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1">SUM(E60:E109)</f>
        <v>0</v>
      </c>
      <c r="F110" s="53">
        <f t="shared" si="11"/>
        <v>0</v>
      </c>
      <c r="G110" s="53">
        <f t="shared" si="11"/>
        <v>0</v>
      </c>
      <c r="H110" s="53">
        <f t="shared" si="11"/>
        <v>0</v>
      </c>
      <c r="I110" s="53">
        <f t="shared" si="11"/>
        <v>0</v>
      </c>
      <c r="J110" s="54">
        <f t="shared" si="11"/>
        <v>0</v>
      </c>
      <c r="K110" s="49">
        <f t="shared" si="11"/>
        <v>0</v>
      </c>
      <c r="L110" s="11">
        <v>0</v>
      </c>
      <c r="M110" s="14"/>
    </row>
  </sheetData>
  <hyperlinks>
    <hyperlink ref="M1" location="'Receiving Totals'!A1" display="Receiving Totals" xr:uid="{04E6F38C-B752-4769-864D-8D6C9358586E}"/>
  </hyperlinks>
  <pageMargins left="0.7" right="0.7" top="0.75" bottom="0.75" header="0.3" footer="0.3"/>
  <pageSetup scale="29" orientation="landscape" verticalDpi="1200" r:id="rId1"/>
  <rowBreaks count="1" manualBreakCount="1">
    <brk id="57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6887-2791-4F4B-8B61-D9BC03503B8C}">
  <dimension ref="A1:O110"/>
  <sheetViews>
    <sheetView zoomScale="60" zoomScaleNormal="60" workbookViewId="0">
      <pane ySplit="5" topLeftCell="A53" activePane="bottomLeft" state="frozen"/>
      <selection activeCell="A6" sqref="A6"/>
      <selection pane="bottomLeft" activeCell="A62" sqref="A62"/>
    </sheetView>
  </sheetViews>
  <sheetFormatPr defaultColWidth="9.140625" defaultRowHeight="23.25" x14ac:dyDescent="0.35"/>
  <cols>
    <col min="1" max="2" width="48.42578125" style="13" customWidth="1"/>
    <col min="3" max="3" width="35" style="13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5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5" ht="33" customHeight="1" x14ac:dyDescent="0.5">
      <c r="A3" s="12"/>
      <c r="B3" s="65" t="s">
        <v>13</v>
      </c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5" ht="21" customHeight="1" x14ac:dyDescent="0.35">
      <c r="A4" s="63" t="s">
        <v>14</v>
      </c>
      <c r="B4" s="64">
        <f>'Thursday WK2 (12)'!B4+1</f>
        <v>46206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x14ac:dyDescent="0.35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29.25" customHeight="1" x14ac:dyDescent="0.35">
      <c r="A6" s="1" t="s">
        <v>407</v>
      </c>
      <c r="B6" s="68" t="s">
        <v>104</v>
      </c>
      <c r="C6" s="15">
        <f t="shared" ref="C6:C12" si="1">N6-D6-E6-F6-G6-H6-I6-J6-K6-L6-M6-D60-E60-F60-G60-H60-I60-J60-K60-L60-C60</f>
        <v>6991.49</v>
      </c>
      <c r="D6" s="15"/>
      <c r="E6" s="15"/>
      <c r="F6" s="15"/>
      <c r="G6" s="15"/>
      <c r="H6" s="15"/>
      <c r="I6" s="15"/>
      <c r="J6" s="15"/>
      <c r="K6" s="15"/>
      <c r="L6" s="15"/>
      <c r="M6" s="15">
        <v>282.5</v>
      </c>
      <c r="N6" s="55">
        <v>7273.99</v>
      </c>
    </row>
    <row r="7" spans="1:15" ht="29.25" customHeight="1" x14ac:dyDescent="0.35">
      <c r="A7" s="1" t="s">
        <v>408</v>
      </c>
      <c r="B7" s="68" t="s">
        <v>115</v>
      </c>
      <c r="C7" s="15">
        <f t="shared" si="1"/>
        <v>461.31</v>
      </c>
      <c r="D7" s="15"/>
      <c r="E7" s="15"/>
      <c r="F7" s="15"/>
      <c r="G7" s="15"/>
      <c r="H7" s="15"/>
      <c r="I7" s="15"/>
      <c r="J7" s="15"/>
      <c r="K7" s="15"/>
      <c r="L7" s="15"/>
      <c r="M7" s="15">
        <v>23.07</v>
      </c>
      <c r="N7" s="55">
        <v>484.38</v>
      </c>
    </row>
    <row r="8" spans="1:15" ht="29.25" customHeight="1" x14ac:dyDescent="0.35">
      <c r="A8" s="1" t="s">
        <v>409</v>
      </c>
      <c r="B8" s="68" t="s">
        <v>115</v>
      </c>
      <c r="C8" s="15">
        <f t="shared" si="1"/>
        <v>-63.51</v>
      </c>
      <c r="D8" s="15"/>
      <c r="E8" s="15"/>
      <c r="F8" s="15"/>
      <c r="G8" s="15"/>
      <c r="H8" s="15"/>
      <c r="I8" s="15"/>
      <c r="J8" s="15"/>
      <c r="K8" s="15"/>
      <c r="L8" s="15"/>
      <c r="M8" s="15">
        <v>-3.18</v>
      </c>
      <c r="N8" s="55">
        <v>-66.69</v>
      </c>
    </row>
    <row r="9" spans="1:15" ht="29.25" customHeight="1" x14ac:dyDescent="0.35">
      <c r="A9" s="1" t="s">
        <v>410</v>
      </c>
      <c r="B9" s="68" t="s">
        <v>162</v>
      </c>
      <c r="C9" s="15">
        <f t="shared" si="1"/>
        <v>729.05</v>
      </c>
      <c r="D9" s="15"/>
      <c r="E9" s="15"/>
      <c r="F9" s="15"/>
      <c r="G9" s="15"/>
      <c r="H9" s="15"/>
      <c r="I9" s="15"/>
      <c r="J9" s="15"/>
      <c r="K9" s="15"/>
      <c r="L9" s="15"/>
      <c r="M9" s="15">
        <v>36.46</v>
      </c>
      <c r="N9" s="55">
        <v>765.51</v>
      </c>
    </row>
    <row r="10" spans="1:15" ht="29.25" customHeight="1" x14ac:dyDescent="0.35">
      <c r="A10" s="1" t="s">
        <v>411</v>
      </c>
      <c r="B10" s="68" t="s">
        <v>237</v>
      </c>
      <c r="C10" s="15">
        <f t="shared" si="1"/>
        <v>1274.06</v>
      </c>
      <c r="D10" s="15"/>
      <c r="E10" s="15"/>
      <c r="F10" s="15"/>
      <c r="G10" s="15"/>
      <c r="H10" s="15"/>
      <c r="I10" s="15"/>
      <c r="J10" s="15"/>
      <c r="K10" s="15"/>
      <c r="L10" s="15"/>
      <c r="M10" s="15">
        <v>63.7</v>
      </c>
      <c r="N10" s="55">
        <v>1337.76</v>
      </c>
    </row>
    <row r="11" spans="1:15" ht="29.25" customHeight="1" x14ac:dyDescent="0.35">
      <c r="A11" s="1" t="s">
        <v>412</v>
      </c>
      <c r="B11" s="68" t="s">
        <v>413</v>
      </c>
      <c r="C11" s="15">
        <f t="shared" si="1"/>
        <v>111.84</v>
      </c>
      <c r="D11" s="15"/>
      <c r="E11" s="15"/>
      <c r="F11" s="15"/>
      <c r="G11" s="15"/>
      <c r="H11" s="15"/>
      <c r="I11" s="15"/>
      <c r="J11" s="15"/>
      <c r="K11" s="15">
        <v>218.72</v>
      </c>
      <c r="L11" s="15"/>
      <c r="M11" s="15"/>
      <c r="N11" s="55">
        <v>330.56</v>
      </c>
    </row>
    <row r="12" spans="1:15" ht="29.25" customHeight="1" x14ac:dyDescent="0.35">
      <c r="A12" s="1" t="s">
        <v>414</v>
      </c>
      <c r="B12" s="68" t="s">
        <v>39</v>
      </c>
      <c r="C12" s="15">
        <f t="shared" si="1"/>
        <v>-1155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>
        <v>-1155</v>
      </c>
      <c r="O12" s="148" t="s">
        <v>415</v>
      </c>
    </row>
    <row r="13" spans="1:15" ht="29.25" customHeight="1" x14ac:dyDescent="0.35">
      <c r="A13" s="1" t="s">
        <v>82</v>
      </c>
      <c r="B13" s="68" t="s">
        <v>82</v>
      </c>
      <c r="C13" s="15">
        <f t="shared" ref="C13:C21" si="2">N13-D13-E13-F13-G13-H13-I13-J13-K13-L13-M13-D67-E67-F67-G67-H67-I67-J67-K67-L67-C67</f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5" ht="29.25" customHeight="1" x14ac:dyDescent="0.35">
      <c r="A14" s="1" t="s">
        <v>82</v>
      </c>
      <c r="B14" s="68" t="s">
        <v>82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5" ht="29.25" customHeight="1" x14ac:dyDescent="0.35">
      <c r="A15" s="1" t="s">
        <v>82</v>
      </c>
      <c r="B15" s="68" t="s">
        <v>82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5" ht="29.25" customHeight="1" x14ac:dyDescent="0.35">
      <c r="A16" s="1" t="s">
        <v>82</v>
      </c>
      <c r="B16" s="68" t="s">
        <v>82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82</v>
      </c>
      <c r="B17" s="68" t="s">
        <v>82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ref="C22:C54" si="3">N22-D22-E22-F22-G22-H22-I22-J22-K22-L22-M22-D76-E76-F76-G76-H76-I76-J76-K76-L76-C76</f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si="3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si="3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3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3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3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3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3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3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3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3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3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3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3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3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3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3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3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3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3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3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3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3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3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3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3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3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si="3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si="3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3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3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3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3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4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  <c r="O56" s="150" t="s">
        <v>416</v>
      </c>
    </row>
    <row r="57" spans="1:15" ht="29.25" customHeight="1" x14ac:dyDescent="0.4">
      <c r="A57" s="24" t="s">
        <v>84</v>
      </c>
      <c r="B57" s="10"/>
      <c r="C57" s="61">
        <f t="shared" ref="C57:M57" si="6">SUM(C6:C56)</f>
        <v>8349.24</v>
      </c>
      <c r="D57" s="61">
        <f t="shared" si="6"/>
        <v>0</v>
      </c>
      <c r="E57" s="61">
        <f t="shared" si="6"/>
        <v>0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218.72</v>
      </c>
      <c r="L57" s="61">
        <f t="shared" si="6"/>
        <v>0</v>
      </c>
      <c r="M57" s="61">
        <f t="shared" si="6"/>
        <v>402.54999999999995</v>
      </c>
      <c r="N57" s="61">
        <f>SUM(N6:N56)</f>
        <v>8970.51</v>
      </c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>53097633101</v>
      </c>
      <c r="B60" s="9" t="str">
        <f>B6</f>
        <v>COCA COLA CANADA BOTTLING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7">A7</f>
        <v>82849831</v>
      </c>
      <c r="B61" s="9" t="str">
        <f t="shared" si="7"/>
        <v>OLD DUTCH FOODS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7"/>
        <v>82849832</v>
      </c>
      <c r="B62" s="9" t="str">
        <f t="shared" si="7"/>
        <v>OLD DUTCH FOODS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7"/>
        <v>94181775</v>
      </c>
      <c r="B63" s="9" t="str">
        <f t="shared" si="7"/>
        <v>FRITO LAY CANADA RETAIL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7"/>
        <v>0117434</v>
      </c>
      <c r="B64" s="9" t="str">
        <f t="shared" si="7"/>
        <v>G &amp; L DISTRIBUTORS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7"/>
        <v>10484</v>
      </c>
      <c r="B65" s="9" t="str">
        <f t="shared" si="7"/>
        <v>ALTA AGRI-FOODS LTD.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7"/>
        <v>6017</v>
      </c>
      <c r="B66" s="9" t="str">
        <f t="shared" si="7"/>
        <v>THE GROCERY PEOPLE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7"/>
        <v xml:space="preserve"> </v>
      </c>
      <c r="B67" s="9" t="str">
        <f t="shared" si="7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7"/>
        <v xml:space="preserve"> </v>
      </c>
      <c r="B68" s="9" t="str">
        <f t="shared" si="7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7"/>
        <v xml:space="preserve"> </v>
      </c>
      <c r="B69" s="9" t="str">
        <f t="shared" si="7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7"/>
        <v xml:space="preserve"> </v>
      </c>
      <c r="B70" s="9" t="str">
        <f t="shared" si="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7"/>
        <v xml:space="preserve"> </v>
      </c>
      <c r="B71" s="9" t="str">
        <f t="shared" si="7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7"/>
        <v xml:space="preserve"> </v>
      </c>
      <c r="B72" s="9" t="str">
        <f t="shared" si="7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7"/>
        <v xml:space="preserve"> </v>
      </c>
      <c r="B73" s="9" t="str">
        <f t="shared" si="7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7"/>
        <v xml:space="preserve"> </v>
      </c>
      <c r="B74" s="9" t="str">
        <f t="shared" si="7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7"/>
        <v xml:space="preserve"> </v>
      </c>
      <c r="B75" s="9" t="str">
        <f t="shared" si="7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7"/>
        <v xml:space="preserve"> </v>
      </c>
      <c r="B76" s="9" t="str">
        <f t="shared" si="7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8">A23</f>
        <v xml:space="preserve"> </v>
      </c>
      <c r="B77" s="9" t="str">
        <f t="shared" si="8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8"/>
        <v xml:space="preserve"> </v>
      </c>
      <c r="B78" s="9" t="str">
        <f t="shared" si="8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8"/>
        <v xml:space="preserve"> </v>
      </c>
      <c r="B79" s="9" t="str">
        <f t="shared" si="8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8"/>
        <v xml:space="preserve"> </v>
      </c>
      <c r="B80" s="9" t="str">
        <f t="shared" si="8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8"/>
        <v xml:space="preserve"> </v>
      </c>
      <c r="B81" s="9" t="str">
        <f t="shared" si="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8"/>
        <v xml:space="preserve"> </v>
      </c>
      <c r="B82" s="9" t="str">
        <f t="shared" si="8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8"/>
        <v xml:space="preserve"> </v>
      </c>
      <c r="B83" s="9" t="str">
        <f t="shared" si="8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8"/>
        <v xml:space="preserve"> </v>
      </c>
      <c r="B84" s="9" t="str">
        <f t="shared" si="8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8"/>
        <v xml:space="preserve"> </v>
      </c>
      <c r="B85" s="9" t="str">
        <f t="shared" si="8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8"/>
        <v xml:space="preserve"> </v>
      </c>
      <c r="B86" s="9" t="str">
        <f t="shared" si="8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8"/>
        <v xml:space="preserve"> </v>
      </c>
      <c r="B87" s="9" t="str">
        <f t="shared" si="8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8"/>
        <v xml:space="preserve"> </v>
      </c>
      <c r="B88" s="9" t="str">
        <f t="shared" si="8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8"/>
        <v xml:space="preserve"> </v>
      </c>
      <c r="B89" s="9" t="str">
        <f t="shared" si="8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8"/>
        <v xml:space="preserve"> </v>
      </c>
      <c r="B90" s="9" t="str">
        <f t="shared" si="8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8"/>
        <v xml:space="preserve"> </v>
      </c>
      <c r="B91" s="9" t="str">
        <f t="shared" si="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8"/>
        <v xml:space="preserve"> </v>
      </c>
      <c r="B92" s="9" t="str">
        <f t="shared" si="8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9">A39</f>
        <v xml:space="preserve"> </v>
      </c>
      <c r="B93" s="9" t="str">
        <f t="shared" si="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9"/>
        <v xml:space="preserve"> </v>
      </c>
      <c r="B94" s="9" t="str">
        <f t="shared" si="9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9"/>
        <v xml:space="preserve"> </v>
      </c>
      <c r="B95" s="9" t="str">
        <f t="shared" si="9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9"/>
        <v xml:space="preserve"> </v>
      </c>
      <c r="B96" s="9" t="str">
        <f t="shared" si="9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9"/>
        <v xml:space="preserve"> </v>
      </c>
      <c r="B97" s="9" t="str">
        <f t="shared" si="9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9"/>
        <v xml:space="preserve"> </v>
      </c>
      <c r="B98" s="9" t="str">
        <f t="shared" si="9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9"/>
        <v xml:space="preserve"> </v>
      </c>
      <c r="B99" s="9" t="str">
        <f t="shared" si="9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9"/>
        <v xml:space="preserve"> </v>
      </c>
      <c r="B100" s="9" t="str">
        <f t="shared" si="9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9"/>
        <v xml:space="preserve"> </v>
      </c>
      <c r="B101" s="9" t="str">
        <f t="shared" si="9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9"/>
        <v xml:space="preserve"> </v>
      </c>
      <c r="B102" s="9" t="str">
        <f t="shared" si="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9"/>
        <v xml:space="preserve"> </v>
      </c>
      <c r="B103" s="9" t="str">
        <f t="shared" si="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9"/>
        <v xml:space="preserve"> </v>
      </c>
      <c r="B104" s="9" t="str">
        <f t="shared" si="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9"/>
        <v xml:space="preserve"> </v>
      </c>
      <c r="B105" s="9" t="str">
        <f t="shared" si="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9"/>
        <v xml:space="preserve"> </v>
      </c>
      <c r="B106" s="9" t="str">
        <f t="shared" si="9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9"/>
        <v xml:space="preserve"> </v>
      </c>
      <c r="B107" s="9" t="str">
        <f t="shared" si="9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9"/>
        <v xml:space="preserve"> </v>
      </c>
      <c r="B108" s="9" t="str">
        <f t="shared" si="9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0">A55</f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1">SUM(E60:E109)</f>
        <v>0</v>
      </c>
      <c r="F110" s="53">
        <f t="shared" si="11"/>
        <v>0</v>
      </c>
      <c r="G110" s="53">
        <f t="shared" si="11"/>
        <v>0</v>
      </c>
      <c r="H110" s="53">
        <f t="shared" si="11"/>
        <v>0</v>
      </c>
      <c r="I110" s="53">
        <f t="shared" si="11"/>
        <v>0</v>
      </c>
      <c r="J110" s="54">
        <f t="shared" si="11"/>
        <v>0</v>
      </c>
      <c r="K110" s="49">
        <f t="shared" si="11"/>
        <v>0</v>
      </c>
      <c r="L110" s="11">
        <v>0</v>
      </c>
      <c r="M110" s="14"/>
    </row>
  </sheetData>
  <hyperlinks>
    <hyperlink ref="M1" location="'Receiving Totals'!A1" display="Receiving Totals" xr:uid="{B61E8712-7090-4122-B65A-BAC1FE4D4B15}"/>
  </hyperlinks>
  <pageMargins left="0.7" right="0.7" top="0.75" bottom="0.75" header="0.3" footer="0.3"/>
  <pageSetup scale="30" fitToHeight="2" orientation="landscape" r:id="rId1"/>
  <rowBreaks count="1" manualBreakCount="1">
    <brk id="57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FB50-60C9-474E-831C-0431FB58F285}">
  <dimension ref="A1:R110"/>
  <sheetViews>
    <sheetView zoomScale="70" zoomScaleNormal="70" workbookViewId="0">
      <pane ySplit="5" topLeftCell="A6" activePane="bottomLeft" state="frozen"/>
      <selection activeCell="N7" sqref="N7"/>
      <selection pane="bottomLeft" activeCell="B11" sqref="B11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7" width="9.140625" style="13"/>
    <col min="18" max="18" width="12" style="13" bestFit="1" customWidth="1"/>
    <col min="19" max="16384" width="9.140625" style="13"/>
  </cols>
  <sheetData>
    <row r="1" spans="1:18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8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8" ht="33" customHeight="1" x14ac:dyDescent="0.5">
      <c r="A3" s="12"/>
      <c r="B3" s="65" t="s">
        <v>13</v>
      </c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8" ht="21" customHeight="1" thickBot="1" x14ac:dyDescent="0.4">
      <c r="A4" s="63" t="s">
        <v>14</v>
      </c>
      <c r="B4" s="64">
        <f>'Friday WK2 (13)'!B4+1</f>
        <v>46207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8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8" ht="29.25" customHeight="1" x14ac:dyDescent="0.35">
      <c r="A6" s="1" t="s">
        <v>417</v>
      </c>
      <c r="B6" s="68" t="s">
        <v>29</v>
      </c>
      <c r="C6" s="15">
        <f t="shared" ref="C6:C7" si="1">N6-D6-E6-F6-G6-H6-I6-J6-K6-L6-M6-D60-E60-F60-G60-H60-I60-J60-K60-L60-C60</f>
        <v>365.91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>
        <v>365.91</v>
      </c>
      <c r="P6" s="178"/>
      <c r="R6" s="179"/>
    </row>
    <row r="7" spans="1:18" ht="29.25" customHeight="1" x14ac:dyDescent="0.35">
      <c r="A7" s="1" t="s">
        <v>82</v>
      </c>
      <c r="B7" s="68" t="s">
        <v>82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  <c r="R7" s="179"/>
    </row>
    <row r="8" spans="1:18" ht="29.25" customHeight="1" x14ac:dyDescent="0.35">
      <c r="A8" s="1" t="s">
        <v>82</v>
      </c>
      <c r="B8" s="68" t="s">
        <v>82</v>
      </c>
      <c r="C8" s="15">
        <f t="shared" ref="C8" si="2">N8-D8-E8-F8-G8-H8-I8-J8-K8-L8-M8-D62-E62-F62-G62-H62-I62-J62-K62-L62-C62</f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  <c r="R8" s="179"/>
    </row>
    <row r="9" spans="1:18" ht="29.25" customHeight="1" x14ac:dyDescent="0.35">
      <c r="A9" s="1" t="s">
        <v>82</v>
      </c>
      <c r="B9" s="68" t="s">
        <v>82</v>
      </c>
      <c r="C9" s="15">
        <f t="shared" ref="C9:C10" si="3">N9-D9-E9-F9-G9-H9-I9-J9-K9-L9-M9-D63-E63-F63-G63-H63-I63-J63-K63-L63-C63</f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  <c r="R9" s="179"/>
    </row>
    <row r="10" spans="1:18" ht="29.25" customHeight="1" x14ac:dyDescent="0.35">
      <c r="A10" s="1" t="s">
        <v>82</v>
      </c>
      <c r="B10" s="68" t="s">
        <v>82</v>
      </c>
      <c r="C10" s="15">
        <f t="shared" si="3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  <c r="P10" s="178"/>
      <c r="R10" s="179"/>
    </row>
    <row r="11" spans="1:18" ht="29.25" customHeight="1" x14ac:dyDescent="0.35">
      <c r="A11" s="1" t="s">
        <v>82</v>
      </c>
      <c r="B11" s="68" t="s">
        <v>82</v>
      </c>
      <c r="C11" s="15">
        <f t="shared" ref="C11:C12" si="4">N11-D11-E11-F11-G11-H11-I11-J11-K11-L11-M11-D65-E65-F65-G65-H65-I65-J65-K65-L65-C65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  <c r="P11" s="178"/>
      <c r="R11" s="179"/>
    </row>
    <row r="12" spans="1:18" ht="29.25" customHeight="1" x14ac:dyDescent="0.35">
      <c r="A12" s="1" t="s">
        <v>82</v>
      </c>
      <c r="B12" s="68" t="s">
        <v>82</v>
      </c>
      <c r="C12" s="15">
        <f t="shared" si="4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  <c r="R12" s="179"/>
    </row>
    <row r="13" spans="1:18" ht="29.25" customHeight="1" x14ac:dyDescent="0.35">
      <c r="A13" s="1" t="s">
        <v>82</v>
      </c>
      <c r="B13" s="68" t="s">
        <v>82</v>
      </c>
      <c r="C13" s="15">
        <f t="shared" ref="C13:C42" si="5">N13-D13-E13-F13-G13-H13-I13-J13-K13-L13-M13-D67-E67-F67-G67-H67-I67-J67-K67-L67-C67</f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  <c r="R13" s="179"/>
    </row>
    <row r="14" spans="1:18" ht="29.25" customHeight="1" x14ac:dyDescent="0.35">
      <c r="A14" s="1" t="s">
        <v>82</v>
      </c>
      <c r="B14" s="68" t="s">
        <v>82</v>
      </c>
      <c r="C14" s="15">
        <f t="shared" si="5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  <c r="R14" s="179"/>
    </row>
    <row r="15" spans="1:18" ht="29.25" customHeight="1" x14ac:dyDescent="0.35">
      <c r="A15" s="1" t="s">
        <v>82</v>
      </c>
      <c r="B15" s="68" t="s">
        <v>82</v>
      </c>
      <c r="C15" s="15">
        <f t="shared" si="5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  <c r="R15" s="179"/>
    </row>
    <row r="16" spans="1:18" ht="29.25" customHeight="1" x14ac:dyDescent="0.35">
      <c r="A16" s="1" t="s">
        <v>82</v>
      </c>
      <c r="B16" s="68" t="s">
        <v>82</v>
      </c>
      <c r="C16" s="15">
        <f t="shared" si="5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  <c r="R16" s="179"/>
    </row>
    <row r="17" spans="1:18" ht="29.25" customHeight="1" x14ac:dyDescent="0.35">
      <c r="A17" s="1" t="s">
        <v>82</v>
      </c>
      <c r="B17" s="68" t="s">
        <v>82</v>
      </c>
      <c r="C17" s="15">
        <f t="shared" si="5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  <c r="P17" s="178"/>
      <c r="R17" s="179"/>
    </row>
    <row r="18" spans="1:18" ht="29.25" customHeight="1" x14ac:dyDescent="0.35">
      <c r="A18" s="1" t="s">
        <v>82</v>
      </c>
      <c r="B18" s="68" t="s">
        <v>82</v>
      </c>
      <c r="C18" s="15">
        <f t="shared" si="5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  <c r="R18" s="179"/>
    </row>
    <row r="19" spans="1:18" ht="29.25" customHeight="1" x14ac:dyDescent="0.35">
      <c r="A19" s="1" t="s">
        <v>82</v>
      </c>
      <c r="B19" s="68" t="s">
        <v>82</v>
      </c>
      <c r="C19" s="15">
        <f t="shared" si="5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  <c r="R19" s="179"/>
    </row>
    <row r="20" spans="1:18" ht="29.25" customHeight="1" x14ac:dyDescent="0.35">
      <c r="A20" s="1" t="s">
        <v>82</v>
      </c>
      <c r="B20" s="68" t="s">
        <v>82</v>
      </c>
      <c r="C20" s="15">
        <f t="shared" si="5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  <c r="R20" s="179"/>
    </row>
    <row r="21" spans="1:18" ht="29.25" customHeight="1" x14ac:dyDescent="0.35">
      <c r="A21" s="1" t="s">
        <v>82</v>
      </c>
      <c r="B21" s="68" t="s">
        <v>82</v>
      </c>
      <c r="C21" s="15">
        <f t="shared" si="5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8" ht="29.25" customHeight="1" x14ac:dyDescent="0.35">
      <c r="A22" s="1" t="s">
        <v>82</v>
      </c>
      <c r="B22" s="68" t="s">
        <v>82</v>
      </c>
      <c r="C22" s="15">
        <f t="shared" si="5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  <c r="P22" s="178"/>
      <c r="R22" s="179"/>
    </row>
    <row r="23" spans="1:18" ht="29.25" customHeight="1" x14ac:dyDescent="0.35">
      <c r="A23" s="1" t="s">
        <v>82</v>
      </c>
      <c r="B23" s="68" t="s">
        <v>82</v>
      </c>
      <c r="C23" s="15">
        <f t="shared" si="5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  <c r="R23" s="179"/>
    </row>
    <row r="24" spans="1:18" ht="29.25" customHeight="1" x14ac:dyDescent="0.35">
      <c r="A24" s="1" t="s">
        <v>82</v>
      </c>
      <c r="B24" s="68" t="s">
        <v>82</v>
      </c>
      <c r="C24" s="15">
        <f t="shared" si="5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  <c r="R24" s="179"/>
    </row>
    <row r="25" spans="1:18" ht="29.25" customHeight="1" x14ac:dyDescent="0.35">
      <c r="A25" s="1" t="s">
        <v>82</v>
      </c>
      <c r="B25" s="68" t="s">
        <v>82</v>
      </c>
      <c r="C25" s="15">
        <f t="shared" si="5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  <c r="P25" s="178"/>
      <c r="R25" s="179"/>
    </row>
    <row r="26" spans="1:18" ht="29.25" customHeight="1" x14ac:dyDescent="0.35">
      <c r="A26" s="1" t="s">
        <v>82</v>
      </c>
      <c r="B26" s="68" t="s">
        <v>82</v>
      </c>
      <c r="C26" s="15">
        <f t="shared" si="5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  <c r="P26" s="178"/>
      <c r="R26" s="179"/>
    </row>
    <row r="27" spans="1:18" ht="29.25" customHeight="1" x14ac:dyDescent="0.35">
      <c r="A27" s="1" t="s">
        <v>82</v>
      </c>
      <c r="B27" s="68" t="s">
        <v>82</v>
      </c>
      <c r="C27" s="15">
        <f t="shared" si="5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  <c r="P27" s="178"/>
      <c r="R27" s="179"/>
    </row>
    <row r="28" spans="1:18" ht="29.25" customHeight="1" x14ac:dyDescent="0.35">
      <c r="A28" s="1" t="s">
        <v>82</v>
      </c>
      <c r="B28" s="68" t="s">
        <v>82</v>
      </c>
      <c r="C28" s="15">
        <f t="shared" si="5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  <c r="P28" s="178"/>
      <c r="R28" s="179"/>
    </row>
    <row r="29" spans="1:18" ht="29.25" customHeight="1" x14ac:dyDescent="0.35">
      <c r="A29" s="1" t="s">
        <v>82</v>
      </c>
      <c r="B29" s="68" t="s">
        <v>82</v>
      </c>
      <c r="C29" s="15">
        <f t="shared" si="5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  <c r="R29" s="179"/>
    </row>
    <row r="30" spans="1:18" ht="29.25" customHeight="1" x14ac:dyDescent="0.35">
      <c r="A30" s="1" t="s">
        <v>82</v>
      </c>
      <c r="B30" s="68" t="s">
        <v>82</v>
      </c>
      <c r="C30" s="15">
        <f t="shared" si="5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  <c r="R30" s="179"/>
    </row>
    <row r="31" spans="1:18" ht="29.25" customHeight="1" x14ac:dyDescent="0.35">
      <c r="A31" s="1" t="s">
        <v>82</v>
      </c>
      <c r="B31" s="68" t="s">
        <v>82</v>
      </c>
      <c r="C31" s="15">
        <f t="shared" si="5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  <c r="R31" s="179"/>
    </row>
    <row r="32" spans="1:18" ht="29.25" customHeight="1" x14ac:dyDescent="0.35">
      <c r="A32" s="1" t="s">
        <v>82</v>
      </c>
      <c r="B32" s="68" t="s">
        <v>82</v>
      </c>
      <c r="C32" s="15">
        <f t="shared" si="5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  <c r="R32" s="179"/>
    </row>
    <row r="33" spans="1:18" ht="29.25" customHeight="1" x14ac:dyDescent="0.35">
      <c r="A33" s="1" t="s">
        <v>82</v>
      </c>
      <c r="B33" s="68" t="s">
        <v>82</v>
      </c>
      <c r="C33" s="15">
        <f t="shared" si="5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  <c r="P33" s="178"/>
      <c r="R33" s="179"/>
    </row>
    <row r="34" spans="1:18" ht="29.25" customHeight="1" x14ac:dyDescent="0.35">
      <c r="A34" s="1" t="s">
        <v>82</v>
      </c>
      <c r="B34" s="68" t="s">
        <v>82</v>
      </c>
      <c r="C34" s="15">
        <f t="shared" si="5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  <c r="R34" s="179"/>
    </row>
    <row r="35" spans="1:18" ht="29.25" customHeight="1" x14ac:dyDescent="0.35">
      <c r="A35" s="1" t="s">
        <v>82</v>
      </c>
      <c r="B35" s="68" t="s">
        <v>82</v>
      </c>
      <c r="C35" s="15">
        <f t="shared" si="5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  <c r="R35" s="179"/>
    </row>
    <row r="36" spans="1:18" ht="29.25" customHeight="1" x14ac:dyDescent="0.35">
      <c r="A36" s="1" t="s">
        <v>82</v>
      </c>
      <c r="B36" s="68" t="s">
        <v>82</v>
      </c>
      <c r="C36" s="15">
        <f t="shared" si="5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  <c r="R36" s="179"/>
    </row>
    <row r="37" spans="1:18" ht="29.25" customHeight="1" x14ac:dyDescent="0.35">
      <c r="A37" s="1" t="s">
        <v>82</v>
      </c>
      <c r="B37" s="68" t="s">
        <v>82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  <c r="P37" s="178"/>
      <c r="R37" s="179"/>
    </row>
    <row r="38" spans="1:18" ht="29.25" customHeight="1" x14ac:dyDescent="0.35">
      <c r="A38" s="1" t="s">
        <v>82</v>
      </c>
      <c r="B38" s="68" t="s">
        <v>82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8" ht="29.25" customHeight="1" x14ac:dyDescent="0.35">
      <c r="A39" s="1" t="s">
        <v>82</v>
      </c>
      <c r="B39" s="68" t="s">
        <v>82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  <c r="P39" s="178"/>
      <c r="R39" s="179"/>
    </row>
    <row r="40" spans="1:18" ht="29.25" customHeight="1" x14ac:dyDescent="0.35">
      <c r="A40" s="1" t="s">
        <v>82</v>
      </c>
      <c r="B40" s="68" t="s">
        <v>82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  <c r="R40" s="179"/>
    </row>
    <row r="41" spans="1:18" ht="29.25" customHeight="1" x14ac:dyDescent="0.35">
      <c r="A41" s="1" t="s">
        <v>82</v>
      </c>
      <c r="B41" s="68" t="s">
        <v>82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  <c r="R41" s="179"/>
    </row>
    <row r="42" spans="1:18" ht="29.25" customHeight="1" x14ac:dyDescent="0.35">
      <c r="A42" s="1" t="s">
        <v>82</v>
      </c>
      <c r="B42" s="68" t="s">
        <v>82</v>
      </c>
      <c r="C42" s="15">
        <f t="shared" si="5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  <c r="R42" s="179"/>
    </row>
    <row r="43" spans="1:18" ht="29.25" customHeight="1" x14ac:dyDescent="0.35">
      <c r="A43" s="1" t="s">
        <v>82</v>
      </c>
      <c r="B43" s="68" t="s">
        <v>82</v>
      </c>
      <c r="C43" s="15">
        <f t="shared" ref="C43:C44" si="6">N43-D43-E43-F43-G43-H43-I43-J43-K43-L43-M43-D97-E97-F97-G97-H97-I97-J97-K97-L97-C97</f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  <c r="R43" s="179"/>
    </row>
    <row r="44" spans="1:18" ht="29.25" customHeight="1" x14ac:dyDescent="0.35">
      <c r="A44" s="1" t="s">
        <v>82</v>
      </c>
      <c r="B44" s="68" t="s">
        <v>82</v>
      </c>
      <c r="C44" s="15">
        <f t="shared" si="6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  <c r="P44" s="178"/>
      <c r="R44" s="179"/>
    </row>
    <row r="45" spans="1:18" ht="29.25" customHeight="1" x14ac:dyDescent="0.35">
      <c r="A45" s="1" t="s">
        <v>82</v>
      </c>
      <c r="B45" s="68" t="s">
        <v>82</v>
      </c>
      <c r="C45" s="15">
        <f t="shared" ref="C45:C55" si="7">N45-D45-E45-F45-G45-H45-I45-J45-K45-L45-M45-D99-E99-F99-G99-H99-I99-J99-K99-L99-C99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  <c r="R45" s="179"/>
    </row>
    <row r="46" spans="1:18" ht="29.25" customHeight="1" x14ac:dyDescent="0.35">
      <c r="A46" s="1" t="s">
        <v>82</v>
      </c>
      <c r="B46" s="68" t="s">
        <v>82</v>
      </c>
      <c r="C46" s="15">
        <f t="shared" si="7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  <c r="R46" s="179"/>
    </row>
    <row r="47" spans="1:18" ht="29.25" customHeight="1" x14ac:dyDescent="0.35">
      <c r="A47" s="1" t="s">
        <v>82</v>
      </c>
      <c r="B47" s="68" t="s">
        <v>82</v>
      </c>
      <c r="C47" s="15">
        <f t="shared" si="7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  <c r="R47" s="179"/>
    </row>
    <row r="48" spans="1:18" ht="29.25" customHeight="1" x14ac:dyDescent="0.35">
      <c r="A48" s="1" t="s">
        <v>82</v>
      </c>
      <c r="B48" s="68" t="s">
        <v>82</v>
      </c>
      <c r="C48" s="15">
        <f t="shared" si="7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  <c r="R48" s="179"/>
    </row>
    <row r="49" spans="1:18" ht="29.25" customHeight="1" x14ac:dyDescent="0.35">
      <c r="A49" s="1" t="s">
        <v>82</v>
      </c>
      <c r="B49" s="68" t="s">
        <v>82</v>
      </c>
      <c r="C49" s="15">
        <f t="shared" si="7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  <c r="P49" s="178"/>
      <c r="R49" s="179"/>
    </row>
    <row r="50" spans="1:18" ht="29.25" customHeight="1" x14ac:dyDescent="0.35">
      <c r="A50" s="1" t="s">
        <v>82</v>
      </c>
      <c r="B50" s="68" t="s">
        <v>82</v>
      </c>
      <c r="C50" s="15">
        <f t="shared" si="7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  <c r="R50" s="179"/>
    </row>
    <row r="51" spans="1:18" ht="29.25" customHeight="1" x14ac:dyDescent="0.35">
      <c r="A51" s="1" t="s">
        <v>82</v>
      </c>
      <c r="B51" s="68" t="s">
        <v>82</v>
      </c>
      <c r="C51" s="15">
        <f t="shared" si="7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  <c r="R51" s="179"/>
    </row>
    <row r="52" spans="1:18" ht="29.25" customHeight="1" x14ac:dyDescent="0.35">
      <c r="A52" s="1" t="s">
        <v>82</v>
      </c>
      <c r="B52" s="68" t="s">
        <v>82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  <c r="R52" s="179"/>
    </row>
    <row r="53" spans="1:18" ht="29.25" customHeight="1" x14ac:dyDescent="0.35">
      <c r="A53" s="1" t="s">
        <v>82</v>
      </c>
      <c r="B53" s="68" t="s">
        <v>82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  <c r="R53" s="179"/>
    </row>
    <row r="54" spans="1:18" ht="29.25" customHeight="1" x14ac:dyDescent="0.35">
      <c r="A54" s="1" t="s">
        <v>82</v>
      </c>
      <c r="B54" s="68" t="s">
        <v>82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8" ht="29.25" customHeight="1" x14ac:dyDescent="0.35">
      <c r="A55" s="1" t="s">
        <v>82</v>
      </c>
      <c r="B55" s="68" t="s">
        <v>82</v>
      </c>
      <c r="C55" s="15">
        <f t="shared" si="7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  <c r="P55" s="178"/>
      <c r="R55" s="179"/>
    </row>
    <row r="56" spans="1:18" ht="29.25" customHeight="1" thickBot="1" x14ac:dyDescent="0.4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8">F3</f>
        <v>0</v>
      </c>
      <c r="G56" s="16">
        <f t="shared" si="8"/>
        <v>0</v>
      </c>
      <c r="H56" s="16">
        <f t="shared" si="8"/>
        <v>0</v>
      </c>
      <c r="I56" s="16">
        <f t="shared" si="8"/>
        <v>0</v>
      </c>
      <c r="J56" s="16">
        <f t="shared" si="8"/>
        <v>0</v>
      </c>
      <c r="K56" s="16">
        <f t="shared" si="8"/>
        <v>0</v>
      </c>
      <c r="L56" s="16">
        <f t="shared" si="8"/>
        <v>0</v>
      </c>
      <c r="M56" s="16"/>
      <c r="N56" s="60">
        <f>SUM(C56:M56)+SUM(C118:J118)</f>
        <v>0</v>
      </c>
      <c r="O56" s="150"/>
      <c r="R56" s="179"/>
    </row>
    <row r="57" spans="1:18" ht="29.25" customHeight="1" thickBot="1" x14ac:dyDescent="0.45">
      <c r="A57" s="24" t="s">
        <v>84</v>
      </c>
      <c r="B57" s="10"/>
      <c r="C57" s="61">
        <f t="shared" ref="C57:M57" si="9">SUM(C6:C56)</f>
        <v>365.91</v>
      </c>
      <c r="D57" s="61">
        <f t="shared" si="9"/>
        <v>0</v>
      </c>
      <c r="E57" s="61">
        <f t="shared" si="9"/>
        <v>0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0</v>
      </c>
      <c r="J57" s="61">
        <f t="shared" si="9"/>
        <v>0</v>
      </c>
      <c r="K57" s="61">
        <f t="shared" si="9"/>
        <v>0</v>
      </c>
      <c r="L57" s="61">
        <f t="shared" si="9"/>
        <v>0</v>
      </c>
      <c r="M57" s="61">
        <f t="shared" si="9"/>
        <v>0</v>
      </c>
      <c r="N57" s="61">
        <f>SUM(N6:N56)</f>
        <v>365.91</v>
      </c>
      <c r="R57" s="179"/>
    </row>
    <row r="58" spans="1:18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  <c r="R58" s="179"/>
    </row>
    <row r="59" spans="1:18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  <c r="R59" s="179"/>
    </row>
    <row r="60" spans="1:18" ht="29.25" customHeight="1" x14ac:dyDescent="0.35">
      <c r="A60" s="70" t="str">
        <f>A6</f>
        <v>126616</v>
      </c>
      <c r="B60" s="9" t="str">
        <f>B6</f>
        <v>ITALIAN BAKERY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  <c r="P60" s="178"/>
      <c r="R60" s="179"/>
    </row>
    <row r="61" spans="1:18" ht="29.25" customHeight="1" x14ac:dyDescent="0.35">
      <c r="A61" s="70" t="str">
        <f t="shared" ref="A61:B76" si="10">A7</f>
        <v xml:space="preserve"> </v>
      </c>
      <c r="B61" s="9" t="str">
        <f t="shared" si="10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  <c r="R61" s="179"/>
    </row>
    <row r="62" spans="1:18" ht="29.25" customHeight="1" x14ac:dyDescent="0.35">
      <c r="A62" s="70" t="str">
        <f t="shared" si="10"/>
        <v xml:space="preserve"> </v>
      </c>
      <c r="B62" s="9" t="str">
        <f t="shared" si="10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  <c r="R62" s="179"/>
    </row>
    <row r="63" spans="1:18" ht="29.25" customHeight="1" x14ac:dyDescent="0.35">
      <c r="A63" s="70" t="str">
        <f t="shared" si="10"/>
        <v xml:space="preserve"> </v>
      </c>
      <c r="B63" s="9" t="str">
        <f t="shared" si="10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  <c r="R63" s="179"/>
    </row>
    <row r="64" spans="1:18" ht="29.25" customHeight="1" x14ac:dyDescent="0.35">
      <c r="A64" s="70" t="str">
        <f t="shared" si="10"/>
        <v xml:space="preserve"> </v>
      </c>
      <c r="B64" s="9" t="str">
        <f t="shared" si="10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  <c r="R64" s="179"/>
    </row>
    <row r="65" spans="1:18" ht="29.25" customHeight="1" x14ac:dyDescent="0.35">
      <c r="A65" s="70" t="str">
        <f t="shared" si="10"/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  <c r="P65" s="178"/>
      <c r="R65" s="179"/>
    </row>
    <row r="66" spans="1:18" ht="29.25" customHeight="1" x14ac:dyDescent="0.35">
      <c r="A66" s="70" t="str">
        <f t="shared" si="10"/>
        <v xml:space="preserve"> </v>
      </c>
      <c r="B66" s="9" t="str">
        <f t="shared" si="10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  <c r="R66" s="179"/>
    </row>
    <row r="67" spans="1:18" ht="29.25" customHeight="1" x14ac:dyDescent="0.35">
      <c r="A67" s="70" t="str">
        <f t="shared" si="10"/>
        <v xml:space="preserve"> </v>
      </c>
      <c r="B67" s="9" t="str">
        <f t="shared" si="10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  <c r="R67" s="179"/>
    </row>
    <row r="68" spans="1:18" ht="29.25" customHeight="1" x14ac:dyDescent="0.35">
      <c r="A68" s="70" t="str">
        <f t="shared" si="10"/>
        <v xml:space="preserve"> </v>
      </c>
      <c r="B68" s="9" t="str">
        <f t="shared" si="10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  <c r="R68" s="179"/>
    </row>
    <row r="69" spans="1:18" ht="29.25" customHeight="1" x14ac:dyDescent="0.35">
      <c r="A69" s="70" t="str">
        <f t="shared" si="10"/>
        <v xml:space="preserve"> </v>
      </c>
      <c r="B69" s="9" t="str">
        <f t="shared" si="10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8" ht="29.25" customHeight="1" x14ac:dyDescent="0.35">
      <c r="A70" s="70" t="str">
        <f t="shared" si="10"/>
        <v xml:space="preserve"> </v>
      </c>
      <c r="B70" s="9" t="str">
        <f t="shared" si="10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  <c r="P70" s="178"/>
      <c r="R70" s="179"/>
    </row>
    <row r="71" spans="1:18" ht="29.25" customHeight="1" x14ac:dyDescent="0.35">
      <c r="A71" s="70" t="str">
        <f t="shared" si="10"/>
        <v xml:space="preserve"> </v>
      </c>
      <c r="B71" s="9" t="str">
        <f t="shared" si="10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  <c r="R71" s="179"/>
    </row>
    <row r="72" spans="1:18" ht="29.25" customHeight="1" x14ac:dyDescent="0.35">
      <c r="A72" s="70" t="str">
        <f t="shared" si="10"/>
        <v xml:space="preserve"> </v>
      </c>
      <c r="B72" s="9" t="str">
        <f t="shared" si="10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  <c r="R72" s="179"/>
    </row>
    <row r="73" spans="1:18" ht="29.25" customHeight="1" x14ac:dyDescent="0.35">
      <c r="A73" s="70" t="str">
        <f t="shared" si="10"/>
        <v xml:space="preserve"> </v>
      </c>
      <c r="B73" s="9" t="str">
        <f t="shared" si="10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  <c r="R73" s="179"/>
    </row>
    <row r="74" spans="1:18" ht="29.25" customHeight="1" x14ac:dyDescent="0.35">
      <c r="A74" s="70" t="str">
        <f t="shared" si="10"/>
        <v xml:space="preserve"> </v>
      </c>
      <c r="B74" s="9" t="str">
        <f t="shared" si="10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  <c r="R74" s="179"/>
    </row>
    <row r="75" spans="1:18" ht="29.25" customHeight="1" x14ac:dyDescent="0.35">
      <c r="A75" s="70" t="str">
        <f t="shared" si="10"/>
        <v xml:space="preserve"> </v>
      </c>
      <c r="B75" s="9" t="str">
        <f t="shared" si="1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  <c r="R75" s="179"/>
    </row>
    <row r="76" spans="1:18" ht="29.25" customHeight="1" x14ac:dyDescent="0.35">
      <c r="A76" s="70" t="str">
        <f t="shared" si="10"/>
        <v xml:space="preserve"> </v>
      </c>
      <c r="B76" s="9" t="str">
        <f t="shared" si="1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  <c r="R76" s="179"/>
    </row>
    <row r="77" spans="1:18" ht="29.25" customHeight="1" x14ac:dyDescent="0.35">
      <c r="A77" s="70" t="str">
        <f t="shared" ref="A77:B92" si="11">A23</f>
        <v xml:space="preserve"> </v>
      </c>
      <c r="B77" s="9" t="str">
        <f t="shared" si="11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  <c r="R77" s="179"/>
    </row>
    <row r="78" spans="1:18" ht="29.25" customHeight="1" x14ac:dyDescent="0.35">
      <c r="A78" s="70" t="str">
        <f t="shared" si="11"/>
        <v xml:space="preserve"> </v>
      </c>
      <c r="B78" s="9" t="str">
        <f t="shared" si="11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  <c r="R78" s="179"/>
    </row>
    <row r="79" spans="1:18" ht="29.25" customHeight="1" x14ac:dyDescent="0.35">
      <c r="A79" s="70" t="str">
        <f t="shared" si="11"/>
        <v xml:space="preserve"> </v>
      </c>
      <c r="B79" s="9" t="str">
        <f t="shared" si="11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  <c r="R79" s="179"/>
    </row>
    <row r="80" spans="1:18" ht="29.25" customHeight="1" x14ac:dyDescent="0.35">
      <c r="A80" s="70" t="str">
        <f t="shared" si="11"/>
        <v xml:space="preserve"> </v>
      </c>
      <c r="B80" s="9" t="str">
        <f t="shared" si="11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  <c r="R80" s="179"/>
    </row>
    <row r="81" spans="1:18" ht="29.25" customHeight="1" x14ac:dyDescent="0.35">
      <c r="A81" s="70" t="str">
        <f t="shared" si="11"/>
        <v xml:space="preserve"> </v>
      </c>
      <c r="B81" s="9" t="str">
        <f t="shared" si="11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  <c r="R81" s="179"/>
    </row>
    <row r="82" spans="1:18" ht="29.25" customHeight="1" x14ac:dyDescent="0.35">
      <c r="A82" s="70" t="str">
        <f t="shared" si="11"/>
        <v xml:space="preserve"> </v>
      </c>
      <c r="B82" s="9" t="str">
        <f t="shared" si="1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  <c r="R82" s="179"/>
    </row>
    <row r="83" spans="1:18" ht="29.25" customHeight="1" x14ac:dyDescent="0.35">
      <c r="A83" s="70" t="str">
        <f t="shared" si="11"/>
        <v xml:space="preserve"> </v>
      </c>
      <c r="B83" s="9" t="str">
        <f t="shared" si="11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  <c r="R83" s="179"/>
    </row>
    <row r="84" spans="1:18" ht="29.25" customHeight="1" x14ac:dyDescent="0.35">
      <c r="A84" s="70" t="str">
        <f t="shared" si="11"/>
        <v xml:space="preserve"> </v>
      </c>
      <c r="B84" s="9" t="str">
        <f t="shared" si="1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  <c r="R84" s="179"/>
    </row>
    <row r="85" spans="1:18" ht="29.25" customHeight="1" x14ac:dyDescent="0.35">
      <c r="A85" s="70" t="str">
        <f t="shared" si="11"/>
        <v xml:space="preserve"> </v>
      </c>
      <c r="B85" s="9" t="str">
        <f t="shared" si="11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  <c r="R85" s="179"/>
    </row>
    <row r="86" spans="1:18" ht="29.25" customHeight="1" x14ac:dyDescent="0.35">
      <c r="A86" s="70" t="str">
        <f t="shared" si="11"/>
        <v xml:space="preserve"> </v>
      </c>
      <c r="B86" s="9" t="str">
        <f t="shared" si="11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  <c r="R86" s="179"/>
    </row>
    <row r="87" spans="1:18" ht="29.25" customHeight="1" x14ac:dyDescent="0.35">
      <c r="A87" s="70" t="str">
        <f t="shared" si="11"/>
        <v xml:space="preserve"> </v>
      </c>
      <c r="B87" s="9" t="str">
        <f t="shared" si="11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  <c r="R87" s="179"/>
    </row>
    <row r="88" spans="1:18" ht="29.25" customHeight="1" x14ac:dyDescent="0.35">
      <c r="A88" s="70" t="str">
        <f t="shared" si="11"/>
        <v xml:space="preserve"> </v>
      </c>
      <c r="B88" s="9" t="str">
        <f t="shared" si="11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  <c r="R88" s="179"/>
    </row>
    <row r="89" spans="1:18" ht="29.25" customHeight="1" x14ac:dyDescent="0.35">
      <c r="A89" s="70" t="str">
        <f t="shared" si="11"/>
        <v xml:space="preserve"> </v>
      </c>
      <c r="B89" s="9" t="str">
        <f t="shared" si="11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  <c r="R89" s="179"/>
    </row>
    <row r="90" spans="1:18" ht="29.25" customHeight="1" x14ac:dyDescent="0.35">
      <c r="A90" s="70" t="str">
        <f t="shared" si="11"/>
        <v xml:space="preserve"> </v>
      </c>
      <c r="B90" s="9" t="str">
        <f t="shared" si="11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8" ht="29.25" customHeight="1" x14ac:dyDescent="0.35">
      <c r="A91" s="70" t="str">
        <f t="shared" si="11"/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  <c r="P91" s="178"/>
      <c r="R91" s="179"/>
    </row>
    <row r="92" spans="1:18" ht="29.25" customHeight="1" x14ac:dyDescent="0.35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  <c r="R92" s="179"/>
    </row>
    <row r="93" spans="1:18" ht="29.25" customHeight="1" x14ac:dyDescent="0.35">
      <c r="A93" s="70" t="str">
        <f t="shared" ref="A93:B108" si="12">A39</f>
        <v xml:space="preserve"> </v>
      </c>
      <c r="B93" s="9" t="str">
        <f t="shared" si="12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  <c r="R93" s="179"/>
    </row>
    <row r="94" spans="1:18" ht="29.25" customHeight="1" x14ac:dyDescent="0.35">
      <c r="A94" s="70" t="str">
        <f t="shared" si="12"/>
        <v xml:space="preserve"> </v>
      </c>
      <c r="B94" s="9" t="str">
        <f t="shared" si="12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  <c r="R94" s="179"/>
    </row>
    <row r="95" spans="1:18" ht="29.25" customHeight="1" x14ac:dyDescent="0.35">
      <c r="A95" s="70" t="str">
        <f t="shared" si="12"/>
        <v xml:space="preserve"> </v>
      </c>
      <c r="B95" s="9" t="str">
        <f t="shared" si="12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  <c r="R95" s="179"/>
    </row>
    <row r="96" spans="1:18" ht="29.25" customHeight="1" x14ac:dyDescent="0.35">
      <c r="A96" s="70" t="str">
        <f t="shared" si="12"/>
        <v xml:space="preserve"> </v>
      </c>
      <c r="B96" s="9" t="str">
        <f t="shared" si="12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  <c r="P96" s="178"/>
      <c r="R96" s="179"/>
    </row>
    <row r="97" spans="1:18" ht="29.25" customHeight="1" x14ac:dyDescent="0.35">
      <c r="A97" s="70" t="str">
        <f t="shared" si="12"/>
        <v xml:space="preserve"> </v>
      </c>
      <c r="B97" s="9" t="str">
        <f t="shared" si="12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  <c r="R97" s="179"/>
    </row>
    <row r="98" spans="1:18" ht="29.25" customHeight="1" x14ac:dyDescent="0.35">
      <c r="A98" s="70" t="str">
        <f t="shared" si="12"/>
        <v xml:space="preserve"> </v>
      </c>
      <c r="B98" s="9" t="str">
        <f t="shared" si="12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  <c r="R98" s="179"/>
    </row>
    <row r="99" spans="1:18" ht="29.25" customHeight="1" x14ac:dyDescent="0.35">
      <c r="A99" s="70" t="str">
        <f t="shared" si="12"/>
        <v xml:space="preserve"> </v>
      </c>
      <c r="B99" s="9" t="str">
        <f t="shared" si="12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  <c r="R99" s="179"/>
    </row>
    <row r="100" spans="1:18" ht="29.25" customHeight="1" x14ac:dyDescent="0.35">
      <c r="A100" s="70" t="str">
        <f t="shared" si="12"/>
        <v xml:space="preserve"> </v>
      </c>
      <c r="B100" s="9" t="str">
        <f t="shared" si="12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  <c r="R100" s="179"/>
    </row>
    <row r="101" spans="1:18" ht="29.25" customHeight="1" x14ac:dyDescent="0.35">
      <c r="A101" s="70" t="str">
        <f t="shared" si="12"/>
        <v xml:space="preserve"> </v>
      </c>
      <c r="B101" s="9" t="str">
        <f t="shared" si="12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  <c r="P101" s="178"/>
      <c r="R101" s="179"/>
    </row>
    <row r="102" spans="1:18" ht="29.25" customHeight="1" x14ac:dyDescent="0.35">
      <c r="A102" s="70" t="str">
        <f t="shared" si="12"/>
        <v xml:space="preserve"> </v>
      </c>
      <c r="B102" s="9" t="str">
        <f t="shared" si="12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  <c r="R102" s="179"/>
    </row>
    <row r="103" spans="1:18" ht="29.25" customHeight="1" x14ac:dyDescent="0.35">
      <c r="A103" s="70" t="str">
        <f t="shared" si="12"/>
        <v xml:space="preserve"> </v>
      </c>
      <c r="B103" s="9" t="str">
        <f t="shared" si="1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  <c r="R103" s="179"/>
    </row>
    <row r="104" spans="1:18" ht="29.25" customHeight="1" x14ac:dyDescent="0.35">
      <c r="A104" s="70" t="str">
        <f t="shared" si="12"/>
        <v xml:space="preserve"> </v>
      </c>
      <c r="B104" s="9" t="str">
        <f t="shared" si="12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  <c r="R104" s="179"/>
    </row>
    <row r="105" spans="1:18" ht="29.25" customHeight="1" x14ac:dyDescent="0.35">
      <c r="A105" s="70" t="str">
        <f t="shared" si="12"/>
        <v xml:space="preserve"> </v>
      </c>
      <c r="B105" s="9" t="str">
        <f t="shared" si="1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  <c r="R105" s="179"/>
    </row>
    <row r="106" spans="1:18" ht="29.25" customHeight="1" x14ac:dyDescent="0.35">
      <c r="A106" s="70" t="str">
        <f t="shared" si="12"/>
        <v xml:space="preserve"> </v>
      </c>
      <c r="B106" s="9" t="str">
        <f t="shared" si="1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8" ht="29.25" customHeight="1" x14ac:dyDescent="0.35">
      <c r="A107" s="70" t="str">
        <f t="shared" si="12"/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8" ht="29.25" customHeight="1" x14ac:dyDescent="0.35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8" ht="29.25" customHeight="1" x14ac:dyDescent="0.35">
      <c r="A109" s="70" t="str">
        <f t="shared" ref="A109:B109" si="13">A55</f>
        <v xml:space="preserve"> </v>
      </c>
      <c r="B109" s="9" t="str">
        <f t="shared" si="13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8" ht="29.25" customHeight="1" thickBot="1" x14ac:dyDescent="0.45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4">SUM(E60:E109)</f>
        <v>0</v>
      </c>
      <c r="F110" s="53">
        <f t="shared" si="14"/>
        <v>0</v>
      </c>
      <c r="G110" s="53">
        <f t="shared" si="14"/>
        <v>0</v>
      </c>
      <c r="H110" s="53">
        <f t="shared" si="14"/>
        <v>0</v>
      </c>
      <c r="I110" s="53">
        <f t="shared" si="14"/>
        <v>0</v>
      </c>
      <c r="J110" s="54">
        <f t="shared" si="14"/>
        <v>0</v>
      </c>
      <c r="K110" s="49">
        <f t="shared" si="14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62F40ADD-7C02-442B-930B-FA5578381537}"/>
  </hyperlinks>
  <pageMargins left="0.7" right="0.7" top="0.75" bottom="0.75" header="0.3" footer="0.3"/>
  <pageSetup scale="30" fitToWidth="0" fitToHeight="0" orientation="landscape" verticalDpi="1200" r:id="rId1"/>
  <rowBreaks count="1" manualBreakCount="1">
    <brk id="57" max="13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AC12-5DE9-4312-9065-D6E12B1B1F42}">
  <dimension ref="A1:O110"/>
  <sheetViews>
    <sheetView zoomScale="60" zoomScaleNormal="60" workbookViewId="0">
      <pane ySplit="5" topLeftCell="A46" activePane="bottomLeft" state="frozen"/>
      <selection activeCell="N7" sqref="N7"/>
      <selection pane="bottomLeft" activeCell="N58" sqref="N58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42.42578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 t="s">
        <v>13</v>
      </c>
      <c r="C3" s="22">
        <f>C2*$N$3</f>
        <v>175.64587999999998</v>
      </c>
      <c r="D3" s="22"/>
      <c r="E3" s="22">
        <f t="shared" ref="E3:L3" si="0">E2*$N$3</f>
        <v>36.378540000000001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58.426139999999997</v>
      </c>
      <c r="J3" s="22">
        <f t="shared" si="0"/>
        <v>44.830119999999994</v>
      </c>
      <c r="K3" s="22">
        <f t="shared" si="0"/>
        <v>52.17931999999999</v>
      </c>
      <c r="L3" s="22">
        <f t="shared" si="0"/>
        <v>0</v>
      </c>
      <c r="M3" s="22"/>
      <c r="N3" s="23">
        <v>367.46</v>
      </c>
    </row>
    <row r="4" spans="1:14" ht="21" customHeight="1" thickBot="1" x14ac:dyDescent="0.4">
      <c r="A4" s="63" t="s">
        <v>14</v>
      </c>
      <c r="B4" s="64">
        <f>'Saturday WK2 (14)'!B4+1</f>
        <v>46208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418</v>
      </c>
      <c r="B6" s="68" t="s">
        <v>31</v>
      </c>
      <c r="C6" s="15">
        <f t="shared" ref="C6:C46" si="1">N6-D6-E6-F6-G6-H6-I6-J6-K6-L6-M6-D60-E60-F60-G60-H60-I60-J60-K60-L60-C60</f>
        <v>-3.091971123581061E-13</v>
      </c>
      <c r="D6" s="15"/>
      <c r="E6" s="15"/>
      <c r="F6" s="15"/>
      <c r="G6" s="15"/>
      <c r="H6" s="15"/>
      <c r="I6" s="15"/>
      <c r="J6" s="15"/>
      <c r="K6" s="15">
        <v>3175.57</v>
      </c>
      <c r="L6" s="15"/>
      <c r="M6" s="15">
        <v>0.84</v>
      </c>
      <c r="N6" s="55">
        <v>3176.41</v>
      </c>
    </row>
    <row r="7" spans="1:14" ht="29.25" customHeight="1" x14ac:dyDescent="0.35">
      <c r="A7" s="1" t="s">
        <v>419</v>
      </c>
      <c r="B7" s="68" t="s">
        <v>31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>
        <v>203.22</v>
      </c>
      <c r="L7" s="15"/>
      <c r="M7" s="15"/>
      <c r="N7" s="55">
        <v>203.22</v>
      </c>
    </row>
    <row r="8" spans="1:14" ht="29.25" customHeight="1" x14ac:dyDescent="0.35">
      <c r="A8" s="1" t="s">
        <v>420</v>
      </c>
      <c r="B8" s="68" t="s">
        <v>31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>
        <v>243.86</v>
      </c>
      <c r="L8" s="15"/>
      <c r="M8" s="15"/>
      <c r="N8" s="55">
        <v>243.86</v>
      </c>
    </row>
    <row r="9" spans="1:14" ht="29.25" customHeight="1" x14ac:dyDescent="0.35">
      <c r="A9" s="1" t="s">
        <v>421</v>
      </c>
      <c r="B9" s="68" t="s">
        <v>33</v>
      </c>
      <c r="C9" s="15">
        <f t="shared" si="1"/>
        <v>-1.7763568394002505E-15</v>
      </c>
      <c r="D9" s="15"/>
      <c r="E9" s="15"/>
      <c r="F9" s="15"/>
      <c r="G9" s="15"/>
      <c r="H9" s="15"/>
      <c r="I9" s="15">
        <v>250.1</v>
      </c>
      <c r="J9" s="15"/>
      <c r="K9" s="15"/>
      <c r="L9" s="15"/>
      <c r="M9" s="15">
        <v>8.9700000000000006</v>
      </c>
      <c r="N9" s="55">
        <v>259.07</v>
      </c>
    </row>
    <row r="10" spans="1:14" ht="29.25" customHeight="1" x14ac:dyDescent="0.35">
      <c r="A10" s="1" t="s">
        <v>422</v>
      </c>
      <c r="B10" s="68" t="s">
        <v>264</v>
      </c>
      <c r="C10" s="15">
        <f t="shared" si="1"/>
        <v>0</v>
      </c>
      <c r="D10" s="15"/>
      <c r="E10" s="15">
        <v>643.09</v>
      </c>
      <c r="F10" s="15"/>
      <c r="G10" s="15"/>
      <c r="H10" s="15"/>
      <c r="I10" s="15"/>
      <c r="J10" s="15"/>
      <c r="K10" s="15"/>
      <c r="L10" s="15"/>
      <c r="M10" s="15"/>
      <c r="N10" s="55">
        <v>643.09</v>
      </c>
    </row>
    <row r="11" spans="1:14" ht="29.25" customHeight="1" x14ac:dyDescent="0.35">
      <c r="A11" s="1" t="s">
        <v>423</v>
      </c>
      <c r="B11" s="68" t="s">
        <v>39</v>
      </c>
      <c r="C11" s="15">
        <f t="shared" si="1"/>
        <v>0</v>
      </c>
      <c r="D11" s="15"/>
      <c r="E11" s="15">
        <v>17.440000000000001</v>
      </c>
      <c r="F11" s="15"/>
      <c r="G11" s="15"/>
      <c r="H11" s="15"/>
      <c r="I11" s="15"/>
      <c r="J11" s="15"/>
      <c r="K11" s="15"/>
      <c r="L11" s="15"/>
      <c r="M11" s="15"/>
      <c r="N11" s="55">
        <v>17.440000000000001</v>
      </c>
    </row>
    <row r="12" spans="1:14" ht="29.25" customHeight="1" x14ac:dyDescent="0.35">
      <c r="A12" s="1" t="s">
        <v>424</v>
      </c>
      <c r="B12" s="68" t="s">
        <v>39</v>
      </c>
      <c r="C12" s="15">
        <f t="shared" si="1"/>
        <v>40.04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>
        <v>40.04</v>
      </c>
    </row>
    <row r="13" spans="1:14" ht="29.25" customHeight="1" x14ac:dyDescent="0.35">
      <c r="A13" s="1" t="s">
        <v>425</v>
      </c>
      <c r="B13" s="68" t="s">
        <v>39</v>
      </c>
      <c r="C13" s="15">
        <f t="shared" si="1"/>
        <v>0</v>
      </c>
      <c r="D13" s="15"/>
      <c r="E13" s="15">
        <v>61.66</v>
      </c>
      <c r="F13" s="15"/>
      <c r="G13" s="15"/>
      <c r="H13" s="15"/>
      <c r="I13" s="15"/>
      <c r="J13" s="15"/>
      <c r="K13" s="15"/>
      <c r="L13" s="15"/>
      <c r="M13" s="15"/>
      <c r="N13" s="55">
        <v>61.66</v>
      </c>
    </row>
    <row r="14" spans="1:14" ht="29.25" customHeight="1" x14ac:dyDescent="0.35">
      <c r="A14" s="1" t="s">
        <v>426</v>
      </c>
      <c r="B14" s="68" t="s">
        <v>39</v>
      </c>
      <c r="C14" s="15">
        <f t="shared" si="1"/>
        <v>25.120000000000005</v>
      </c>
      <c r="D14" s="15"/>
      <c r="E14" s="15"/>
      <c r="F14" s="15"/>
      <c r="G14" s="15"/>
      <c r="H14" s="15"/>
      <c r="I14" s="15"/>
      <c r="J14" s="15"/>
      <c r="K14" s="15">
        <v>164.53</v>
      </c>
      <c r="L14" s="15"/>
      <c r="M14" s="15"/>
      <c r="N14" s="55">
        <v>189.65</v>
      </c>
    </row>
    <row r="15" spans="1:14" ht="29.25" customHeight="1" x14ac:dyDescent="0.35">
      <c r="A15" s="1" t="s">
        <v>427</v>
      </c>
      <c r="B15" s="68" t="s">
        <v>39</v>
      </c>
      <c r="C15" s="15">
        <f t="shared" si="1"/>
        <v>0</v>
      </c>
      <c r="D15" s="15"/>
      <c r="E15" s="15">
        <v>34.31</v>
      </c>
      <c r="F15" s="15"/>
      <c r="G15" s="15"/>
      <c r="H15" s="15"/>
      <c r="I15" s="15"/>
      <c r="J15" s="15"/>
      <c r="K15" s="15"/>
      <c r="L15" s="15"/>
      <c r="M15" s="15"/>
      <c r="N15" s="55">
        <v>34.31</v>
      </c>
    </row>
    <row r="16" spans="1:14" ht="29.25" customHeight="1" x14ac:dyDescent="0.35">
      <c r="A16" s="1" t="s">
        <v>428</v>
      </c>
      <c r="B16" s="68" t="s">
        <v>39</v>
      </c>
      <c r="C16" s="15">
        <f t="shared" si="1"/>
        <v>0</v>
      </c>
      <c r="D16" s="15"/>
      <c r="E16" s="15">
        <v>196.73</v>
      </c>
      <c r="F16" s="15"/>
      <c r="G16" s="15"/>
      <c r="H16" s="15"/>
      <c r="I16" s="15"/>
      <c r="J16" s="15"/>
      <c r="K16" s="15"/>
      <c r="L16" s="15"/>
      <c r="M16" s="15"/>
      <c r="N16" s="55">
        <v>196.73</v>
      </c>
    </row>
    <row r="17" spans="1:15" ht="29.25" customHeight="1" x14ac:dyDescent="0.35">
      <c r="A17" s="1" t="s">
        <v>429</v>
      </c>
      <c r="B17" s="68" t="s">
        <v>39</v>
      </c>
      <c r="C17" s="15">
        <f t="shared" si="1"/>
        <v>0</v>
      </c>
      <c r="D17" s="15"/>
      <c r="E17" s="15">
        <v>38.26</v>
      </c>
      <c r="F17" s="15"/>
      <c r="G17" s="15"/>
      <c r="H17" s="15"/>
      <c r="I17" s="15"/>
      <c r="J17" s="15"/>
      <c r="K17" s="15"/>
      <c r="L17" s="15"/>
      <c r="M17" s="15"/>
      <c r="N17" s="55">
        <v>38.26</v>
      </c>
    </row>
    <row r="18" spans="1:15" ht="29.25" customHeight="1" x14ac:dyDescent="0.35">
      <c r="A18" s="1" t="s">
        <v>430</v>
      </c>
      <c r="B18" s="68" t="s">
        <v>39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>
        <v>107.16</v>
      </c>
      <c r="O18" s="148" t="s">
        <v>431</v>
      </c>
    </row>
    <row r="19" spans="1:15" ht="29.25" customHeight="1" x14ac:dyDescent="0.35">
      <c r="A19" s="1" t="s">
        <v>432</v>
      </c>
      <c r="B19" s="68" t="s">
        <v>39</v>
      </c>
      <c r="C19" s="15">
        <f t="shared" si="1"/>
        <v>340.86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>
        <v>340.86</v>
      </c>
    </row>
    <row r="20" spans="1:15" ht="29.25" customHeight="1" x14ac:dyDescent="0.35">
      <c r="A20" s="1" t="s">
        <v>433</v>
      </c>
      <c r="B20" s="68" t="s">
        <v>39</v>
      </c>
      <c r="C20" s="15">
        <f t="shared" si="1"/>
        <v>176.08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>
        <v>176.08</v>
      </c>
    </row>
    <row r="21" spans="1:15" ht="29.25" customHeight="1" x14ac:dyDescent="0.35">
      <c r="A21" s="1" t="s">
        <v>434</v>
      </c>
      <c r="B21" s="68" t="s">
        <v>39</v>
      </c>
      <c r="C21" s="15">
        <f t="shared" si="1"/>
        <v>0</v>
      </c>
      <c r="D21" s="15"/>
      <c r="E21" s="15">
        <v>1380.55</v>
      </c>
      <c r="F21" s="15"/>
      <c r="G21" s="15"/>
      <c r="H21" s="15"/>
      <c r="I21" s="15"/>
      <c r="J21" s="15"/>
      <c r="K21" s="15"/>
      <c r="L21" s="15"/>
      <c r="M21" s="15"/>
      <c r="N21" s="55">
        <v>1380.55</v>
      </c>
    </row>
    <row r="22" spans="1:15" ht="29.25" customHeight="1" x14ac:dyDescent="0.35">
      <c r="A22" s="1" t="s">
        <v>435</v>
      </c>
      <c r="B22" s="68" t="s">
        <v>39</v>
      </c>
      <c r="C22" s="15">
        <f t="shared" si="1"/>
        <v>0</v>
      </c>
      <c r="D22" s="15"/>
      <c r="E22" s="15">
        <v>5734.61</v>
      </c>
      <c r="F22" s="15"/>
      <c r="G22" s="15"/>
      <c r="H22" s="15"/>
      <c r="I22" s="15"/>
      <c r="J22" s="15"/>
      <c r="K22" s="15"/>
      <c r="L22" s="15"/>
      <c r="M22" s="15"/>
      <c r="N22" s="55">
        <v>5734.61</v>
      </c>
    </row>
    <row r="23" spans="1:15" ht="29.25" customHeight="1" x14ac:dyDescent="0.35">
      <c r="A23" s="1" t="s">
        <v>436</v>
      </c>
      <c r="B23" s="68" t="s">
        <v>39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>
        <v>353.82</v>
      </c>
      <c r="O23" s="148" t="s">
        <v>437</v>
      </c>
    </row>
    <row r="24" spans="1:15" ht="29.25" customHeight="1" x14ac:dyDescent="0.35">
      <c r="A24" s="1" t="s">
        <v>438</v>
      </c>
      <c r="B24" s="68" t="s">
        <v>39</v>
      </c>
      <c r="C24" s="15">
        <f t="shared" si="1"/>
        <v>0</v>
      </c>
      <c r="D24" s="15"/>
      <c r="E24" s="15">
        <v>77.040000000000006</v>
      </c>
      <c r="F24" s="15"/>
      <c r="G24" s="15"/>
      <c r="H24" s="15"/>
      <c r="I24" s="15"/>
      <c r="J24" s="15"/>
      <c r="K24" s="15"/>
      <c r="L24" s="15"/>
      <c r="M24" s="15"/>
      <c r="N24" s="55">
        <v>77.040000000000006</v>
      </c>
    </row>
    <row r="25" spans="1:15" ht="29.25" customHeight="1" x14ac:dyDescent="0.35">
      <c r="A25" s="1" t="s">
        <v>439</v>
      </c>
      <c r="B25" s="68" t="s">
        <v>39</v>
      </c>
      <c r="C25" s="15">
        <f t="shared" si="1"/>
        <v>0</v>
      </c>
      <c r="D25" s="15"/>
      <c r="E25" s="15">
        <v>2438.94</v>
      </c>
      <c r="F25" s="15"/>
      <c r="G25" s="15"/>
      <c r="H25" s="15"/>
      <c r="I25" s="15"/>
      <c r="J25" s="15"/>
      <c r="K25" s="15"/>
      <c r="L25" s="15"/>
      <c r="M25" s="15"/>
      <c r="N25" s="55">
        <v>2438.94</v>
      </c>
    </row>
    <row r="26" spans="1:15" ht="29.25" customHeight="1" x14ac:dyDescent="0.35">
      <c r="A26" s="1" t="s">
        <v>440</v>
      </c>
      <c r="B26" s="68" t="s">
        <v>39</v>
      </c>
      <c r="C26" s="15">
        <f t="shared" si="1"/>
        <v>1772.08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>
        <v>1772.08</v>
      </c>
    </row>
    <row r="27" spans="1:15" ht="29.25" customHeight="1" x14ac:dyDescent="0.35">
      <c r="A27" s="1" t="s">
        <v>441</v>
      </c>
      <c r="B27" s="68" t="s">
        <v>39</v>
      </c>
      <c r="C27" s="15">
        <f t="shared" si="1"/>
        <v>15689.13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>
        <v>15689.13</v>
      </c>
    </row>
    <row r="28" spans="1:15" ht="29.25" customHeight="1" x14ac:dyDescent="0.35">
      <c r="A28" s="1" t="s">
        <v>442</v>
      </c>
      <c r="B28" s="68" t="s">
        <v>39</v>
      </c>
      <c r="C28" s="15">
        <f t="shared" si="1"/>
        <v>2256.46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>
        <v>2256.46</v>
      </c>
    </row>
    <row r="29" spans="1:15" ht="29.25" customHeight="1" x14ac:dyDescent="0.35">
      <c r="A29" s="1" t="s">
        <v>443</v>
      </c>
      <c r="B29" s="68" t="s">
        <v>39</v>
      </c>
      <c r="C29" s="15">
        <f t="shared" si="1"/>
        <v>111.36999999999989</v>
      </c>
      <c r="D29" s="15"/>
      <c r="E29" s="15"/>
      <c r="F29" s="15"/>
      <c r="G29" s="15"/>
      <c r="H29" s="15"/>
      <c r="I29" s="15"/>
      <c r="J29" s="15"/>
      <c r="K29" s="15">
        <v>2631.8</v>
      </c>
      <c r="L29" s="15"/>
      <c r="M29" s="15"/>
      <c r="N29" s="55">
        <v>2743.17</v>
      </c>
    </row>
    <row r="30" spans="1:15" ht="29.25" customHeight="1" x14ac:dyDescent="0.35">
      <c r="A30" s="1" t="s">
        <v>444</v>
      </c>
      <c r="B30" s="68" t="s">
        <v>39</v>
      </c>
      <c r="C30" s="15">
        <f t="shared" si="1"/>
        <v>0</v>
      </c>
      <c r="D30" s="15"/>
      <c r="E30" s="15">
        <v>621.70000000000005</v>
      </c>
      <c r="F30" s="15"/>
      <c r="G30" s="15"/>
      <c r="H30" s="15"/>
      <c r="I30" s="15"/>
      <c r="J30" s="15"/>
      <c r="K30" s="15"/>
      <c r="L30" s="15"/>
      <c r="M30" s="15"/>
      <c r="N30" s="55">
        <v>621.70000000000005</v>
      </c>
    </row>
    <row r="31" spans="1:15" ht="29.25" customHeight="1" x14ac:dyDescent="0.35">
      <c r="A31" s="1" t="s">
        <v>445</v>
      </c>
      <c r="B31" s="68" t="s">
        <v>39</v>
      </c>
      <c r="C31" s="15">
        <f t="shared" si="1"/>
        <v>0</v>
      </c>
      <c r="D31" s="15"/>
      <c r="E31" s="15">
        <v>726.81</v>
      </c>
      <c r="F31" s="15"/>
      <c r="G31" s="15"/>
      <c r="H31" s="15"/>
      <c r="I31" s="15"/>
      <c r="J31" s="15"/>
      <c r="K31" s="15"/>
      <c r="L31" s="15"/>
      <c r="M31" s="15"/>
      <c r="N31" s="55">
        <v>726.81</v>
      </c>
    </row>
    <row r="32" spans="1:15" ht="29.25" customHeight="1" x14ac:dyDescent="0.35">
      <c r="A32" s="1" t="s">
        <v>446</v>
      </c>
      <c r="B32" s="68" t="s">
        <v>39</v>
      </c>
      <c r="C32" s="15">
        <f t="shared" si="1"/>
        <v>0</v>
      </c>
      <c r="D32" s="15"/>
      <c r="E32" s="15">
        <v>31.48</v>
      </c>
      <c r="F32" s="15"/>
      <c r="G32" s="15"/>
      <c r="H32" s="15"/>
      <c r="I32" s="15"/>
      <c r="J32" s="15"/>
      <c r="K32" s="15"/>
      <c r="L32" s="15"/>
      <c r="M32" s="15"/>
      <c r="N32" s="55">
        <v>31.48</v>
      </c>
    </row>
    <row r="33" spans="1:14" ht="29.25" customHeight="1" x14ac:dyDescent="0.35">
      <c r="A33" s="1" t="s">
        <v>447</v>
      </c>
      <c r="B33" s="68" t="s">
        <v>39</v>
      </c>
      <c r="C33" s="15">
        <f t="shared" si="1"/>
        <v>278.39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>
        <v>278.39</v>
      </c>
    </row>
    <row r="34" spans="1:14" ht="29.25" customHeight="1" x14ac:dyDescent="0.35">
      <c r="A34" s="1" t="s">
        <v>448</v>
      </c>
      <c r="B34" s="68" t="s">
        <v>39</v>
      </c>
      <c r="C34" s="15">
        <f t="shared" si="1"/>
        <v>31.19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>
        <v>31.19</v>
      </c>
    </row>
    <row r="35" spans="1:14" ht="29.25" customHeight="1" x14ac:dyDescent="0.35">
      <c r="A35" s="1" t="s">
        <v>449</v>
      </c>
      <c r="B35" s="68" t="s">
        <v>39</v>
      </c>
      <c r="C35" s="15">
        <f t="shared" si="1"/>
        <v>128.16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>
        <v>128.16</v>
      </c>
    </row>
    <row r="36" spans="1:14" ht="29.25" customHeight="1" x14ac:dyDescent="0.35">
      <c r="A36" s="1" t="s">
        <v>450</v>
      </c>
      <c r="B36" s="68" t="s">
        <v>39</v>
      </c>
      <c r="C36" s="15">
        <f t="shared" si="1"/>
        <v>93.87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>
        <v>93.87</v>
      </c>
    </row>
    <row r="37" spans="1:14" ht="29.25" customHeight="1" x14ac:dyDescent="0.35">
      <c r="A37" s="1" t="s">
        <v>451</v>
      </c>
      <c r="B37" s="68" t="s">
        <v>39</v>
      </c>
      <c r="C37" s="15">
        <f t="shared" si="1"/>
        <v>929.86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>
        <v>929.86</v>
      </c>
    </row>
    <row r="38" spans="1:14" ht="29.25" customHeight="1" x14ac:dyDescent="0.35">
      <c r="A38" s="1" t="s">
        <v>452</v>
      </c>
      <c r="B38" s="68" t="s">
        <v>39</v>
      </c>
      <c r="C38" s="15">
        <f t="shared" si="1"/>
        <v>0</v>
      </c>
      <c r="D38" s="15"/>
      <c r="E38" s="15">
        <v>761.1</v>
      </c>
      <c r="F38" s="15"/>
      <c r="G38" s="15"/>
      <c r="H38" s="15"/>
      <c r="I38" s="15"/>
      <c r="J38" s="15"/>
      <c r="K38" s="15"/>
      <c r="L38" s="15"/>
      <c r="M38" s="15"/>
      <c r="N38" s="55">
        <v>761.1</v>
      </c>
    </row>
    <row r="39" spans="1:14" ht="29.25" customHeight="1" x14ac:dyDescent="0.35">
      <c r="A39" s="1" t="s">
        <v>453</v>
      </c>
      <c r="B39" s="68" t="s">
        <v>39</v>
      </c>
      <c r="C39" s="15">
        <f t="shared" si="1"/>
        <v>0</v>
      </c>
      <c r="D39" s="15"/>
      <c r="E39" s="15">
        <v>50.88</v>
      </c>
      <c r="F39" s="15"/>
      <c r="G39" s="15"/>
      <c r="H39" s="15"/>
      <c r="I39" s="15"/>
      <c r="J39" s="15"/>
      <c r="K39" s="15"/>
      <c r="L39" s="15"/>
      <c r="M39" s="15"/>
      <c r="N39" s="55">
        <v>50.88</v>
      </c>
    </row>
    <row r="40" spans="1:14" ht="29.25" customHeight="1" x14ac:dyDescent="0.35">
      <c r="A40" s="1" t="s">
        <v>454</v>
      </c>
      <c r="B40" s="68" t="s">
        <v>39</v>
      </c>
      <c r="C40" s="15">
        <f t="shared" si="1"/>
        <v>68.099999999999994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>
        <v>68.099999999999994</v>
      </c>
    </row>
    <row r="41" spans="1:14" ht="29.25" customHeight="1" x14ac:dyDescent="0.35">
      <c r="A41" s="1" t="s">
        <v>455</v>
      </c>
      <c r="B41" s="68" t="s">
        <v>39</v>
      </c>
      <c r="C41" s="15">
        <f t="shared" si="1"/>
        <v>291.04000000000002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>
        <v>291.04000000000002</v>
      </c>
    </row>
    <row r="42" spans="1:14" ht="29.25" customHeight="1" x14ac:dyDescent="0.35">
      <c r="A42" s="1" t="s">
        <v>456</v>
      </c>
      <c r="B42" s="68" t="s">
        <v>39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>
        <v>13100.22</v>
      </c>
      <c r="L42" s="15"/>
      <c r="M42" s="15"/>
      <c r="N42" s="55">
        <v>13100.22</v>
      </c>
    </row>
    <row r="43" spans="1:14" ht="29.25" customHeight="1" x14ac:dyDescent="0.35">
      <c r="A43" s="1" t="s">
        <v>457</v>
      </c>
      <c r="B43" s="68" t="s">
        <v>39</v>
      </c>
      <c r="C43" s="15">
        <f t="shared" si="1"/>
        <v>163.28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>
        <v>163.28</v>
      </c>
    </row>
    <row r="44" spans="1:14" ht="29.25" customHeight="1" x14ac:dyDescent="0.35">
      <c r="A44" s="1" t="s">
        <v>458</v>
      </c>
      <c r="B44" s="68" t="s">
        <v>39</v>
      </c>
      <c r="C44" s="15">
        <f t="shared" si="1"/>
        <v>77.25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>
        <v>77.25</v>
      </c>
    </row>
    <row r="45" spans="1:14" ht="29.25" customHeight="1" x14ac:dyDescent="0.35">
      <c r="A45" s="1" t="s">
        <v>459</v>
      </c>
      <c r="B45" s="68" t="s">
        <v>39</v>
      </c>
      <c r="C45" s="15">
        <f t="shared" si="1"/>
        <v>0</v>
      </c>
      <c r="D45" s="15"/>
      <c r="E45" s="15"/>
      <c r="F45" s="15"/>
      <c r="G45" s="15"/>
      <c r="H45" s="15"/>
      <c r="I45" s="15"/>
      <c r="J45" s="15"/>
      <c r="K45" s="15">
        <v>1443.7</v>
      </c>
      <c r="L45" s="15"/>
      <c r="M45" s="15"/>
      <c r="N45" s="55">
        <v>1443.7</v>
      </c>
    </row>
    <row r="46" spans="1:14" ht="29.25" customHeight="1" x14ac:dyDescent="0.35">
      <c r="A46" s="1" t="s">
        <v>460</v>
      </c>
      <c r="B46" s="68" t="s">
        <v>39</v>
      </c>
      <c r="C46" s="15">
        <f t="shared" si="1"/>
        <v>2192.29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>
        <v>2192.29</v>
      </c>
    </row>
    <row r="47" spans="1:14" ht="29.25" customHeight="1" x14ac:dyDescent="0.35">
      <c r="A47" s="1" t="s">
        <v>461</v>
      </c>
      <c r="B47" s="68" t="s">
        <v>39</v>
      </c>
      <c r="C47" s="15">
        <f t="shared" ref="C47:C51" si="2">N47-D47-E47-F47-G47-H47-I47-J47-K47-L47-M47-D101-E101-F101-G101-H101-I101-J101-K101-L101-C101</f>
        <v>0</v>
      </c>
      <c r="D47" s="15"/>
      <c r="E47" s="15"/>
      <c r="F47" s="15"/>
      <c r="G47" s="15"/>
      <c r="H47" s="15"/>
      <c r="I47" s="15">
        <v>42.4</v>
      </c>
      <c r="J47" s="15"/>
      <c r="K47" s="15"/>
      <c r="L47" s="15"/>
      <c r="M47" s="15"/>
      <c r="N47" s="55">
        <v>42.4</v>
      </c>
    </row>
    <row r="48" spans="1:14" ht="29.25" customHeight="1" x14ac:dyDescent="0.35">
      <c r="A48" s="1" t="s">
        <v>462</v>
      </c>
      <c r="B48" s="68" t="s">
        <v>39</v>
      </c>
      <c r="C48" s="15">
        <f t="shared" si="2"/>
        <v>21.829999999999991</v>
      </c>
      <c r="D48" s="15"/>
      <c r="E48" s="15"/>
      <c r="F48" s="15"/>
      <c r="G48" s="15"/>
      <c r="H48" s="15"/>
      <c r="I48" s="15"/>
      <c r="J48" s="15"/>
      <c r="K48" s="15">
        <v>42.52</v>
      </c>
      <c r="L48" s="15"/>
      <c r="M48" s="15"/>
      <c r="N48" s="55">
        <v>64.349999999999994</v>
      </c>
    </row>
    <row r="49" spans="1:15" ht="29.25" customHeight="1" x14ac:dyDescent="0.35">
      <c r="A49" s="1" t="s">
        <v>463</v>
      </c>
      <c r="B49" s="68" t="s">
        <v>39</v>
      </c>
      <c r="C49" s="15">
        <f t="shared" si="2"/>
        <v>0</v>
      </c>
      <c r="D49" s="15"/>
      <c r="E49" s="15"/>
      <c r="F49" s="15"/>
      <c r="G49" s="15"/>
      <c r="H49" s="15"/>
      <c r="I49" s="15">
        <v>4622.5600000000004</v>
      </c>
      <c r="J49" s="15"/>
      <c r="K49" s="15"/>
      <c r="L49" s="15"/>
      <c r="M49" s="15"/>
      <c r="N49" s="55">
        <v>4622.5600000000004</v>
      </c>
    </row>
    <row r="50" spans="1:15" ht="29.25" customHeight="1" x14ac:dyDescent="0.35">
      <c r="A50" s="1" t="s">
        <v>464</v>
      </c>
      <c r="B50" s="68" t="s">
        <v>39</v>
      </c>
      <c r="C50" s="15">
        <f t="shared" si="2"/>
        <v>0</v>
      </c>
      <c r="D50" s="15"/>
      <c r="E50" s="15"/>
      <c r="F50" s="15"/>
      <c r="G50" s="15"/>
      <c r="H50" s="15"/>
      <c r="I50" s="15">
        <v>1370.4</v>
      </c>
      <c r="J50" s="15"/>
      <c r="K50" s="15"/>
      <c r="L50" s="15"/>
      <c r="M50" s="15"/>
      <c r="N50" s="55">
        <v>1370.4</v>
      </c>
    </row>
    <row r="51" spans="1:15" ht="29.25" customHeight="1" x14ac:dyDescent="0.35">
      <c r="A51" s="1" t="s">
        <v>465</v>
      </c>
      <c r="B51" s="68" t="s">
        <v>39</v>
      </c>
      <c r="C51" s="15">
        <f t="shared" si="2"/>
        <v>0</v>
      </c>
      <c r="D51" s="15"/>
      <c r="E51" s="15"/>
      <c r="F51" s="15"/>
      <c r="G51" s="15"/>
      <c r="H51" s="15"/>
      <c r="I51" s="15">
        <v>40.950000000000003</v>
      </c>
      <c r="J51" s="15"/>
      <c r="K51" s="15"/>
      <c r="L51" s="15"/>
      <c r="M51" s="15"/>
      <c r="N51" s="55">
        <v>40.950000000000003</v>
      </c>
    </row>
    <row r="52" spans="1:15" ht="29.25" customHeight="1" x14ac:dyDescent="0.35">
      <c r="A52" s="1" t="s">
        <v>82</v>
      </c>
      <c r="B52" s="68" t="s">
        <v>82</v>
      </c>
      <c r="C52" s="15">
        <f t="shared" ref="C52:C53" si="3">N52-D52-E52-F52-G52-H52-I52-J52-K52-L52-M52-D106-E106-F106-G106-H106-I106-J106-K106-L106-C106</f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3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ref="C54" si="4">N54-D54-E54-F54-G54-H54-I54-J54-K54-L54-M54-D108-E108-F108-G108-H108-I108-J108-K108-L108-C108</f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5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39</v>
      </c>
      <c r="C56" s="16">
        <f>C3</f>
        <v>175.64587999999998</v>
      </c>
      <c r="D56" s="16"/>
      <c r="E56" s="16">
        <f>E3</f>
        <v>36.378540000000001</v>
      </c>
      <c r="F56" s="16">
        <f t="shared" ref="F56:L56" si="6">F3</f>
        <v>0</v>
      </c>
      <c r="G56" s="16">
        <f t="shared" si="6"/>
        <v>0</v>
      </c>
      <c r="H56" s="16">
        <f t="shared" si="6"/>
        <v>0</v>
      </c>
      <c r="I56" s="16">
        <f t="shared" si="6"/>
        <v>58.426139999999997</v>
      </c>
      <c r="J56" s="16">
        <f t="shared" si="6"/>
        <v>44.830119999999994</v>
      </c>
      <c r="K56" s="16">
        <f t="shared" si="6"/>
        <v>52.17931999999999</v>
      </c>
      <c r="L56" s="16">
        <f t="shared" si="6"/>
        <v>0</v>
      </c>
      <c r="M56" s="16"/>
      <c r="N56" s="60">
        <f>SUM(C56:M56)+SUM(C118:J118)</f>
        <v>367.45999999999992</v>
      </c>
      <c r="O56" s="222" t="s">
        <v>466</v>
      </c>
    </row>
    <row r="57" spans="1:15" ht="29.25" customHeight="1" thickBot="1" x14ac:dyDescent="0.45">
      <c r="A57" s="24" t="s">
        <v>84</v>
      </c>
      <c r="B57" s="10"/>
      <c r="C57" s="61">
        <f t="shared" ref="C57:M57" si="7">SUM(C6:C56)</f>
        <v>24862.045879999994</v>
      </c>
      <c r="D57" s="61">
        <f t="shared" si="7"/>
        <v>0</v>
      </c>
      <c r="E57" s="61">
        <f t="shared" si="7"/>
        <v>12850.978539999998</v>
      </c>
      <c r="F57" s="61">
        <f t="shared" si="7"/>
        <v>0</v>
      </c>
      <c r="G57" s="61">
        <f t="shared" si="7"/>
        <v>0</v>
      </c>
      <c r="H57" s="61">
        <f t="shared" si="7"/>
        <v>0</v>
      </c>
      <c r="I57" s="61">
        <f t="shared" si="7"/>
        <v>6384.8361400000003</v>
      </c>
      <c r="J57" s="61">
        <f t="shared" si="7"/>
        <v>44.830119999999994</v>
      </c>
      <c r="K57" s="61">
        <f t="shared" si="7"/>
        <v>21057.599320000001</v>
      </c>
      <c r="L57" s="61">
        <f t="shared" si="7"/>
        <v>0</v>
      </c>
      <c r="M57" s="61">
        <f t="shared" si="7"/>
        <v>9.81</v>
      </c>
      <c r="N57" s="61">
        <f>SUM(N6:N56)</f>
        <v>65671.079999999987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>4003749852</v>
      </c>
      <c r="B60" s="9" t="str">
        <f>B6</f>
        <v>SAPUTO DAIRY PRODUCTS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8">A7</f>
        <v>4003749851</v>
      </c>
      <c r="B61" s="9" t="str">
        <f t="shared" si="8"/>
        <v>SAPUTO DAIRY PRODUCTS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8"/>
        <v>4003731438</v>
      </c>
      <c r="B62" s="9" t="str">
        <f t="shared" si="8"/>
        <v>SAPUTO DAIRY PRODUCTS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8"/>
        <v>SO186413</v>
      </c>
      <c r="B63" s="9" t="str">
        <f t="shared" si="8"/>
        <v>STAR PRODUCE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8"/>
        <v>100352206</v>
      </c>
      <c r="B64" s="9" t="str">
        <f t="shared" si="8"/>
        <v>FREYBE GOURMET FOODS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8"/>
        <v>6676651</v>
      </c>
      <c r="B65" s="9" t="str">
        <f t="shared" si="8"/>
        <v>THE GROCERY PEOPLE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8"/>
        <v>6678810</v>
      </c>
      <c r="B66" s="9" t="str">
        <f t="shared" si="8"/>
        <v>THE GROCERY PEOPLE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8"/>
        <v>6679688</v>
      </c>
      <c r="B67" s="9" t="str">
        <f t="shared" si="8"/>
        <v>THE GROCERY PEOPLE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8"/>
        <v>6682144</v>
      </c>
      <c r="B68" s="9" t="str">
        <f t="shared" si="8"/>
        <v>THE GROCERY PEOPLE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8"/>
        <v>6682145</v>
      </c>
      <c r="B69" s="9" t="str">
        <f t="shared" si="8"/>
        <v>THE GROCERY PEOPLE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8"/>
        <v>6682146</v>
      </c>
      <c r="B70" s="9" t="str">
        <f t="shared" si="8"/>
        <v>THE GROCERY PEOPLE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8"/>
        <v>6679289</v>
      </c>
      <c r="B71" s="9" t="str">
        <f t="shared" si="8"/>
        <v>THE GROCERY PEOPLE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8"/>
        <v>6676375</v>
      </c>
      <c r="B72" s="9" t="str">
        <f t="shared" si="8"/>
        <v>THE GROCERY PEOPLE</v>
      </c>
      <c r="C72" s="26">
        <v>107.16</v>
      </c>
      <c r="D72" s="26"/>
      <c r="E72" s="26"/>
      <c r="F72" s="26"/>
      <c r="G72" s="26"/>
      <c r="H72" s="26"/>
      <c r="I72" s="26"/>
      <c r="J72" s="52"/>
      <c r="K72" s="48"/>
      <c r="L72" s="2"/>
      <c r="M72" s="14" t="s">
        <v>431</v>
      </c>
    </row>
    <row r="73" spans="1:13" ht="29.25" customHeight="1" x14ac:dyDescent="0.35">
      <c r="A73" s="70" t="str">
        <f t="shared" si="8"/>
        <v>6678809</v>
      </c>
      <c r="B73" s="9" t="str">
        <f t="shared" si="8"/>
        <v>THE GROCERY PEOPLE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8"/>
        <v>6680695</v>
      </c>
      <c r="B74" s="9" t="str">
        <f t="shared" si="8"/>
        <v>THE GROCERY PEOPLE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8"/>
        <v>6676376</v>
      </c>
      <c r="B75" s="9" t="str">
        <f t="shared" si="8"/>
        <v>THE GROCERY PEOPLE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 t="s">
        <v>82</v>
      </c>
    </row>
    <row r="76" spans="1:13" ht="29.25" customHeight="1" x14ac:dyDescent="0.35">
      <c r="A76" s="70" t="str">
        <f t="shared" si="8"/>
        <v>6680696</v>
      </c>
      <c r="B76" s="9" t="str">
        <f t="shared" si="8"/>
        <v>THE GROCERY PEOPLE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9">A23</f>
        <v>5640621</v>
      </c>
      <c r="B77" s="9" t="str">
        <f t="shared" si="9"/>
        <v>THE GROCERY PEOPLE</v>
      </c>
      <c r="C77" s="26"/>
      <c r="D77" s="26"/>
      <c r="E77" s="26">
        <v>353.82</v>
      </c>
      <c r="F77" s="26"/>
      <c r="G77" s="26"/>
      <c r="H77" s="26"/>
      <c r="I77" s="26"/>
      <c r="J77" s="52"/>
      <c r="K77" s="48"/>
      <c r="L77" s="2"/>
      <c r="M77" s="14" t="s">
        <v>437</v>
      </c>
    </row>
    <row r="78" spans="1:13" ht="29.25" customHeight="1" x14ac:dyDescent="0.35">
      <c r="A78" s="70" t="str">
        <f t="shared" si="9"/>
        <v>5640936</v>
      </c>
      <c r="B78" s="9" t="str">
        <f t="shared" si="9"/>
        <v>THE GROCERY PEOPLE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9"/>
        <v>5643102</v>
      </c>
      <c r="B79" s="9" t="str">
        <f t="shared" si="9"/>
        <v>THE GROCERY PEOPLE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9"/>
        <v>5643103</v>
      </c>
      <c r="B80" s="9" t="str">
        <f t="shared" si="9"/>
        <v>THE GROCERY PEOPLE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9"/>
        <v>5643508</v>
      </c>
      <c r="B81" s="9" t="str">
        <f t="shared" si="9"/>
        <v>THE GROCERY PEOPLE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9"/>
        <v>5643590</v>
      </c>
      <c r="B82" s="9" t="str">
        <f t="shared" si="9"/>
        <v>THE GROCERY PEOPLE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9"/>
        <v>5643740</v>
      </c>
      <c r="B83" s="9" t="str">
        <f t="shared" si="9"/>
        <v>THE GROCERY PEOPLE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9"/>
        <v>8247090</v>
      </c>
      <c r="B84" s="9" t="str">
        <f t="shared" si="9"/>
        <v>THE GROCERY PEOPLE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9"/>
        <v>8247485</v>
      </c>
      <c r="B85" s="9" t="str">
        <f t="shared" si="9"/>
        <v>THE GROCERY PEOPLE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9"/>
        <v>8247544</v>
      </c>
      <c r="B86" s="9" t="str">
        <f t="shared" si="9"/>
        <v>THE GROCERY PEOPLE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9"/>
        <v>5640678</v>
      </c>
      <c r="B87" s="9" t="str">
        <f t="shared" si="9"/>
        <v>THE GROCERY PEOPLE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9"/>
        <v>5640875</v>
      </c>
      <c r="B88" s="9" t="str">
        <f t="shared" si="9"/>
        <v>THE GROCERY PEOPLE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9"/>
        <v>5641129</v>
      </c>
      <c r="B89" s="9" t="str">
        <f t="shared" si="9"/>
        <v>THE GROCERY PEOPLE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9"/>
        <v>5641130</v>
      </c>
      <c r="B90" s="9" t="str">
        <f t="shared" si="9"/>
        <v>THE GROCERY PEOPLE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9"/>
        <v>5641912</v>
      </c>
      <c r="B91" s="9" t="str">
        <f t="shared" si="9"/>
        <v>THE GROCERY PEOPLE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9"/>
        <v>5642290</v>
      </c>
      <c r="B92" s="9" t="str">
        <f t="shared" si="9"/>
        <v>THE GROCERY PEOPLE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0">A39</f>
        <v>5642291</v>
      </c>
      <c r="B93" s="9" t="str">
        <f t="shared" si="10"/>
        <v>THE GROCERY PEOPLE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0"/>
        <v>5642411</v>
      </c>
      <c r="B94" s="9" t="str">
        <f t="shared" si="10"/>
        <v>THE GROCERY PEOPLE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0"/>
        <v>5643425</v>
      </c>
      <c r="B95" s="9" t="str">
        <f t="shared" si="10"/>
        <v>THE GROCERY PEOPLE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0"/>
        <v>5643626</v>
      </c>
      <c r="B96" s="9" t="str">
        <f t="shared" si="10"/>
        <v>THE GROCERY PEOPLE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0"/>
        <v>5643507</v>
      </c>
      <c r="B97" s="9" t="str">
        <f t="shared" si="10"/>
        <v>THE GROCERY PEOPLE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0"/>
        <v>5643592</v>
      </c>
      <c r="B98" s="9" t="str">
        <f t="shared" si="10"/>
        <v>THE GROCERY PEOPLE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0"/>
        <v>5643739</v>
      </c>
      <c r="B99" s="9" t="str">
        <f t="shared" si="10"/>
        <v>THE GROCERY PEOPLE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0"/>
        <v>5643101</v>
      </c>
      <c r="B100" s="9" t="str">
        <f t="shared" si="10"/>
        <v>THE GROCERY PEOPLE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0"/>
        <v>5643866</v>
      </c>
      <c r="B101" s="9" t="str">
        <f t="shared" si="10"/>
        <v>THE GROCERY PEOPLE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0"/>
        <v>5643905</v>
      </c>
      <c r="B102" s="9" t="str">
        <f t="shared" si="10"/>
        <v>THE GROCERY PEOPLE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0"/>
        <v>5644070</v>
      </c>
      <c r="B103" s="9" t="str">
        <f t="shared" si="10"/>
        <v>THE GROCERY PEOPLE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0"/>
        <v>5644071</v>
      </c>
      <c r="B104" s="9" t="str">
        <f t="shared" si="10"/>
        <v>THE GROCERY PEOPLE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0"/>
        <v>5644072</v>
      </c>
      <c r="B105" s="9" t="str">
        <f t="shared" si="10"/>
        <v>THE GROCERY PEOPLE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0"/>
        <v xml:space="preserve"> </v>
      </c>
      <c r="B106" s="9" t="str">
        <f t="shared" si="10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0"/>
        <v xml:space="preserve"> </v>
      </c>
      <c r="B107" s="9" t="str">
        <f t="shared" si="10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0"/>
        <v xml:space="preserve"> </v>
      </c>
      <c r="B108" s="9" t="str">
        <f t="shared" si="10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1">A55</f>
        <v xml:space="preserve"> </v>
      </c>
      <c r="B109" s="9" t="str">
        <f t="shared" si="11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84</v>
      </c>
      <c r="B110" s="8"/>
      <c r="C110" s="53">
        <f>SUM(C60:C109)</f>
        <v>107.16</v>
      </c>
      <c r="D110" s="53">
        <f>SUM(D60:D109)</f>
        <v>0</v>
      </c>
      <c r="E110" s="53">
        <f t="shared" ref="E110:K110" si="12">SUM(E60:E109)</f>
        <v>353.82</v>
      </c>
      <c r="F110" s="53">
        <f t="shared" si="12"/>
        <v>0</v>
      </c>
      <c r="G110" s="53">
        <f t="shared" si="12"/>
        <v>0</v>
      </c>
      <c r="H110" s="53">
        <f t="shared" si="12"/>
        <v>0</v>
      </c>
      <c r="I110" s="53">
        <f t="shared" si="12"/>
        <v>0</v>
      </c>
      <c r="J110" s="54">
        <f t="shared" si="12"/>
        <v>0</v>
      </c>
      <c r="K110" s="49">
        <f t="shared" si="12"/>
        <v>0</v>
      </c>
      <c r="L110" s="11">
        <v>0</v>
      </c>
      <c r="M110" s="14"/>
    </row>
  </sheetData>
  <hyperlinks>
    <hyperlink ref="M1" location="'Receiving Totals'!A1" display="Receiving Totals" xr:uid="{6E50B25B-26D2-469A-9CF9-FF33508FC369}"/>
  </hyperlinks>
  <pageMargins left="0.7" right="0.7" top="0.75" bottom="0.75" header="0.3" footer="0.3"/>
  <pageSetup scale="30" fitToWidth="0" fitToHeight="0" orientation="landscape" verticalDpi="1200" r:id="rId1"/>
  <rowBreaks count="1" manualBreakCount="1">
    <brk id="57" max="16383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D6FB2-EE67-49FA-9006-357235F3EAF1}">
  <dimension ref="A1:O110"/>
  <sheetViews>
    <sheetView zoomScale="70" zoomScaleNormal="70" workbookViewId="0">
      <pane xSplit="1" ySplit="5" topLeftCell="B6" activePane="bottomRight" state="frozen"/>
      <selection pane="topRight" activeCell="N7" sqref="N7"/>
      <selection pane="bottomLeft" activeCell="N7" sqref="N7"/>
      <selection pane="bottomRight" activeCell="B13" sqref="B13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 t="s">
        <v>13</v>
      </c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14</v>
      </c>
      <c r="B4" s="64">
        <f>'Sunday WK3 (15)'!B4+1</f>
        <v>46209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15</v>
      </c>
      <c r="B5" s="223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467</v>
      </c>
      <c r="B6" s="68" t="s">
        <v>108</v>
      </c>
      <c r="C6" s="15">
        <f t="shared" ref="C6:C18" si="1">N6-D6-E6-F6-G6-H6-I6-J6-K6-L6-M6-D60-E60-F60-G60-H60-I60-J60-K60-L60-C60</f>
        <v>-622.51</v>
      </c>
      <c r="D6" s="15"/>
      <c r="E6" s="15"/>
      <c r="F6" s="15"/>
      <c r="G6" s="15"/>
      <c r="H6" s="15"/>
      <c r="I6" s="15"/>
      <c r="J6" s="15"/>
      <c r="K6" s="15"/>
      <c r="L6" s="15"/>
      <c r="M6" s="15">
        <v>-31.13</v>
      </c>
      <c r="N6" s="55">
        <v>-653.64</v>
      </c>
    </row>
    <row r="7" spans="1:14" ht="29.25" customHeight="1" x14ac:dyDescent="0.35">
      <c r="A7" s="1" t="s">
        <v>468</v>
      </c>
      <c r="B7" s="68" t="s">
        <v>106</v>
      </c>
      <c r="C7" s="15">
        <f t="shared" si="1"/>
        <v>682</v>
      </c>
      <c r="D7" s="15"/>
      <c r="E7" s="15"/>
      <c r="F7" s="15"/>
      <c r="G7" s="15"/>
      <c r="H7" s="15"/>
      <c r="I7" s="15"/>
      <c r="J7" s="15"/>
      <c r="K7" s="15"/>
      <c r="L7" s="15"/>
      <c r="M7" s="15">
        <v>26.38</v>
      </c>
      <c r="N7" s="55">
        <v>708.38</v>
      </c>
    </row>
    <row r="8" spans="1:14" ht="29.25" customHeight="1" x14ac:dyDescent="0.35">
      <c r="A8" s="1" t="s">
        <v>469</v>
      </c>
      <c r="B8" s="68" t="s">
        <v>106</v>
      </c>
      <c r="C8" s="15">
        <f t="shared" si="1"/>
        <v>7997.8499999999995</v>
      </c>
      <c r="D8" s="15"/>
      <c r="E8" s="15"/>
      <c r="F8" s="15"/>
      <c r="G8" s="15"/>
      <c r="H8" s="15"/>
      <c r="I8" s="15"/>
      <c r="J8" s="15"/>
      <c r="K8" s="15"/>
      <c r="L8" s="15"/>
      <c r="M8" s="15">
        <v>264.52999999999997</v>
      </c>
      <c r="N8" s="55">
        <v>8262.3799999999992</v>
      </c>
    </row>
    <row r="9" spans="1:14" ht="29.25" customHeight="1" x14ac:dyDescent="0.35">
      <c r="A9" s="1" t="s">
        <v>470</v>
      </c>
      <c r="B9" s="68" t="s">
        <v>104</v>
      </c>
      <c r="C9" s="15">
        <f t="shared" si="1"/>
        <v>5418.3200000000006</v>
      </c>
      <c r="D9" s="15"/>
      <c r="E9" s="15"/>
      <c r="F9" s="15"/>
      <c r="G9" s="15"/>
      <c r="H9" s="15"/>
      <c r="I9" s="15"/>
      <c r="J9" s="15"/>
      <c r="K9" s="15"/>
      <c r="L9" s="15"/>
      <c r="M9" s="15">
        <v>220.99</v>
      </c>
      <c r="N9" s="55">
        <v>5639.31</v>
      </c>
    </row>
    <row r="10" spans="1:14" ht="29.25" customHeight="1" x14ac:dyDescent="0.35">
      <c r="A10" s="1" t="s">
        <v>471</v>
      </c>
      <c r="B10" s="68" t="s">
        <v>118</v>
      </c>
      <c r="C10" s="15">
        <f t="shared" si="1"/>
        <v>1256.5900000000001</v>
      </c>
      <c r="D10" s="15"/>
      <c r="E10" s="15"/>
      <c r="F10" s="15"/>
      <c r="G10" s="15"/>
      <c r="H10" s="15"/>
      <c r="I10" s="15"/>
      <c r="J10" s="15"/>
      <c r="K10" s="15"/>
      <c r="L10" s="15"/>
      <c r="M10" s="15">
        <v>8.6</v>
      </c>
      <c r="N10" s="55">
        <v>1265.19</v>
      </c>
    </row>
    <row r="11" spans="1:14" ht="29.25" customHeight="1" x14ac:dyDescent="0.35">
      <c r="A11" s="1" t="s">
        <v>472</v>
      </c>
      <c r="B11" s="68" t="s">
        <v>118</v>
      </c>
      <c r="C11" s="15">
        <f t="shared" si="1"/>
        <v>-417.28</v>
      </c>
      <c r="D11" s="15"/>
      <c r="E11" s="15"/>
      <c r="F11" s="15"/>
      <c r="G11" s="15"/>
      <c r="H11" s="15"/>
      <c r="I11" s="15"/>
      <c r="J11" s="15"/>
      <c r="K11" s="15"/>
      <c r="L11" s="15"/>
      <c r="M11" s="15">
        <v>-0.74</v>
      </c>
      <c r="N11" s="55">
        <v>-418.02</v>
      </c>
    </row>
    <row r="12" spans="1:14" ht="29.25" customHeight="1" x14ac:dyDescent="0.35">
      <c r="A12" s="1" t="s">
        <v>473</v>
      </c>
      <c r="B12" s="68" t="s">
        <v>245</v>
      </c>
      <c r="C12" s="15">
        <f t="shared" si="1"/>
        <v>429.34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>
        <v>429.34</v>
      </c>
    </row>
    <row r="13" spans="1:14" ht="29.25" customHeight="1" x14ac:dyDescent="0.35">
      <c r="A13" s="1" t="s">
        <v>474</v>
      </c>
      <c r="B13" s="68" t="s">
        <v>245</v>
      </c>
      <c r="C13" s="15">
        <f t="shared" si="1"/>
        <v>0</v>
      </c>
      <c r="D13" s="15"/>
      <c r="E13" s="15">
        <v>1738.56</v>
      </c>
      <c r="F13" s="15"/>
      <c r="G13" s="15"/>
      <c r="H13" s="15"/>
      <c r="I13" s="15"/>
      <c r="J13" s="15"/>
      <c r="K13" s="15"/>
      <c r="L13" s="15"/>
      <c r="M13" s="15"/>
      <c r="N13" s="55">
        <v>1738.56</v>
      </c>
    </row>
    <row r="14" spans="1:14" ht="29.25" customHeight="1" x14ac:dyDescent="0.35">
      <c r="A14" s="1" t="s">
        <v>475</v>
      </c>
      <c r="B14" s="68" t="s">
        <v>160</v>
      </c>
      <c r="C14" s="15">
        <f t="shared" si="1"/>
        <v>0</v>
      </c>
      <c r="D14" s="15"/>
      <c r="E14" s="15">
        <v>1412.9</v>
      </c>
      <c r="F14" s="15"/>
      <c r="G14" s="15"/>
      <c r="H14" s="15"/>
      <c r="I14" s="15"/>
      <c r="J14" s="15"/>
      <c r="K14" s="15"/>
      <c r="L14" s="15"/>
      <c r="M14" s="15"/>
      <c r="N14" s="55">
        <v>1412.9</v>
      </c>
    </row>
    <row r="15" spans="1:14" ht="29.25" customHeight="1" x14ac:dyDescent="0.35">
      <c r="A15" s="1" t="s">
        <v>476</v>
      </c>
      <c r="B15" s="68" t="s">
        <v>29</v>
      </c>
      <c r="C15" s="15">
        <f t="shared" si="1"/>
        <v>309.43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>
        <v>309.43</v>
      </c>
    </row>
    <row r="16" spans="1:14" ht="29.25" customHeight="1" x14ac:dyDescent="0.35">
      <c r="A16" s="1" t="s">
        <v>477</v>
      </c>
      <c r="B16" s="68" t="s">
        <v>123</v>
      </c>
      <c r="C16" s="15">
        <f t="shared" si="1"/>
        <v>1797.4</v>
      </c>
      <c r="D16" s="15"/>
      <c r="E16" s="15"/>
      <c r="F16" s="15"/>
      <c r="G16" s="15"/>
      <c r="H16" s="15"/>
      <c r="I16" s="15"/>
      <c r="J16" s="15"/>
      <c r="K16" s="15"/>
      <c r="L16" s="15"/>
      <c r="M16" s="15">
        <v>89.87</v>
      </c>
      <c r="N16" s="55">
        <v>1887.27</v>
      </c>
    </row>
    <row r="17" spans="1:14" ht="29.25" customHeight="1" x14ac:dyDescent="0.35">
      <c r="A17" s="1" t="s">
        <v>82</v>
      </c>
      <c r="B17" s="68" t="s">
        <v>82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ref="C19" si="2">N19-D19-E19-F19-G19-H19-I19-J19-K19-L19-M19-D73-E73-F73-G73-H73-I73-J73-K73-L73-C73</f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ref="C20" si="3">N20-D20-E20-F20-G20-H20-I20-J20-K20-L20-M20-D74-E74-F74-G74-H74-I74-J74-K74-L74-C74</f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ref="C21:C22" si="4">N21-D21-E21-F21-G21-H21-I21-J21-K21-L21-M21-D75-E75-F75-G75-H75-I75-J75-K75-L75-C75</f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si="4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ref="C23:C26" si="5">N23-D23-E23-F23-G23-H23-I23-J23-K23-L23-M23-D77-E77-F77-G77-H77-I77-J77-K77-L77-C77</f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si="5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5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5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ref="C27:C30" si="6">N27-D27-E27-F27-G27-H27-I27-J27-K27-L27-M27-D81-E81-F81-G81-H81-I81-J81-K81-L81-C81</f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6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6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6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ref="C31:C55" si="7">N31-D31-E31-F31-G31-H31-I31-J31-K31-L31-M31-D85-E85-F85-G85-H85-I85-J85-K85-L85-C85</f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7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7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7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7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7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7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7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7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7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7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7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7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7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7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7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7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7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82</v>
      </c>
      <c r="B49" s="68" t="s">
        <v>82</v>
      </c>
      <c r="C49" s="15">
        <f t="shared" si="7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82</v>
      </c>
      <c r="B50" s="68" t="s">
        <v>82</v>
      </c>
      <c r="C50" s="15">
        <f t="shared" si="7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82</v>
      </c>
      <c r="B51" s="68" t="s">
        <v>82</v>
      </c>
      <c r="C51" s="15">
        <f t="shared" si="7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82</v>
      </c>
      <c r="B52" s="68" t="s">
        <v>82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82</v>
      </c>
      <c r="B53" s="68" t="s">
        <v>82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82</v>
      </c>
      <c r="B54" s="68" t="s">
        <v>82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82</v>
      </c>
      <c r="B55" s="68" t="s">
        <v>82</v>
      </c>
      <c r="C55" s="15">
        <f t="shared" si="7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x14ac:dyDescent="0.35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8">F3</f>
        <v>0</v>
      </c>
      <c r="G56" s="16">
        <f t="shared" si="8"/>
        <v>0</v>
      </c>
      <c r="H56" s="16">
        <f t="shared" si="8"/>
        <v>0</v>
      </c>
      <c r="I56" s="16">
        <f t="shared" si="8"/>
        <v>0</v>
      </c>
      <c r="J56" s="16">
        <f t="shared" si="8"/>
        <v>0</v>
      </c>
      <c r="K56" s="16">
        <f t="shared" si="8"/>
        <v>0</v>
      </c>
      <c r="L56" s="16">
        <f t="shared" si="8"/>
        <v>0</v>
      </c>
      <c r="M56" s="16"/>
      <c r="N56" s="60">
        <f>SUM(C56:M56)+SUM(C118:J118)</f>
        <v>0</v>
      </c>
    </row>
    <row r="57" spans="1:14" ht="29.25" customHeight="1" x14ac:dyDescent="0.4">
      <c r="A57" s="24" t="s">
        <v>84</v>
      </c>
      <c r="B57" s="10"/>
      <c r="C57" s="61">
        <f t="shared" ref="C57:M57" si="9">SUM(C6:C56)</f>
        <v>16851.14</v>
      </c>
      <c r="D57" s="61">
        <f t="shared" si="9"/>
        <v>0</v>
      </c>
      <c r="E57" s="61">
        <f t="shared" si="9"/>
        <v>3151.46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0</v>
      </c>
      <c r="J57" s="61">
        <f t="shared" si="9"/>
        <v>0</v>
      </c>
      <c r="K57" s="61">
        <f t="shared" si="9"/>
        <v>0</v>
      </c>
      <c r="L57" s="61">
        <f t="shared" si="9"/>
        <v>0</v>
      </c>
      <c r="M57" s="61">
        <f t="shared" si="9"/>
        <v>578.5</v>
      </c>
      <c r="N57" s="61">
        <f>SUM(N6:N56)</f>
        <v>20581.100000000002</v>
      </c>
    </row>
    <row r="58" spans="1:14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4" ht="45.75" customHeight="1" x14ac:dyDescent="0.35">
      <c r="A59" s="6" t="s">
        <v>15</v>
      </c>
      <c r="B59" s="224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4" ht="29.25" customHeight="1" x14ac:dyDescent="0.35">
      <c r="A60" s="70" t="str">
        <f>A6</f>
        <v>2246</v>
      </c>
      <c r="B60" s="9" t="str">
        <f>B6</f>
        <v>NELLA WEST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76" si="10">A7</f>
        <v>54319807</v>
      </c>
      <c r="B61" s="9" t="str">
        <f t="shared" si="10"/>
        <v>PEPSICO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si="10"/>
        <v>54319806</v>
      </c>
      <c r="B62" s="9" t="str">
        <f t="shared" si="10"/>
        <v>PEPSICO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si="10"/>
        <v>53166884003</v>
      </c>
      <c r="B63" s="9" t="str">
        <f t="shared" si="10"/>
        <v>COCA COLA CANADA BOTTLING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si="10"/>
        <v>226650718709</v>
      </c>
      <c r="B64" s="9" t="str">
        <f t="shared" si="10"/>
        <v>CANADA BREAD COMPANY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10"/>
        <v>226650718710</v>
      </c>
      <c r="B65" s="9" t="str">
        <f t="shared" si="10"/>
        <v>CANADA BREAD COMPANY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10"/>
        <v>2882618701</v>
      </c>
      <c r="B66" s="9" t="str">
        <f t="shared" si="10"/>
        <v>DIRECT PLUS FOOD GROUP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10"/>
        <v>2882618702</v>
      </c>
      <c r="B67" s="9" t="str">
        <f t="shared" si="10"/>
        <v>DIRECT PLUS FOOD GROUP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10"/>
        <v>INV26-04674</v>
      </c>
      <c r="B68" s="9" t="str">
        <f t="shared" si="10"/>
        <v>CAPITAL FINE MEATS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10"/>
        <v>126639</v>
      </c>
      <c r="B69" s="9" t="str">
        <f t="shared" si="10"/>
        <v>ITALIAN BAKERY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10"/>
        <v>93892064</v>
      </c>
      <c r="B70" s="9" t="str">
        <f t="shared" si="10"/>
        <v>FRITO LAY CANADA VENDING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10"/>
        <v xml:space="preserve"> </v>
      </c>
      <c r="B71" s="9" t="str">
        <f t="shared" si="10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0"/>
        <v xml:space="preserve"> </v>
      </c>
      <c r="B72" s="9" t="str">
        <f t="shared" si="10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0"/>
        <v xml:space="preserve"> </v>
      </c>
      <c r="B73" s="9" t="str">
        <f t="shared" si="10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0"/>
        <v xml:space="preserve"> </v>
      </c>
      <c r="B74" s="9" t="str">
        <f t="shared" si="10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10"/>
        <v xml:space="preserve"> </v>
      </c>
      <c r="B75" s="9" t="str">
        <f t="shared" si="1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0"/>
        <v xml:space="preserve"> </v>
      </c>
      <c r="B76" s="9" t="str">
        <f t="shared" si="1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1">A23</f>
        <v xml:space="preserve"> </v>
      </c>
      <c r="B77" s="9" t="str">
        <f t="shared" si="11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1"/>
        <v xml:space="preserve"> </v>
      </c>
      <c r="B78" s="9" t="str">
        <f t="shared" si="11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1"/>
        <v xml:space="preserve"> </v>
      </c>
      <c r="B79" s="9" t="str">
        <f t="shared" si="11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1"/>
        <v xml:space="preserve"> </v>
      </c>
      <c r="B80" s="9" t="str">
        <f t="shared" si="11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1"/>
        <v xml:space="preserve"> </v>
      </c>
      <c r="B81" s="9" t="str">
        <f t="shared" si="11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1"/>
        <v xml:space="preserve"> </v>
      </c>
      <c r="B82" s="9" t="str">
        <f t="shared" si="1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1"/>
        <v xml:space="preserve"> </v>
      </c>
      <c r="B83" s="9" t="str">
        <f t="shared" si="11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1"/>
        <v xml:space="preserve"> </v>
      </c>
      <c r="B84" s="9" t="str">
        <f t="shared" si="1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1"/>
        <v xml:space="preserve"> </v>
      </c>
      <c r="B85" s="9" t="str">
        <f t="shared" si="11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1"/>
        <v xml:space="preserve"> </v>
      </c>
      <c r="B86" s="9" t="str">
        <f t="shared" si="11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1"/>
        <v xml:space="preserve"> </v>
      </c>
      <c r="B87" s="9" t="str">
        <f t="shared" si="11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1"/>
        <v xml:space="preserve"> </v>
      </c>
      <c r="B88" s="9" t="str">
        <f t="shared" si="11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1"/>
        <v xml:space="preserve"> </v>
      </c>
      <c r="B89" s="9" t="str">
        <f t="shared" si="11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1"/>
        <v xml:space="preserve"> </v>
      </c>
      <c r="B90" s="9" t="str">
        <f t="shared" si="11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1"/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2">A39</f>
        <v xml:space="preserve"> </v>
      </c>
      <c r="B93" s="9" t="str">
        <f t="shared" si="12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2"/>
        <v xml:space="preserve"> </v>
      </c>
      <c r="B94" s="9" t="str">
        <f t="shared" si="12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2"/>
        <v xml:space="preserve"> </v>
      </c>
      <c r="B95" s="9" t="str">
        <f t="shared" si="12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2"/>
        <v xml:space="preserve"> </v>
      </c>
      <c r="B96" s="9" t="str">
        <f t="shared" si="12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2"/>
        <v xml:space="preserve"> </v>
      </c>
      <c r="B97" s="9" t="str">
        <f t="shared" si="12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2"/>
        <v xml:space="preserve"> </v>
      </c>
      <c r="B98" s="9" t="str">
        <f t="shared" si="12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2"/>
        <v xml:space="preserve"> </v>
      </c>
      <c r="B99" s="9" t="str">
        <f t="shared" si="12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2"/>
        <v xml:space="preserve"> </v>
      </c>
      <c r="B100" s="9" t="str">
        <f t="shared" si="12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2"/>
        <v xml:space="preserve"> </v>
      </c>
      <c r="B101" s="9" t="str">
        <f t="shared" si="12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2"/>
        <v xml:space="preserve"> </v>
      </c>
      <c r="B102" s="9" t="str">
        <f t="shared" si="12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2"/>
        <v xml:space="preserve"> </v>
      </c>
      <c r="B103" s="9" t="str">
        <f t="shared" si="1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2"/>
        <v xml:space="preserve"> </v>
      </c>
      <c r="B104" s="9" t="str">
        <f t="shared" si="12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2"/>
        <v xml:space="preserve"> </v>
      </c>
      <c r="B105" s="9" t="str">
        <f t="shared" si="1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2"/>
        <v xml:space="preserve"> </v>
      </c>
      <c r="B106" s="9" t="str">
        <f t="shared" si="1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2"/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3">A55</f>
        <v xml:space="preserve"> </v>
      </c>
      <c r="B109" s="9" t="str">
        <f t="shared" si="13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4">SUM(E60:E109)</f>
        <v>0</v>
      </c>
      <c r="F110" s="53">
        <f t="shared" si="14"/>
        <v>0</v>
      </c>
      <c r="G110" s="53">
        <f t="shared" si="14"/>
        <v>0</v>
      </c>
      <c r="H110" s="53">
        <f t="shared" si="14"/>
        <v>0</v>
      </c>
      <c r="I110" s="53">
        <f t="shared" si="14"/>
        <v>0</v>
      </c>
      <c r="J110" s="54">
        <f t="shared" si="14"/>
        <v>0</v>
      </c>
      <c r="K110" s="49">
        <f t="shared" si="14"/>
        <v>0</v>
      </c>
      <c r="L110" s="11">
        <v>0</v>
      </c>
      <c r="M110" s="14"/>
    </row>
  </sheetData>
  <hyperlinks>
    <hyperlink ref="M1" location="'Receiving Totals'!A1" display="Receiving Totals" xr:uid="{515404E0-82BC-4758-BB68-C6508D276E19}"/>
  </hyperlinks>
  <pageMargins left="0.7" right="0.7" top="0.75" bottom="0.75" header="0.3" footer="0.3"/>
  <pageSetup scale="30" orientation="landscape" horizontalDpi="4294967295" verticalDpi="4294967295" r:id="rId1"/>
  <rowBreaks count="1" manualBreakCount="1">
    <brk id="57" max="14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7FA0-66F2-42F1-80E6-F7999B4BB7C6}">
  <dimension ref="A1:O110"/>
  <sheetViews>
    <sheetView zoomScale="70" zoomScaleNormal="70" workbookViewId="0">
      <pane ySplit="5" topLeftCell="A59" activePane="bottomLeft" state="frozen"/>
      <selection activeCell="N7" sqref="N7"/>
      <selection pane="bottomLeft" activeCell="M73" sqref="M73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5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5" ht="33" customHeight="1" x14ac:dyDescent="0.5">
      <c r="A3" s="12"/>
      <c r="B3" s="65" t="s">
        <v>13</v>
      </c>
      <c r="C3" s="22">
        <f>C2*$N$3</f>
        <v>186.85975999999999</v>
      </c>
      <c r="D3" s="22"/>
      <c r="E3" s="22">
        <f t="shared" ref="E3:L3" si="0">E2*$N$3</f>
        <v>38.701080000000005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62.156280000000002</v>
      </c>
      <c r="J3" s="22">
        <f t="shared" si="0"/>
        <v>47.692239999999998</v>
      </c>
      <c r="K3" s="22">
        <f t="shared" si="0"/>
        <v>55.510639999999995</v>
      </c>
      <c r="L3" s="22">
        <f t="shared" si="0"/>
        <v>0</v>
      </c>
      <c r="M3" s="22"/>
      <c r="N3" s="23">
        <v>390.92</v>
      </c>
    </row>
    <row r="4" spans="1:15" ht="21" customHeight="1" x14ac:dyDescent="0.35">
      <c r="A4" s="63" t="s">
        <v>14</v>
      </c>
      <c r="B4" s="64">
        <f>'Monday WK3 (16)'!$B$4+1</f>
        <v>46210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x14ac:dyDescent="0.35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29.25" customHeight="1" x14ac:dyDescent="0.35">
      <c r="A6" s="1" t="s">
        <v>478</v>
      </c>
      <c r="B6" s="68" t="s">
        <v>31</v>
      </c>
      <c r="C6" s="15">
        <f t="shared" ref="C6:C42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>
        <v>-126.81</v>
      </c>
      <c r="L6" s="15"/>
      <c r="M6" s="15"/>
      <c r="N6" s="55">
        <v>-126.81</v>
      </c>
    </row>
    <row r="7" spans="1:15" ht="29.25" customHeight="1" x14ac:dyDescent="0.35">
      <c r="A7" s="1" t="s">
        <v>479</v>
      </c>
      <c r="B7" s="68" t="s">
        <v>31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>
        <v>-40.61</v>
      </c>
      <c r="L7" s="15"/>
      <c r="M7" s="15"/>
      <c r="N7" s="55">
        <v>-40.61</v>
      </c>
    </row>
    <row r="8" spans="1:15" ht="29.25" customHeight="1" x14ac:dyDescent="0.35">
      <c r="A8" s="1" t="s">
        <v>480</v>
      </c>
      <c r="B8" s="68" t="s">
        <v>39</v>
      </c>
      <c r="C8" s="15">
        <f t="shared" si="1"/>
        <v>134.68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>
        <v>134.68</v>
      </c>
    </row>
    <row r="9" spans="1:15" ht="29.25" customHeight="1" x14ac:dyDescent="0.35">
      <c r="A9" s="1" t="s">
        <v>481</v>
      </c>
      <c r="B9" s="68" t="s">
        <v>39</v>
      </c>
      <c r="C9" s="15">
        <f t="shared" si="1"/>
        <v>432.38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>
        <v>432.38</v>
      </c>
    </row>
    <row r="10" spans="1:15" ht="29.25" customHeight="1" x14ac:dyDescent="0.35">
      <c r="A10" s="1" t="s">
        <v>482</v>
      </c>
      <c r="B10" s="68" t="s">
        <v>39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>
        <v>111.44</v>
      </c>
      <c r="O10" s="148" t="s">
        <v>483</v>
      </c>
    </row>
    <row r="11" spans="1:15" ht="29.25" customHeight="1" x14ac:dyDescent="0.35">
      <c r="A11" s="1" t="s">
        <v>484</v>
      </c>
      <c r="B11" s="68" t="s">
        <v>39</v>
      </c>
      <c r="C11" s="15">
        <f t="shared" si="1"/>
        <v>-7.1054273576010019E-15</v>
      </c>
      <c r="D11" s="15"/>
      <c r="E11" s="15">
        <v>99.66</v>
      </c>
      <c r="F11" s="15"/>
      <c r="G11" s="15"/>
      <c r="H11" s="15"/>
      <c r="I11" s="15"/>
      <c r="J11" s="15"/>
      <c r="K11" s="15">
        <v>33.51</v>
      </c>
      <c r="L11" s="15"/>
      <c r="M11" s="15"/>
      <c r="N11" s="55">
        <v>133.16999999999999</v>
      </c>
    </row>
    <row r="12" spans="1:15" ht="29.25" customHeight="1" x14ac:dyDescent="0.35">
      <c r="A12" s="1" t="s">
        <v>485</v>
      </c>
      <c r="B12" s="68" t="s">
        <v>39</v>
      </c>
      <c r="C12" s="15">
        <f t="shared" si="1"/>
        <v>0</v>
      </c>
      <c r="D12" s="15"/>
      <c r="E12" s="15">
        <v>301.3</v>
      </c>
      <c r="F12" s="15"/>
      <c r="G12" s="15"/>
      <c r="H12" s="15"/>
      <c r="I12" s="15"/>
      <c r="J12" s="15"/>
      <c r="K12" s="15"/>
      <c r="L12" s="15"/>
      <c r="M12" s="15"/>
      <c r="N12" s="55">
        <v>301.3</v>
      </c>
    </row>
    <row r="13" spans="1:15" ht="29.25" customHeight="1" x14ac:dyDescent="0.35">
      <c r="A13" s="1" t="s">
        <v>486</v>
      </c>
      <c r="B13" s="68" t="s">
        <v>39</v>
      </c>
      <c r="C13" s="15">
        <f t="shared" si="1"/>
        <v>0</v>
      </c>
      <c r="D13" s="15"/>
      <c r="E13" s="15">
        <v>930.72</v>
      </c>
      <c r="F13" s="15"/>
      <c r="G13" s="15"/>
      <c r="H13" s="15"/>
      <c r="I13" s="15"/>
      <c r="J13" s="15"/>
      <c r="K13" s="15"/>
      <c r="L13" s="15"/>
      <c r="M13" s="15"/>
      <c r="N13" s="55">
        <v>930.72</v>
      </c>
    </row>
    <row r="14" spans="1:15" ht="29.25" customHeight="1" x14ac:dyDescent="0.35">
      <c r="A14" s="1" t="s">
        <v>487</v>
      </c>
      <c r="B14" s="68" t="s">
        <v>39</v>
      </c>
      <c r="C14" s="15">
        <f t="shared" si="1"/>
        <v>3046.5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>
        <v>3046.5</v>
      </c>
    </row>
    <row r="15" spans="1:15" ht="29.25" customHeight="1" x14ac:dyDescent="0.35">
      <c r="A15" s="1" t="s">
        <v>488</v>
      </c>
      <c r="B15" s="68" t="s">
        <v>39</v>
      </c>
      <c r="C15" s="15">
        <f t="shared" si="1"/>
        <v>13373.85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>
        <v>13373.85</v>
      </c>
    </row>
    <row r="16" spans="1:15" ht="29.25" customHeight="1" x14ac:dyDescent="0.35">
      <c r="A16" s="1" t="s">
        <v>489</v>
      </c>
      <c r="B16" s="68" t="s">
        <v>39</v>
      </c>
      <c r="C16" s="15">
        <f t="shared" si="1"/>
        <v>138.02000000000001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>
        <v>138.02000000000001</v>
      </c>
    </row>
    <row r="17" spans="1:14" ht="29.25" customHeight="1" x14ac:dyDescent="0.35">
      <c r="A17" s="1" t="s">
        <v>490</v>
      </c>
      <c r="B17" s="68" t="s">
        <v>39</v>
      </c>
      <c r="C17" s="15">
        <f t="shared" si="1"/>
        <v>333.70999999999981</v>
      </c>
      <c r="D17" s="15"/>
      <c r="E17" s="15">
        <v>62.51</v>
      </c>
      <c r="F17" s="15"/>
      <c r="G17" s="15"/>
      <c r="H17" s="15"/>
      <c r="I17" s="15"/>
      <c r="J17" s="15"/>
      <c r="K17" s="15">
        <v>1698.77</v>
      </c>
      <c r="L17" s="15"/>
      <c r="M17" s="15"/>
      <c r="N17" s="55">
        <v>2094.9899999999998</v>
      </c>
    </row>
    <row r="18" spans="1:14" ht="29.25" customHeight="1" x14ac:dyDescent="0.35">
      <c r="A18" s="1" t="s">
        <v>491</v>
      </c>
      <c r="B18" s="68" t="s">
        <v>39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>
        <v>291.25</v>
      </c>
      <c r="L18" s="15"/>
      <c r="M18" s="15"/>
      <c r="N18" s="55">
        <v>291.25</v>
      </c>
    </row>
    <row r="19" spans="1:14" ht="29.25" customHeight="1" x14ac:dyDescent="0.35">
      <c r="A19" s="1" t="s">
        <v>492</v>
      </c>
      <c r="B19" s="68" t="s">
        <v>39</v>
      </c>
      <c r="C19" s="15">
        <f t="shared" si="1"/>
        <v>0</v>
      </c>
      <c r="D19" s="15"/>
      <c r="E19" s="15">
        <v>7165.37</v>
      </c>
      <c r="F19" s="15"/>
      <c r="G19" s="15"/>
      <c r="H19" s="15"/>
      <c r="I19" s="15"/>
      <c r="J19" s="15"/>
      <c r="K19" s="15"/>
      <c r="L19" s="15"/>
      <c r="M19" s="15"/>
      <c r="N19" s="55">
        <v>7165.37</v>
      </c>
    </row>
    <row r="20" spans="1:14" ht="29.25" customHeight="1" x14ac:dyDescent="0.35">
      <c r="A20" s="1" t="s">
        <v>493</v>
      </c>
      <c r="B20" s="68" t="s">
        <v>39</v>
      </c>
      <c r="C20" s="15">
        <f t="shared" si="1"/>
        <v>2993.22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>
        <v>2993.22</v>
      </c>
    </row>
    <row r="21" spans="1:14" ht="29.25" customHeight="1" x14ac:dyDescent="0.35">
      <c r="A21" s="1" t="s">
        <v>494</v>
      </c>
      <c r="B21" s="68" t="s">
        <v>39</v>
      </c>
      <c r="C21" s="15">
        <f t="shared" si="1"/>
        <v>0</v>
      </c>
      <c r="D21" s="15"/>
      <c r="E21" s="15"/>
      <c r="F21" s="15"/>
      <c r="G21" s="15"/>
      <c r="H21" s="15"/>
      <c r="I21" s="15">
        <v>3902.32</v>
      </c>
      <c r="J21" s="15"/>
      <c r="K21" s="15"/>
      <c r="L21" s="15"/>
      <c r="M21" s="15"/>
      <c r="N21" s="55">
        <v>3902.32</v>
      </c>
    </row>
    <row r="22" spans="1:14" ht="29.25" customHeight="1" x14ac:dyDescent="0.35">
      <c r="A22" s="1" t="s">
        <v>495</v>
      </c>
      <c r="B22" s="68" t="s">
        <v>39</v>
      </c>
      <c r="C22" s="15">
        <f t="shared" si="1"/>
        <v>0</v>
      </c>
      <c r="D22" s="15"/>
      <c r="E22" s="15"/>
      <c r="F22" s="15"/>
      <c r="G22" s="15"/>
      <c r="H22" s="15"/>
      <c r="I22" s="15">
        <v>84</v>
      </c>
      <c r="J22" s="15"/>
      <c r="K22" s="15"/>
      <c r="L22" s="15"/>
      <c r="M22" s="15"/>
      <c r="N22" s="55">
        <v>84</v>
      </c>
    </row>
    <row r="23" spans="1:14" ht="29.25" customHeight="1" x14ac:dyDescent="0.35">
      <c r="A23" s="1" t="s">
        <v>496</v>
      </c>
      <c r="B23" s="68" t="s">
        <v>77</v>
      </c>
      <c r="C23" s="15">
        <f t="shared" si="1"/>
        <v>9.66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>
        <v>9.66</v>
      </c>
    </row>
    <row r="24" spans="1:14" ht="29.25" customHeight="1" x14ac:dyDescent="0.35">
      <c r="A24" s="1" t="s">
        <v>497</v>
      </c>
      <c r="B24" s="68" t="s">
        <v>77</v>
      </c>
      <c r="C24" s="15">
        <f t="shared" si="1"/>
        <v>18.399999999999999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>
        <v>18.399999999999999</v>
      </c>
    </row>
    <row r="25" spans="1:14" ht="29.25" customHeight="1" x14ac:dyDescent="0.35">
      <c r="A25" s="1" t="s">
        <v>498</v>
      </c>
      <c r="B25" s="68" t="s">
        <v>77</v>
      </c>
      <c r="C25" s="15">
        <f t="shared" si="1"/>
        <v>48.46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>
        <v>48.46</v>
      </c>
    </row>
    <row r="26" spans="1:14" ht="29.25" customHeight="1" x14ac:dyDescent="0.35">
      <c r="A26" s="1" t="s">
        <v>499</v>
      </c>
      <c r="B26" s="68" t="s">
        <v>31</v>
      </c>
      <c r="C26" s="15">
        <f t="shared" si="1"/>
        <v>1.0913492332065289E-13</v>
      </c>
      <c r="D26" s="15"/>
      <c r="E26" s="15"/>
      <c r="F26" s="15"/>
      <c r="G26" s="15"/>
      <c r="H26" s="15"/>
      <c r="I26" s="15"/>
      <c r="J26" s="15"/>
      <c r="K26" s="15">
        <v>3616.25</v>
      </c>
      <c r="L26" s="15"/>
      <c r="M26" s="15">
        <v>0.13</v>
      </c>
      <c r="N26" s="55">
        <v>3616.38</v>
      </c>
    </row>
    <row r="27" spans="1:14" ht="29.25" customHeight="1" x14ac:dyDescent="0.35">
      <c r="A27" s="1" t="s">
        <v>500</v>
      </c>
      <c r="B27" s="68" t="s">
        <v>158</v>
      </c>
      <c r="C27" s="15">
        <f t="shared" si="1"/>
        <v>167</v>
      </c>
      <c r="D27" s="15"/>
      <c r="E27" s="15"/>
      <c r="F27" s="15"/>
      <c r="G27" s="15"/>
      <c r="H27" s="15"/>
      <c r="I27" s="15"/>
      <c r="J27" s="15"/>
      <c r="K27" s="15"/>
      <c r="L27" s="15"/>
      <c r="M27" s="15">
        <v>0.75</v>
      </c>
      <c r="N27" s="55">
        <v>167.75</v>
      </c>
    </row>
    <row r="28" spans="1:14" ht="29.25" customHeight="1" x14ac:dyDescent="0.35">
      <c r="A28" s="1" t="s">
        <v>501</v>
      </c>
      <c r="B28" s="68" t="s">
        <v>162</v>
      </c>
      <c r="C28" s="15">
        <f t="shared" si="1"/>
        <v>538.6</v>
      </c>
      <c r="D28" s="15"/>
      <c r="E28" s="15"/>
      <c r="F28" s="15"/>
      <c r="G28" s="15"/>
      <c r="H28" s="15"/>
      <c r="I28" s="15"/>
      <c r="J28" s="15"/>
      <c r="K28" s="15"/>
      <c r="L28" s="15"/>
      <c r="M28" s="15">
        <v>26.93</v>
      </c>
      <c r="N28" s="55">
        <v>565.53</v>
      </c>
    </row>
    <row r="29" spans="1:14" ht="29.25" customHeight="1" x14ac:dyDescent="0.35">
      <c r="A29" s="1" t="s">
        <v>502</v>
      </c>
      <c r="B29" s="68" t="s">
        <v>162</v>
      </c>
      <c r="C29" s="15">
        <f t="shared" si="1"/>
        <v>-147.85999999999999</v>
      </c>
      <c r="D29" s="15"/>
      <c r="E29" s="15"/>
      <c r="F29" s="15"/>
      <c r="G29" s="15"/>
      <c r="H29" s="15"/>
      <c r="I29" s="15"/>
      <c r="J29" s="15"/>
      <c r="K29" s="15"/>
      <c r="L29" s="15"/>
      <c r="M29" s="15">
        <v>-7.4</v>
      </c>
      <c r="N29" s="55">
        <v>-155.26</v>
      </c>
    </row>
    <row r="30" spans="1:14" ht="29.25" customHeight="1" x14ac:dyDescent="0.35">
      <c r="A30" s="1" t="s">
        <v>503</v>
      </c>
      <c r="B30" s="68" t="s">
        <v>504</v>
      </c>
      <c r="C30" s="15">
        <f t="shared" si="1"/>
        <v>4801.54</v>
      </c>
      <c r="D30" s="15"/>
      <c r="E30" s="15">
        <v>198.06</v>
      </c>
      <c r="F30" s="15"/>
      <c r="G30" s="15"/>
      <c r="H30" s="15"/>
      <c r="I30" s="15"/>
      <c r="J30" s="15"/>
      <c r="K30" s="15"/>
      <c r="L30" s="15"/>
      <c r="M30" s="15">
        <v>141.62</v>
      </c>
      <c r="N30" s="55">
        <v>5141.22</v>
      </c>
    </row>
    <row r="31" spans="1:14" ht="29.25" customHeight="1" x14ac:dyDescent="0.35">
      <c r="A31" s="1" t="s">
        <v>505</v>
      </c>
      <c r="B31" s="68" t="s">
        <v>506</v>
      </c>
      <c r="C31" s="15">
        <f t="shared" si="1"/>
        <v>7324.7</v>
      </c>
      <c r="D31" s="15"/>
      <c r="E31" s="15"/>
      <c r="F31" s="15"/>
      <c r="G31" s="15"/>
      <c r="H31" s="15"/>
      <c r="I31" s="15"/>
      <c r="J31" s="15"/>
      <c r="K31" s="15"/>
      <c r="L31" s="15"/>
      <c r="M31" s="15">
        <v>8.75</v>
      </c>
      <c r="N31" s="55">
        <v>7333.45</v>
      </c>
    </row>
    <row r="32" spans="1:14" ht="29.25" customHeight="1" x14ac:dyDescent="0.35">
      <c r="A32" s="1" t="s">
        <v>507</v>
      </c>
      <c r="B32" s="68" t="s">
        <v>508</v>
      </c>
      <c r="C32" s="15">
        <f t="shared" si="1"/>
        <v>3331.5</v>
      </c>
      <c r="D32" s="15"/>
      <c r="E32" s="15"/>
      <c r="F32" s="15"/>
      <c r="G32" s="15"/>
      <c r="H32" s="15"/>
      <c r="I32" s="15"/>
      <c r="J32" s="15"/>
      <c r="K32" s="15"/>
      <c r="L32" s="15"/>
      <c r="M32" s="15">
        <v>44.78</v>
      </c>
      <c r="N32" s="55">
        <v>3376.28</v>
      </c>
    </row>
    <row r="33" spans="1:14" ht="29.25" customHeight="1" x14ac:dyDescent="0.35">
      <c r="A33" s="1" t="s">
        <v>82</v>
      </c>
      <c r="B33" s="68" t="s">
        <v>82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ref="C43:C45" si="2">N43-D43-E43-F43-G43-H43-I43-J43-K43-L43-M43-D97-E97-F97-G97-H97-I97-J97-K97-L97-C97</f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ref="C46:C51" si="3">N46-D46-E46-F46-G46-H46-I46-J46-K46-L46-M46-D100-E100-F100-G100-H100-I100-J100-K100-L100-C100</f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3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3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si="3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si="3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3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ref="C52:C54" si="4">N52-D52-E52-F52-G52-H52-I52-J52-K52-L52-M52-D106-E106-F106-G106-H106-I106-J106-K106-L106-C106</f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4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4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5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39</v>
      </c>
      <c r="C56" s="16">
        <f>C3</f>
        <v>186.85975999999999</v>
      </c>
      <c r="D56" s="16"/>
      <c r="E56" s="16">
        <f>E3</f>
        <v>38.701080000000005</v>
      </c>
      <c r="F56" s="16">
        <f t="shared" ref="F56:L56" si="6">F3</f>
        <v>0</v>
      </c>
      <c r="G56" s="16">
        <f t="shared" si="6"/>
        <v>0</v>
      </c>
      <c r="H56" s="16">
        <f t="shared" si="6"/>
        <v>0</v>
      </c>
      <c r="I56" s="16">
        <f t="shared" si="6"/>
        <v>62.156280000000002</v>
      </c>
      <c r="J56" s="16">
        <f t="shared" si="6"/>
        <v>47.692239999999998</v>
      </c>
      <c r="K56" s="16">
        <f t="shared" si="6"/>
        <v>55.510639999999995</v>
      </c>
      <c r="L56" s="16">
        <f t="shared" si="6"/>
        <v>0</v>
      </c>
      <c r="M56" s="16"/>
      <c r="N56" s="60">
        <f>SUM(C56:M56)+SUM(C118:J118)</f>
        <v>390.91999999999996</v>
      </c>
      <c r="O56" s="148" t="s">
        <v>509</v>
      </c>
    </row>
    <row r="57" spans="1:15" ht="29.25" customHeight="1" x14ac:dyDescent="0.4">
      <c r="A57" s="24" t="s">
        <v>84</v>
      </c>
      <c r="B57" s="10"/>
      <c r="C57" s="61">
        <f t="shared" ref="C57:M57" si="7">SUM(C6:C56)</f>
        <v>36731.21976</v>
      </c>
      <c r="D57" s="61">
        <f t="shared" si="7"/>
        <v>0</v>
      </c>
      <c r="E57" s="61">
        <f t="shared" si="7"/>
        <v>8796.3210799999997</v>
      </c>
      <c r="F57" s="61">
        <f t="shared" si="7"/>
        <v>0</v>
      </c>
      <c r="G57" s="61">
        <f t="shared" si="7"/>
        <v>0</v>
      </c>
      <c r="H57" s="61">
        <f t="shared" si="7"/>
        <v>0</v>
      </c>
      <c r="I57" s="61">
        <f t="shared" si="7"/>
        <v>4048.4762800000003</v>
      </c>
      <c r="J57" s="61">
        <f t="shared" si="7"/>
        <v>47.692239999999998</v>
      </c>
      <c r="K57" s="61">
        <f t="shared" si="7"/>
        <v>5527.8706400000001</v>
      </c>
      <c r="L57" s="61">
        <f t="shared" si="7"/>
        <v>0</v>
      </c>
      <c r="M57" s="61">
        <f t="shared" si="7"/>
        <v>215.56</v>
      </c>
      <c r="N57" s="61">
        <f>SUM(N6:N56)</f>
        <v>55478.58</v>
      </c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>TO442</v>
      </c>
      <c r="B60" s="9" t="str">
        <f>B6</f>
        <v>SAPUTO DAIRY PRODUCTS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8">A7</f>
        <v>4000258837</v>
      </c>
      <c r="B61" s="9" t="str">
        <f t="shared" si="8"/>
        <v>SAPUTO DAIRY PRODUCTS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8"/>
        <v>6683608</v>
      </c>
      <c r="B62" s="9" t="str">
        <f t="shared" si="8"/>
        <v>THE GROCERY PEOPLE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8"/>
        <v>6685009</v>
      </c>
      <c r="B63" s="9" t="str">
        <f t="shared" si="8"/>
        <v>THE GROCERY PEOPLE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8"/>
        <v>6685246</v>
      </c>
      <c r="B64" s="9" t="str">
        <f t="shared" si="8"/>
        <v>THE GROCERY PEOPLE</v>
      </c>
      <c r="C64" s="26">
        <v>111.44</v>
      </c>
      <c r="D64" s="26"/>
      <c r="E64" s="26"/>
      <c r="F64" s="26"/>
      <c r="G64" s="26"/>
      <c r="H64" s="26"/>
      <c r="I64" s="26"/>
      <c r="J64" s="52"/>
      <c r="K64" s="48"/>
      <c r="L64" s="2"/>
      <c r="M64" s="14" t="s">
        <v>483</v>
      </c>
    </row>
    <row r="65" spans="1:13" ht="29.25" customHeight="1" x14ac:dyDescent="0.35">
      <c r="A65" s="70" t="str">
        <f t="shared" si="8"/>
        <v>6685789</v>
      </c>
      <c r="B65" s="9" t="str">
        <f t="shared" si="8"/>
        <v>THE GROCERY PEOPLE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8"/>
        <v>5644808</v>
      </c>
      <c r="B66" s="9" t="str">
        <f t="shared" si="8"/>
        <v>THE GROCERY PEOPLE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8"/>
        <v>5644827</v>
      </c>
      <c r="B67" s="9" t="str">
        <f t="shared" si="8"/>
        <v>THE GROCERY PEOPLE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8"/>
        <v>5645168</v>
      </c>
      <c r="B68" s="9" t="str">
        <f t="shared" si="8"/>
        <v>THE GROCERY PEOPLE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8"/>
        <v>5645262</v>
      </c>
      <c r="B69" s="9" t="str">
        <f t="shared" si="8"/>
        <v>THE GROCERY PEOPLE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8"/>
        <v>5645264</v>
      </c>
      <c r="B70" s="9" t="str">
        <f t="shared" si="8"/>
        <v>THE GROCERY PEOPLE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8"/>
        <v>5645343</v>
      </c>
      <c r="B71" s="9" t="str">
        <f t="shared" si="8"/>
        <v>THE GROCERY PEOPLE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8"/>
        <v>5645344</v>
      </c>
      <c r="B72" s="9" t="str">
        <f t="shared" si="8"/>
        <v>THE GROCERY PEOPLE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8"/>
        <v>8248372</v>
      </c>
      <c r="B73" s="9" t="str">
        <f t="shared" si="8"/>
        <v>THE GROCERY PEOPLE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8"/>
        <v>5645167</v>
      </c>
      <c r="B74" s="9" t="str">
        <f t="shared" si="8"/>
        <v>THE GROCERY PEOPLE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8"/>
        <v>5645955</v>
      </c>
      <c r="B75" s="9" t="str">
        <f t="shared" si="8"/>
        <v>THE GROCERY PEOPLE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8"/>
        <v>5646230</v>
      </c>
      <c r="B76" s="9" t="str">
        <f t="shared" si="8"/>
        <v>THE GROCERY PEOPLE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9">A23</f>
        <v>6669955</v>
      </c>
      <c r="B77" s="9" t="str">
        <f t="shared" si="9"/>
        <v>FEDERATED CO-OPERATIVES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9"/>
        <v>6670981</v>
      </c>
      <c r="B78" s="9" t="str">
        <f t="shared" si="9"/>
        <v>FEDERATED CO-OPERATIVES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9"/>
        <v>6676411</v>
      </c>
      <c r="B79" s="9" t="str">
        <f t="shared" si="9"/>
        <v>FEDERATED CO-OPERATIVES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9"/>
        <v>4003757420</v>
      </c>
      <c r="B80" s="9" t="str">
        <f t="shared" si="9"/>
        <v>SAPUTO DAIRY PRODUCTS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9"/>
        <v>118900</v>
      </c>
      <c r="B81" s="9" t="str">
        <f t="shared" si="9"/>
        <v>KENNELLI SPRINGS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9"/>
        <v>94183777</v>
      </c>
      <c r="B82" s="9" t="str">
        <f t="shared" si="9"/>
        <v>FRITO LAY CANADA RETAIL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9"/>
        <v>77684160</v>
      </c>
      <c r="B83" s="9" t="str">
        <f t="shared" si="9"/>
        <v>FRITO LAY CANADA RETAIL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9"/>
        <v>7726188001</v>
      </c>
      <c r="B84" s="9" t="str">
        <f t="shared" si="9"/>
        <v>COMPLETE DISTRIBUTION NETWORK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9"/>
        <v>179193</v>
      </c>
      <c r="B85" s="9" t="str">
        <f t="shared" si="9"/>
        <v>CW SHASKY &amp; ASSOCIATES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9"/>
        <v>89659</v>
      </c>
      <c r="B86" s="9" t="str">
        <f t="shared" si="9"/>
        <v>GECKO BEVERAGES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9"/>
        <v xml:space="preserve"> </v>
      </c>
      <c r="B87" s="9" t="str">
        <f t="shared" si="9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9"/>
        <v xml:space="preserve"> </v>
      </c>
      <c r="B88" s="9" t="str">
        <f t="shared" si="9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9"/>
        <v xml:space="preserve"> </v>
      </c>
      <c r="B89" s="9" t="str">
        <f t="shared" si="9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9"/>
        <v xml:space="preserve"> </v>
      </c>
      <c r="B90" s="9" t="str">
        <f t="shared" si="9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9"/>
        <v xml:space="preserve"> </v>
      </c>
      <c r="B91" s="9" t="str">
        <f t="shared" si="9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9"/>
        <v xml:space="preserve"> </v>
      </c>
      <c r="B92" s="9" t="str">
        <f t="shared" si="9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0">A39</f>
        <v xml:space="preserve"> </v>
      </c>
      <c r="B93" s="9" t="str">
        <f t="shared" si="10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0"/>
        <v xml:space="preserve"> </v>
      </c>
      <c r="B94" s="9" t="str">
        <f t="shared" si="10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0"/>
        <v xml:space="preserve"> </v>
      </c>
      <c r="B95" s="9" t="str">
        <f t="shared" si="10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0"/>
        <v xml:space="preserve"> </v>
      </c>
      <c r="B96" s="9" t="str">
        <f t="shared" si="10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0"/>
        <v xml:space="preserve"> </v>
      </c>
      <c r="B97" s="9" t="str">
        <f t="shared" si="10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0"/>
        <v xml:space="preserve"> </v>
      </c>
      <c r="B98" s="9" t="str">
        <f t="shared" si="10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0"/>
        <v xml:space="preserve"> </v>
      </c>
      <c r="B99" s="9" t="str">
        <f t="shared" si="10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8"/>
    </row>
    <row r="100" spans="1:13" ht="29.25" customHeight="1" x14ac:dyDescent="0.35">
      <c r="A100" s="70" t="str">
        <f t="shared" si="10"/>
        <v xml:space="preserve"> </v>
      </c>
      <c r="B100" s="9" t="str">
        <f t="shared" si="10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0"/>
        <v xml:space="preserve"> </v>
      </c>
      <c r="B101" s="9" t="str">
        <f t="shared" si="10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0"/>
        <v xml:space="preserve"> </v>
      </c>
      <c r="B102" s="9" t="str">
        <f t="shared" si="10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0"/>
        <v xml:space="preserve"> </v>
      </c>
      <c r="B103" s="9" t="str">
        <f t="shared" si="10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0"/>
        <v xml:space="preserve"> </v>
      </c>
      <c r="B104" s="9" t="str">
        <f t="shared" si="10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0"/>
        <v xml:space="preserve"> </v>
      </c>
      <c r="B105" s="9" t="str">
        <f t="shared" si="10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0"/>
        <v xml:space="preserve"> </v>
      </c>
      <c r="B106" s="9" t="str">
        <f t="shared" si="10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0"/>
        <v xml:space="preserve"> </v>
      </c>
      <c r="B107" s="9" t="str">
        <f t="shared" si="10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0"/>
        <v xml:space="preserve"> </v>
      </c>
      <c r="B108" s="9" t="str">
        <f t="shared" si="10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1">A55</f>
        <v xml:space="preserve"> </v>
      </c>
      <c r="B109" s="9" t="str">
        <f t="shared" si="11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84</v>
      </c>
      <c r="B110" s="8"/>
      <c r="C110" s="53">
        <f>SUM(C60:C109)</f>
        <v>111.44</v>
      </c>
      <c r="D110" s="53">
        <f>SUM(D60:D109)</f>
        <v>0</v>
      </c>
      <c r="E110" s="53">
        <f t="shared" ref="E110:K110" si="12">SUM(E60:E109)</f>
        <v>0</v>
      </c>
      <c r="F110" s="53">
        <f t="shared" si="12"/>
        <v>0</v>
      </c>
      <c r="G110" s="53">
        <f t="shared" si="12"/>
        <v>0</v>
      </c>
      <c r="H110" s="53">
        <f t="shared" si="12"/>
        <v>0</v>
      </c>
      <c r="I110" s="53">
        <f t="shared" si="12"/>
        <v>0</v>
      </c>
      <c r="J110" s="54">
        <f t="shared" si="12"/>
        <v>0</v>
      </c>
      <c r="K110" s="49">
        <f t="shared" si="12"/>
        <v>0</v>
      </c>
      <c r="L110" s="11">
        <v>0</v>
      </c>
      <c r="M110" s="14"/>
    </row>
  </sheetData>
  <hyperlinks>
    <hyperlink ref="M1" location="'Receiving Totals'!A1" display="Receiving Totals" xr:uid="{CFDB1920-DC7E-48A2-B51E-165103BF2450}"/>
  </hyperlinks>
  <pageMargins left="0.25" right="0.25" top="0.75" bottom="0.75" header="0.3" footer="0.3"/>
  <pageSetup scale="30" fitToWidth="0" fitToHeight="0" orientation="landscape" horizontalDpi="4294967295" verticalDpi="4294967295" r:id="rId1"/>
  <rowBreaks count="1" manualBreakCount="1">
    <brk id="57" max="14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64B4-83E1-4325-9D59-C92483E1DC9E}">
  <dimension ref="A1:O110"/>
  <sheetViews>
    <sheetView zoomScale="70" zoomScaleNormal="70" workbookViewId="0">
      <pane ySplit="5" topLeftCell="A6" activePane="bottomLeft" state="frozen"/>
      <selection activeCell="N7" sqref="N7"/>
      <selection pane="bottomLeft" activeCell="N10" sqref="N10"/>
    </sheetView>
  </sheetViews>
  <sheetFormatPr defaultColWidth="9.140625" defaultRowHeight="23.25" x14ac:dyDescent="0.35"/>
  <cols>
    <col min="1" max="1" width="48.42578125" style="13" customWidth="1"/>
    <col min="2" max="2" width="52.1406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 t="s">
        <v>13</v>
      </c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14</v>
      </c>
      <c r="B4" s="64">
        <f>'Tuesday WK3 (17)'!$B$4+1</f>
        <v>46211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510</v>
      </c>
      <c r="B6" s="68" t="s">
        <v>115</v>
      </c>
      <c r="C6" s="15">
        <f t="shared" ref="C6:C8" si="1">N6-D6-E6-F6-G6-H6-I6-J6-K6-L6-M6-D60-E60-F60-G60-H60-I60-J60-K60-L60-C60</f>
        <v>519.38</v>
      </c>
      <c r="D6" s="15"/>
      <c r="E6" s="15"/>
      <c r="F6" s="15"/>
      <c r="G6" s="15"/>
      <c r="H6" s="15"/>
      <c r="I6" s="15"/>
      <c r="J6" s="15"/>
      <c r="K6" s="15"/>
      <c r="L6" s="15"/>
      <c r="M6" s="15">
        <v>25.97</v>
      </c>
      <c r="N6" s="55">
        <v>545.35</v>
      </c>
    </row>
    <row r="7" spans="1:14" ht="29.25" customHeight="1" x14ac:dyDescent="0.35">
      <c r="A7" s="1" t="s">
        <v>511</v>
      </c>
      <c r="B7" s="68" t="s">
        <v>160</v>
      </c>
      <c r="C7" s="15">
        <f t="shared" si="1"/>
        <v>0</v>
      </c>
      <c r="D7" s="15"/>
      <c r="E7" s="15">
        <v>1849.5</v>
      </c>
      <c r="F7" s="15"/>
      <c r="G7" s="15"/>
      <c r="H7" s="15"/>
      <c r="I7" s="15"/>
      <c r="J7" s="15"/>
      <c r="K7" s="15"/>
      <c r="L7" s="15"/>
      <c r="M7" s="15"/>
      <c r="N7" s="55">
        <v>1849.5</v>
      </c>
    </row>
    <row r="8" spans="1:14" ht="29.25" customHeight="1" x14ac:dyDescent="0.35">
      <c r="A8" s="1" t="s">
        <v>512</v>
      </c>
      <c r="B8" s="68" t="s">
        <v>240</v>
      </c>
      <c r="C8" s="15">
        <f t="shared" si="1"/>
        <v>1257.1499999999999</v>
      </c>
      <c r="D8" s="15"/>
      <c r="E8" s="15"/>
      <c r="F8" s="15"/>
      <c r="G8" s="15"/>
      <c r="H8" s="15"/>
      <c r="I8" s="15"/>
      <c r="J8" s="15"/>
      <c r="K8" s="15"/>
      <c r="L8" s="15"/>
      <c r="M8" s="15">
        <v>35.69</v>
      </c>
      <c r="N8" s="55">
        <v>1292.8399999999999</v>
      </c>
    </row>
    <row r="9" spans="1:14" ht="29.25" customHeight="1" x14ac:dyDescent="0.35">
      <c r="A9" s="1" t="s">
        <v>513</v>
      </c>
      <c r="B9" s="68" t="s">
        <v>121</v>
      </c>
      <c r="C9" s="15">
        <f t="shared" ref="C9:C10" si="2">N9-D9-E9-F9-G9-H9-I9-J9-K9-L9-M9-D63-E63-F63-G63-H63-I63-J63-K63-L63-C63</f>
        <v>539.75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>
        <v>539.75</v>
      </c>
    </row>
    <row r="10" spans="1:14" ht="29.25" customHeight="1" x14ac:dyDescent="0.35">
      <c r="A10" s="1" t="s">
        <v>82</v>
      </c>
      <c r="B10" s="68" t="s">
        <v>82</v>
      </c>
      <c r="C10" s="15">
        <f t="shared" si="2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82</v>
      </c>
      <c r="B11" s="68" t="s">
        <v>82</v>
      </c>
      <c r="C11" s="15">
        <f t="shared" ref="C11:C14" si="3">N11-D11-E11-F11-G11-H11-I11-J11-K11-L11-M11-D65-E65-F65-G65-H65-I65-J65-K65-L65-C65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82</v>
      </c>
      <c r="B12" s="68" t="s">
        <v>82</v>
      </c>
      <c r="C12" s="15">
        <f t="shared" si="3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82</v>
      </c>
      <c r="B13" s="68" t="s">
        <v>82</v>
      </c>
      <c r="C13" s="15">
        <f t="shared" si="3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82</v>
      </c>
      <c r="B14" s="68" t="s">
        <v>82</v>
      </c>
      <c r="C14" s="15">
        <f t="shared" si="3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82</v>
      </c>
      <c r="B15" s="68" t="s">
        <v>82</v>
      </c>
      <c r="C15" s="15">
        <f t="shared" ref="C15" si="4">N15-D15-E15-F15-G15-H15-I15-J15-K15-L15-M15-D69-E69-F69-G69-H69-I69-J69-K69-L69-C69</f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82</v>
      </c>
      <c r="B16" s="68" t="s">
        <v>82</v>
      </c>
      <c r="C16" s="15">
        <f t="shared" ref="C16:C41" si="5">N16-D16-E16-F16-G16-H16-I16-J16-K16-L16-M16-D70-E70-F70-G70-H70-I70-J70-K70-L70-C70</f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82</v>
      </c>
      <c r="B17" s="68" t="s">
        <v>82</v>
      </c>
      <c r="C17" s="15">
        <f t="shared" si="5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si="5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si="5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si="5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si="5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si="5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si="5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si="5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5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5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5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5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5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5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5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5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5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5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5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5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ref="C42:C46" si="6">N42-D42-E42-F42-G42-H42-I42-J42-K42-L42-M42-D96-E96-F96-G96-H96-I96-J96-K96-L96-C96</f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6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6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6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6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ref="C47:C54" si="7">N47-D47-E47-F47-G47-H47-I47-J47-K47-L47-M47-D101-E101-F101-G101-H101-I101-J101-K101-L101-C101</f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7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si="7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si="7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7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8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9">F3</f>
        <v>0</v>
      </c>
      <c r="G56" s="16">
        <f t="shared" si="9"/>
        <v>0</v>
      </c>
      <c r="H56" s="16">
        <f t="shared" si="9"/>
        <v>0</v>
      </c>
      <c r="I56" s="16">
        <f t="shared" si="9"/>
        <v>0</v>
      </c>
      <c r="J56" s="16">
        <f t="shared" si="9"/>
        <v>0</v>
      </c>
      <c r="K56" s="16">
        <f t="shared" si="9"/>
        <v>0</v>
      </c>
      <c r="L56" s="16">
        <f t="shared" si="9"/>
        <v>0</v>
      </c>
      <c r="M56" s="16"/>
      <c r="N56" s="60">
        <f>SUM(C56:M56)+SUM(C118:J118)</f>
        <v>0</v>
      </c>
      <c r="O56" s="149" t="s">
        <v>82</v>
      </c>
    </row>
    <row r="57" spans="1:15" ht="29.25" customHeight="1" x14ac:dyDescent="0.4">
      <c r="A57" s="24" t="s">
        <v>84</v>
      </c>
      <c r="B57" s="10"/>
      <c r="C57" s="61">
        <f t="shared" ref="C57:M57" si="10">SUM(C6:C56)</f>
        <v>2316.2799999999997</v>
      </c>
      <c r="D57" s="61">
        <f t="shared" si="10"/>
        <v>0</v>
      </c>
      <c r="E57" s="61">
        <f t="shared" si="10"/>
        <v>1849.5</v>
      </c>
      <c r="F57" s="61">
        <f t="shared" si="10"/>
        <v>0</v>
      </c>
      <c r="G57" s="61">
        <f t="shared" si="10"/>
        <v>0</v>
      </c>
      <c r="H57" s="61">
        <f t="shared" si="10"/>
        <v>0</v>
      </c>
      <c r="I57" s="61">
        <f t="shared" si="10"/>
        <v>0</v>
      </c>
      <c r="J57" s="61">
        <f t="shared" si="10"/>
        <v>0</v>
      </c>
      <c r="K57" s="61">
        <f t="shared" si="10"/>
        <v>0</v>
      </c>
      <c r="L57" s="61">
        <f t="shared" si="10"/>
        <v>0</v>
      </c>
      <c r="M57" s="61">
        <f t="shared" si="10"/>
        <v>61.66</v>
      </c>
      <c r="N57" s="61">
        <f>SUM(N6:N56)</f>
        <v>4227.4399999999996</v>
      </c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>82849859</v>
      </c>
      <c r="B60" s="9" t="str">
        <f>B6</f>
        <v>OLD DUTCH FOODS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11">A7</f>
        <v>INV26-04757</v>
      </c>
      <c r="B61" s="9" t="str">
        <f t="shared" si="11"/>
        <v>CAPITAL FINE MEATS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11"/>
        <v>SO2514225</v>
      </c>
      <c r="B62" s="9" t="str">
        <f t="shared" si="11"/>
        <v>HARLAN FAIRBANKS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11"/>
        <v>00023365</v>
      </c>
      <c r="B63" s="9" t="str">
        <f t="shared" si="11"/>
        <v>SEVEN SEAS FISH CO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11"/>
        <v xml:space="preserve"> </v>
      </c>
      <c r="B64" s="9" t="str">
        <f t="shared" si="11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11"/>
        <v xml:space="preserve"> </v>
      </c>
      <c r="B65" s="9" t="str">
        <f t="shared" si="11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11"/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11"/>
        <v xml:space="preserve"> </v>
      </c>
      <c r="B67" s="9" t="str">
        <f t="shared" si="11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11"/>
        <v xml:space="preserve"> </v>
      </c>
      <c r="B68" s="9" t="str">
        <f t="shared" si="11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11"/>
        <v xml:space="preserve"> </v>
      </c>
      <c r="B69" s="9" t="str">
        <f t="shared" si="11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11"/>
        <v xml:space="preserve"> </v>
      </c>
      <c r="B70" s="9" t="str">
        <f t="shared" si="11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11"/>
        <v xml:space="preserve"> </v>
      </c>
      <c r="B71" s="9" t="str">
        <f t="shared" si="11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1"/>
        <v xml:space="preserve"> </v>
      </c>
      <c r="B72" s="9" t="str">
        <f t="shared" si="11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1"/>
        <v xml:space="preserve"> </v>
      </c>
      <c r="B73" s="9" t="str">
        <f t="shared" si="11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1"/>
        <v xml:space="preserve"> </v>
      </c>
      <c r="B74" s="9" t="str">
        <f t="shared" si="11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11"/>
        <v xml:space="preserve"> </v>
      </c>
      <c r="B75" s="9" t="str">
        <f t="shared" si="11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1"/>
        <v xml:space="preserve"> </v>
      </c>
      <c r="B76" s="9" t="str">
        <f t="shared" si="11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2">A23</f>
        <v xml:space="preserve"> </v>
      </c>
      <c r="B77" s="9" t="str">
        <f t="shared" si="12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2"/>
        <v xml:space="preserve"> </v>
      </c>
      <c r="B78" s="9" t="str">
        <f t="shared" si="12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2"/>
        <v xml:space="preserve"> </v>
      </c>
      <c r="B79" s="9" t="str">
        <f t="shared" si="12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2"/>
        <v xml:space="preserve"> </v>
      </c>
      <c r="B80" s="9" t="str">
        <f t="shared" si="12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4" ht="29.25" customHeight="1" x14ac:dyDescent="0.35">
      <c r="A81" s="70" t="str">
        <f t="shared" si="12"/>
        <v xml:space="preserve"> </v>
      </c>
      <c r="B81" s="9" t="str">
        <f t="shared" si="12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4" ht="29.25" customHeight="1" x14ac:dyDescent="0.35">
      <c r="A82" s="70" t="str">
        <f t="shared" si="12"/>
        <v xml:space="preserve"> </v>
      </c>
      <c r="B82" s="9" t="str">
        <f t="shared" si="12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4" ht="29.25" customHeight="1" x14ac:dyDescent="0.35">
      <c r="A83" s="70" t="str">
        <f t="shared" si="12"/>
        <v xml:space="preserve"> </v>
      </c>
      <c r="B83" s="9" t="str">
        <f t="shared" si="12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4" ht="29.25" customHeight="1" x14ac:dyDescent="0.35">
      <c r="A84" s="70" t="str">
        <f t="shared" si="12"/>
        <v xml:space="preserve"> </v>
      </c>
      <c r="B84" s="9" t="str">
        <f t="shared" si="12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4" ht="29.25" customHeight="1" x14ac:dyDescent="0.35">
      <c r="A85" s="70" t="str">
        <f t="shared" si="12"/>
        <v xml:space="preserve"> </v>
      </c>
      <c r="B85" s="9" t="str">
        <f t="shared" si="12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4" ht="29.25" customHeight="1" x14ac:dyDescent="0.35">
      <c r="A86" s="70" t="str">
        <f t="shared" si="12"/>
        <v xml:space="preserve"> </v>
      </c>
      <c r="B86" s="9" t="str">
        <f t="shared" si="12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4" ht="29.25" customHeight="1" x14ac:dyDescent="0.35">
      <c r="A87" s="70" t="str">
        <f t="shared" si="12"/>
        <v xml:space="preserve"> </v>
      </c>
      <c r="B87" s="9" t="str">
        <f t="shared" si="12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4" ht="29.25" customHeight="1" x14ac:dyDescent="0.35">
      <c r="A88" s="70" t="str">
        <f t="shared" si="12"/>
        <v xml:space="preserve"> </v>
      </c>
      <c r="B88" s="9" t="str">
        <f t="shared" si="12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4" ht="29.25" customHeight="1" x14ac:dyDescent="0.35">
      <c r="A89" s="70" t="str">
        <f t="shared" si="12"/>
        <v xml:space="preserve"> </v>
      </c>
      <c r="B89" s="9" t="str">
        <f t="shared" si="12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4" ht="29.25" customHeight="1" x14ac:dyDescent="0.35">
      <c r="A90" s="70" t="str">
        <f t="shared" si="12"/>
        <v xml:space="preserve"> </v>
      </c>
      <c r="B90" s="9" t="str">
        <f t="shared" si="12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4" ht="29.25" customHeight="1" x14ac:dyDescent="0.35">
      <c r="A91" s="70" t="str">
        <f t="shared" si="12"/>
        <v xml:space="preserve"> </v>
      </c>
      <c r="B91" s="9" t="str">
        <f t="shared" si="12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4" ht="29.25" customHeight="1" x14ac:dyDescent="0.35">
      <c r="A92" s="70" t="str">
        <f t="shared" si="12"/>
        <v xml:space="preserve"> </v>
      </c>
      <c r="B92" s="9" t="str">
        <f t="shared" si="12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  <c r="N92" s="159"/>
    </row>
    <row r="93" spans="1:14" ht="29.25" customHeight="1" x14ac:dyDescent="0.35">
      <c r="A93" s="70" t="str">
        <f t="shared" ref="A93:B108" si="13">A39</f>
        <v xml:space="preserve"> </v>
      </c>
      <c r="B93" s="9" t="str">
        <f t="shared" si="13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4" ht="29.25" customHeight="1" x14ac:dyDescent="0.35">
      <c r="A94" s="70" t="str">
        <f t="shared" si="13"/>
        <v xml:space="preserve"> </v>
      </c>
      <c r="B94" s="9" t="str">
        <f t="shared" si="13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4" ht="29.25" customHeight="1" x14ac:dyDescent="0.35">
      <c r="A95" s="70" t="str">
        <f t="shared" si="13"/>
        <v xml:space="preserve"> </v>
      </c>
      <c r="B95" s="9" t="str">
        <f t="shared" si="13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4" ht="29.25" customHeight="1" x14ac:dyDescent="0.35">
      <c r="A96" s="70" t="str">
        <f t="shared" si="13"/>
        <v xml:space="preserve"> </v>
      </c>
      <c r="B96" s="9" t="str">
        <f t="shared" si="13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3"/>
        <v xml:space="preserve"> </v>
      </c>
      <c r="B97" s="9" t="str">
        <f t="shared" si="13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3"/>
        <v xml:space="preserve"> </v>
      </c>
      <c r="B98" s="9" t="str">
        <f t="shared" si="13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4">
      <c r="A99" s="70" t="str">
        <f t="shared" si="13"/>
        <v xml:space="preserve"> </v>
      </c>
      <c r="B99" s="9" t="str">
        <f t="shared" si="13"/>
        <v xml:space="preserve"> </v>
      </c>
      <c r="C99" s="26"/>
      <c r="D99" s="26"/>
      <c r="E99" s="172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3"/>
        <v xml:space="preserve"> </v>
      </c>
      <c r="B100" s="9" t="str">
        <f t="shared" si="13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3"/>
        <v xml:space="preserve"> </v>
      </c>
      <c r="B101" s="9" t="str">
        <f t="shared" si="13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3"/>
        <v xml:space="preserve"> </v>
      </c>
      <c r="B102" s="9" t="str">
        <f t="shared" si="13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3"/>
        <v xml:space="preserve"> </v>
      </c>
      <c r="B103" s="9" t="str">
        <f t="shared" si="13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3"/>
        <v xml:space="preserve"> </v>
      </c>
      <c r="B104" s="9" t="str">
        <f t="shared" si="13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3"/>
        <v xml:space="preserve"> </v>
      </c>
      <c r="B105" s="9" t="str">
        <f t="shared" si="13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3"/>
        <v xml:space="preserve"> </v>
      </c>
      <c r="B106" s="9" t="str">
        <f t="shared" si="1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3"/>
        <v xml:space="preserve"> </v>
      </c>
      <c r="B107" s="9" t="str">
        <f t="shared" si="13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3"/>
        <v xml:space="preserve"> </v>
      </c>
      <c r="B108" s="9" t="str">
        <f t="shared" si="13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4">A55</f>
        <v xml:space="preserve"> </v>
      </c>
      <c r="B109" s="9" t="str">
        <f t="shared" si="1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5">SUM(E60:E109)</f>
        <v>0</v>
      </c>
      <c r="F110" s="53">
        <f t="shared" si="15"/>
        <v>0</v>
      </c>
      <c r="G110" s="53">
        <f t="shared" si="15"/>
        <v>0</v>
      </c>
      <c r="H110" s="53">
        <f t="shared" si="15"/>
        <v>0</v>
      </c>
      <c r="I110" s="53">
        <f t="shared" si="15"/>
        <v>0</v>
      </c>
      <c r="J110" s="54">
        <f t="shared" si="15"/>
        <v>0</v>
      </c>
      <c r="K110" s="49">
        <f t="shared" si="15"/>
        <v>0</v>
      </c>
      <c r="L110" s="11">
        <v>0</v>
      </c>
      <c r="M110" s="14"/>
    </row>
  </sheetData>
  <hyperlinks>
    <hyperlink ref="M1" location="'Receiving Totals'!A1" display="Receiving Totals" xr:uid="{404E7357-39ED-40C8-936E-81D0B135FAA6}"/>
  </hyperlinks>
  <pageMargins left="0.25" right="0.25" top="0.75" bottom="0.75" header="0.3" footer="0.3"/>
  <pageSetup scale="30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5C9E-7C9D-42A2-B6FD-AE4054BB4F8E}">
  <dimension ref="A1:O110"/>
  <sheetViews>
    <sheetView zoomScale="70" zoomScaleNormal="70" workbookViewId="0">
      <pane ySplit="5" topLeftCell="A41" activePane="bottomLeft" state="frozen"/>
      <selection activeCell="N7" sqref="N7"/>
      <selection pane="bottomLeft" activeCell="B49" sqref="B49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 t="s">
        <v>13</v>
      </c>
      <c r="C3" s="22">
        <f>C2*$N$3</f>
        <v>261.90097999999995</v>
      </c>
      <c r="D3" s="22"/>
      <c r="E3" s="22">
        <f t="shared" ref="E3:L3" si="0">E2*$N$3</f>
        <v>54.243090000000002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87.117689999999996</v>
      </c>
      <c r="J3" s="22">
        <f t="shared" si="0"/>
        <v>66.845019999999991</v>
      </c>
      <c r="K3" s="22">
        <f t="shared" si="0"/>
        <v>77.803219999999982</v>
      </c>
      <c r="L3" s="22">
        <f t="shared" si="0"/>
        <v>0</v>
      </c>
      <c r="M3" s="22"/>
      <c r="N3" s="23">
        <v>547.91</v>
      </c>
    </row>
    <row r="4" spans="1:14" ht="21" customHeight="1" x14ac:dyDescent="0.35">
      <c r="A4" s="63" t="s">
        <v>14</v>
      </c>
      <c r="B4" s="64">
        <f>'Wednesday WK3 (18)'!$B$4+1</f>
        <v>46212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514</v>
      </c>
      <c r="B6" s="68" t="s">
        <v>31</v>
      </c>
      <c r="C6" s="15">
        <f t="shared" ref="C6:C11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>
        <v>54.6</v>
      </c>
      <c r="L6" s="15"/>
      <c r="M6" s="15"/>
      <c r="N6" s="55">
        <v>54.6</v>
      </c>
    </row>
    <row r="7" spans="1:14" ht="29.25" customHeight="1" x14ac:dyDescent="0.35">
      <c r="A7" s="1" t="s">
        <v>515</v>
      </c>
      <c r="B7" s="68" t="s">
        <v>31</v>
      </c>
      <c r="C7" s="15">
        <f t="shared" si="1"/>
        <v>-1.0913492332065289E-13</v>
      </c>
      <c r="D7" s="15"/>
      <c r="E7" s="15"/>
      <c r="F7" s="15"/>
      <c r="G7" s="15"/>
      <c r="H7" s="15"/>
      <c r="I7" s="15"/>
      <c r="J7" s="15"/>
      <c r="K7" s="15">
        <v>3199.75</v>
      </c>
      <c r="L7" s="15"/>
      <c r="M7" s="15">
        <v>0.37</v>
      </c>
      <c r="N7" s="55">
        <v>3200.12</v>
      </c>
    </row>
    <row r="8" spans="1:14" ht="29.25" customHeight="1" x14ac:dyDescent="0.35">
      <c r="A8" s="1" t="s">
        <v>516</v>
      </c>
      <c r="B8" s="68" t="s">
        <v>517</v>
      </c>
      <c r="C8" s="15">
        <f t="shared" si="1"/>
        <v>12127.8</v>
      </c>
      <c r="D8" s="15"/>
      <c r="E8" s="15"/>
      <c r="F8" s="15"/>
      <c r="G8" s="15"/>
      <c r="H8" s="15"/>
      <c r="I8" s="15"/>
      <c r="J8" s="15"/>
      <c r="K8" s="15"/>
      <c r="L8" s="15"/>
      <c r="M8" s="15">
        <v>11.25</v>
      </c>
      <c r="N8" s="55">
        <v>12139.05</v>
      </c>
    </row>
    <row r="9" spans="1:14" ht="29.25" customHeight="1" x14ac:dyDescent="0.35">
      <c r="A9" s="1" t="s">
        <v>518</v>
      </c>
      <c r="B9" s="68" t="s">
        <v>191</v>
      </c>
      <c r="C9" s="15">
        <f t="shared" si="1"/>
        <v>0</v>
      </c>
      <c r="D9" s="15"/>
      <c r="E9" s="15">
        <v>289.33999999999997</v>
      </c>
      <c r="F9" s="15"/>
      <c r="G9" s="15"/>
      <c r="H9" s="15"/>
      <c r="I9" s="15"/>
      <c r="J9" s="15"/>
      <c r="K9" s="15"/>
      <c r="L9" s="15"/>
      <c r="M9" s="15"/>
      <c r="N9" s="55">
        <v>289.33999999999997</v>
      </c>
    </row>
    <row r="10" spans="1:14" ht="29.25" customHeight="1" x14ac:dyDescent="0.35">
      <c r="A10" s="1" t="s">
        <v>519</v>
      </c>
      <c r="B10" s="68" t="s">
        <v>37</v>
      </c>
      <c r="C10" s="15">
        <f t="shared" si="1"/>
        <v>0</v>
      </c>
      <c r="D10" s="15"/>
      <c r="E10" s="15">
        <v>20.16</v>
      </c>
      <c r="F10" s="15"/>
      <c r="G10" s="15"/>
      <c r="H10" s="15"/>
      <c r="I10" s="15"/>
      <c r="J10" s="15"/>
      <c r="K10" s="15"/>
      <c r="L10" s="15"/>
      <c r="M10" s="15"/>
      <c r="N10" s="55">
        <v>20.16</v>
      </c>
    </row>
    <row r="11" spans="1:14" ht="29.25" customHeight="1" x14ac:dyDescent="0.35">
      <c r="A11" s="1" t="s">
        <v>520</v>
      </c>
      <c r="B11" s="68" t="s">
        <v>39</v>
      </c>
      <c r="C11" s="15">
        <f t="shared" si="1"/>
        <v>0</v>
      </c>
      <c r="D11" s="15"/>
      <c r="E11" s="15">
        <v>5329.91</v>
      </c>
      <c r="F11" s="15"/>
      <c r="G11" s="15"/>
      <c r="H11" s="15"/>
      <c r="I11" s="15"/>
      <c r="J11" s="15"/>
      <c r="K11" s="15"/>
      <c r="L11" s="15"/>
      <c r="M11" s="15"/>
      <c r="N11" s="55">
        <v>5329.91</v>
      </c>
    </row>
    <row r="12" spans="1:14" ht="29.25" customHeight="1" x14ac:dyDescent="0.35">
      <c r="A12" s="1" t="s">
        <v>521</v>
      </c>
      <c r="B12" s="68" t="s">
        <v>39</v>
      </c>
      <c r="C12" s="15">
        <f t="shared" ref="C12:C54" si="2">N12-D12-E12-F12-G12-H12-I12-J12-K12-L12-M12-D66-E66-F66-G66-H66-I66-J66-K66-L66-C66</f>
        <v>0</v>
      </c>
      <c r="D12" s="15"/>
      <c r="E12" s="15">
        <v>51.26</v>
      </c>
      <c r="F12" s="15"/>
      <c r="G12" s="15"/>
      <c r="H12" s="15"/>
      <c r="I12" s="15"/>
      <c r="J12" s="15"/>
      <c r="K12" s="15"/>
      <c r="L12" s="15"/>
      <c r="M12" s="15"/>
      <c r="N12" s="55">
        <v>51.26</v>
      </c>
    </row>
    <row r="13" spans="1:14" ht="29.25" customHeight="1" x14ac:dyDescent="0.35">
      <c r="A13" s="1" t="s">
        <v>522</v>
      </c>
      <c r="B13" s="68" t="s">
        <v>39</v>
      </c>
      <c r="C13" s="15">
        <f t="shared" si="2"/>
        <v>0</v>
      </c>
      <c r="D13" s="15"/>
      <c r="E13" s="15">
        <v>154.97</v>
      </c>
      <c r="F13" s="15"/>
      <c r="G13" s="15"/>
      <c r="H13" s="15"/>
      <c r="I13" s="15"/>
      <c r="J13" s="15"/>
      <c r="K13" s="15"/>
      <c r="L13" s="15"/>
      <c r="M13" s="15"/>
      <c r="N13" s="55">
        <v>154.97</v>
      </c>
    </row>
    <row r="14" spans="1:14" ht="29.25" customHeight="1" x14ac:dyDescent="0.35">
      <c r="A14" s="1" t="s">
        <v>523</v>
      </c>
      <c r="B14" s="68" t="s">
        <v>39</v>
      </c>
      <c r="C14" s="15">
        <f t="shared" si="2"/>
        <v>376.21</v>
      </c>
      <c r="D14" s="15"/>
      <c r="E14" s="15">
        <v>41.99</v>
      </c>
      <c r="F14" s="15"/>
      <c r="G14" s="15"/>
      <c r="H14" s="15"/>
      <c r="I14" s="15"/>
      <c r="J14" s="15"/>
      <c r="K14" s="15"/>
      <c r="L14" s="15"/>
      <c r="M14" s="15"/>
      <c r="N14" s="55">
        <v>418.2</v>
      </c>
    </row>
    <row r="15" spans="1:14" ht="29.25" customHeight="1" x14ac:dyDescent="0.35">
      <c r="A15" s="1" t="s">
        <v>524</v>
      </c>
      <c r="B15" s="68" t="s">
        <v>39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>
        <v>245.19</v>
      </c>
      <c r="L15" s="15"/>
      <c r="M15" s="15"/>
      <c r="N15" s="55">
        <v>245.19</v>
      </c>
    </row>
    <row r="16" spans="1:14" ht="29.25" customHeight="1" x14ac:dyDescent="0.35">
      <c r="A16" s="1" t="s">
        <v>525</v>
      </c>
      <c r="B16" s="68" t="s">
        <v>39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>
        <v>18.47</v>
      </c>
      <c r="L16" s="15"/>
      <c r="M16" s="15"/>
      <c r="N16" s="55">
        <v>18.47</v>
      </c>
    </row>
    <row r="17" spans="1:14" ht="29.25" customHeight="1" x14ac:dyDescent="0.35">
      <c r="A17" s="1" t="s">
        <v>526</v>
      </c>
      <c r="B17" s="68" t="s">
        <v>39</v>
      </c>
      <c r="C17" s="15">
        <f t="shared" si="2"/>
        <v>95.52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>
        <v>95.52</v>
      </c>
    </row>
    <row r="18" spans="1:14" ht="29.25" customHeight="1" x14ac:dyDescent="0.35">
      <c r="A18" s="1" t="s">
        <v>527</v>
      </c>
      <c r="B18" s="68" t="s">
        <v>39</v>
      </c>
      <c r="C18" s="15">
        <f t="shared" si="2"/>
        <v>6241.36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>
        <v>6241.36</v>
      </c>
    </row>
    <row r="19" spans="1:14" ht="29.25" customHeight="1" x14ac:dyDescent="0.35">
      <c r="A19" s="1" t="s">
        <v>528</v>
      </c>
      <c r="B19" s="68" t="s">
        <v>39</v>
      </c>
      <c r="C19" s="15">
        <f t="shared" si="2"/>
        <v>1363.21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>
        <v>1363.21</v>
      </c>
    </row>
    <row r="20" spans="1:14" ht="29.25" customHeight="1" x14ac:dyDescent="0.35">
      <c r="A20" s="1" t="s">
        <v>529</v>
      </c>
      <c r="B20" s="68" t="s">
        <v>39</v>
      </c>
      <c r="C20" s="15">
        <f t="shared" si="2"/>
        <v>4777.1099999999997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>
        <v>4777.1099999999997</v>
      </c>
    </row>
    <row r="21" spans="1:14" ht="29.25" customHeight="1" x14ac:dyDescent="0.35">
      <c r="A21" s="1" t="s">
        <v>530</v>
      </c>
      <c r="B21" s="68" t="s">
        <v>39</v>
      </c>
      <c r="C21" s="15">
        <f t="shared" si="2"/>
        <v>12896.75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>
        <v>12896.75</v>
      </c>
    </row>
    <row r="22" spans="1:14" ht="29.25" customHeight="1" x14ac:dyDescent="0.35">
      <c r="A22" s="1" t="s">
        <v>531</v>
      </c>
      <c r="B22" s="68" t="s">
        <v>39</v>
      </c>
      <c r="C22" s="15">
        <f t="shared" si="2"/>
        <v>31.960000000000036</v>
      </c>
      <c r="D22" s="15"/>
      <c r="E22" s="15"/>
      <c r="F22" s="15"/>
      <c r="G22" s="15"/>
      <c r="H22" s="15"/>
      <c r="I22" s="15"/>
      <c r="J22" s="15"/>
      <c r="K22" s="15">
        <v>2043.54</v>
      </c>
      <c r="L22" s="15"/>
      <c r="M22" s="15"/>
      <c r="N22" s="55">
        <v>2075.5</v>
      </c>
    </row>
    <row r="23" spans="1:14" ht="29.25" customHeight="1" x14ac:dyDescent="0.35">
      <c r="A23" s="1" t="s">
        <v>532</v>
      </c>
      <c r="B23" s="68" t="s">
        <v>39</v>
      </c>
      <c r="C23" s="15">
        <f t="shared" si="2"/>
        <v>0</v>
      </c>
      <c r="D23" s="15"/>
      <c r="E23" s="15">
        <v>877.26</v>
      </c>
      <c r="F23" s="15"/>
      <c r="G23" s="15"/>
      <c r="H23" s="15"/>
      <c r="I23" s="15"/>
      <c r="J23" s="15"/>
      <c r="K23" s="15"/>
      <c r="L23" s="15"/>
      <c r="M23" s="15"/>
      <c r="N23" s="55">
        <v>877.26</v>
      </c>
    </row>
    <row r="24" spans="1:14" ht="29.25" customHeight="1" x14ac:dyDescent="0.35">
      <c r="A24" s="1" t="s">
        <v>533</v>
      </c>
      <c r="B24" s="68" t="s">
        <v>39</v>
      </c>
      <c r="C24" s="15">
        <f t="shared" si="2"/>
        <v>0</v>
      </c>
      <c r="D24" s="15"/>
      <c r="E24" s="15">
        <v>656.21</v>
      </c>
      <c r="F24" s="15"/>
      <c r="G24" s="15"/>
      <c r="H24" s="15"/>
      <c r="I24" s="15"/>
      <c r="J24" s="15"/>
      <c r="K24" s="15"/>
      <c r="L24" s="15"/>
      <c r="M24" s="15"/>
      <c r="N24" s="55">
        <v>656.21</v>
      </c>
    </row>
    <row r="25" spans="1:14" ht="29.25" customHeight="1" x14ac:dyDescent="0.35">
      <c r="A25" s="1" t="s">
        <v>534</v>
      </c>
      <c r="B25" s="68" t="s">
        <v>39</v>
      </c>
      <c r="C25" s="15">
        <f t="shared" si="2"/>
        <v>0</v>
      </c>
      <c r="D25" s="15"/>
      <c r="E25" s="15">
        <v>66.349999999999994</v>
      </c>
      <c r="F25" s="15"/>
      <c r="G25" s="15"/>
      <c r="H25" s="15"/>
      <c r="I25" s="15"/>
      <c r="J25" s="15"/>
      <c r="K25" s="15"/>
      <c r="L25" s="15"/>
      <c r="M25" s="15"/>
      <c r="N25" s="55">
        <v>66.349999999999994</v>
      </c>
    </row>
    <row r="26" spans="1:14" ht="29.25" customHeight="1" x14ac:dyDescent="0.35">
      <c r="A26" s="1" t="s">
        <v>535</v>
      </c>
      <c r="B26" s="68" t="s">
        <v>39</v>
      </c>
      <c r="C26" s="15">
        <f t="shared" si="2"/>
        <v>0</v>
      </c>
      <c r="D26" s="15"/>
      <c r="E26" s="15">
        <v>53.52</v>
      </c>
      <c r="F26" s="15"/>
      <c r="G26" s="15"/>
      <c r="H26" s="15"/>
      <c r="I26" s="15"/>
      <c r="J26" s="15"/>
      <c r="K26" s="15"/>
      <c r="L26" s="15"/>
      <c r="M26" s="15"/>
      <c r="N26" s="55">
        <v>53.52</v>
      </c>
    </row>
    <row r="27" spans="1:14" ht="29.25" customHeight="1" x14ac:dyDescent="0.35">
      <c r="A27" s="1" t="s">
        <v>536</v>
      </c>
      <c r="B27" s="68" t="s">
        <v>39</v>
      </c>
      <c r="C27" s="15">
        <f t="shared" si="2"/>
        <v>1595.81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>
        <v>1595.81</v>
      </c>
    </row>
    <row r="28" spans="1:14" ht="29.25" customHeight="1" x14ac:dyDescent="0.35">
      <c r="A28" s="1" t="s">
        <v>537</v>
      </c>
      <c r="B28" s="68" t="s">
        <v>39</v>
      </c>
      <c r="C28" s="15">
        <f t="shared" si="2"/>
        <v>161.75</v>
      </c>
      <c r="D28" s="15"/>
      <c r="E28" s="15">
        <v>3302.26</v>
      </c>
      <c r="F28" s="15"/>
      <c r="G28" s="15"/>
      <c r="H28" s="15"/>
      <c r="I28" s="15"/>
      <c r="J28" s="15"/>
      <c r="K28" s="15"/>
      <c r="L28" s="15"/>
      <c r="M28" s="15"/>
      <c r="N28" s="55">
        <v>3464.01</v>
      </c>
    </row>
    <row r="29" spans="1:14" ht="29.25" customHeight="1" x14ac:dyDescent="0.35">
      <c r="A29" s="1" t="s">
        <v>538</v>
      </c>
      <c r="B29" s="68" t="s">
        <v>39</v>
      </c>
      <c r="C29" s="15">
        <f t="shared" si="2"/>
        <v>37.43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>
        <v>37.43</v>
      </c>
    </row>
    <row r="30" spans="1:14" ht="29.25" customHeight="1" x14ac:dyDescent="0.35">
      <c r="A30" s="1" t="s">
        <v>539</v>
      </c>
      <c r="B30" s="68" t="s">
        <v>39</v>
      </c>
      <c r="C30" s="15">
        <f t="shared" si="2"/>
        <v>92.57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>
        <v>92.57</v>
      </c>
    </row>
    <row r="31" spans="1:14" ht="29.25" customHeight="1" x14ac:dyDescent="0.35">
      <c r="A31" s="1" t="s">
        <v>540</v>
      </c>
      <c r="B31" s="68" t="s">
        <v>39</v>
      </c>
      <c r="C31" s="15">
        <f t="shared" si="2"/>
        <v>87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>
        <v>87</v>
      </c>
    </row>
    <row r="32" spans="1:14" ht="29.25" customHeight="1" x14ac:dyDescent="0.35">
      <c r="A32" s="1" t="s">
        <v>541</v>
      </c>
      <c r="B32" s="68" t="s">
        <v>39</v>
      </c>
      <c r="C32" s="15">
        <f t="shared" si="2"/>
        <v>122.08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>
        <v>122.08</v>
      </c>
    </row>
    <row r="33" spans="1:14" ht="29.25" customHeight="1" x14ac:dyDescent="0.35">
      <c r="A33" s="1" t="s">
        <v>542</v>
      </c>
      <c r="B33" s="68" t="s">
        <v>39</v>
      </c>
      <c r="C33" s="15">
        <f t="shared" si="2"/>
        <v>11110.26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>
        <v>11110.26</v>
      </c>
    </row>
    <row r="34" spans="1:14" ht="29.25" customHeight="1" x14ac:dyDescent="0.35">
      <c r="A34" s="1" t="s">
        <v>543</v>
      </c>
      <c r="B34" s="68" t="s">
        <v>39</v>
      </c>
      <c r="C34" s="15">
        <f t="shared" si="2"/>
        <v>1755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>
        <v>1755</v>
      </c>
    </row>
    <row r="35" spans="1:14" ht="29.25" customHeight="1" x14ac:dyDescent="0.35">
      <c r="A35" s="1" t="s">
        <v>544</v>
      </c>
      <c r="B35" s="68" t="s">
        <v>39</v>
      </c>
      <c r="C35" s="15">
        <f t="shared" si="2"/>
        <v>21.830000000000013</v>
      </c>
      <c r="D35" s="15"/>
      <c r="E35" s="15">
        <v>26.04</v>
      </c>
      <c r="F35" s="15"/>
      <c r="G35" s="15"/>
      <c r="H35" s="15"/>
      <c r="I35" s="15"/>
      <c r="J35" s="15"/>
      <c r="K35" s="15">
        <v>76.22</v>
      </c>
      <c r="L35" s="15"/>
      <c r="M35" s="15"/>
      <c r="N35" s="55">
        <v>124.09</v>
      </c>
    </row>
    <row r="36" spans="1:14" ht="29.25" customHeight="1" x14ac:dyDescent="0.35">
      <c r="A36" s="1" t="s">
        <v>545</v>
      </c>
      <c r="B36" s="68" t="s">
        <v>39</v>
      </c>
      <c r="C36" s="15">
        <f t="shared" si="2"/>
        <v>0</v>
      </c>
      <c r="D36" s="15"/>
      <c r="E36" s="15"/>
      <c r="F36" s="15"/>
      <c r="G36" s="15"/>
      <c r="H36" s="15"/>
      <c r="I36" s="15">
        <v>3521.24</v>
      </c>
      <c r="J36" s="15"/>
      <c r="K36" s="15"/>
      <c r="L36" s="15"/>
      <c r="M36" s="15"/>
      <c r="N36" s="55">
        <v>3521.24</v>
      </c>
    </row>
    <row r="37" spans="1:14" ht="29.25" customHeight="1" x14ac:dyDescent="0.35">
      <c r="A37" s="1" t="s">
        <v>546</v>
      </c>
      <c r="B37" s="68" t="s">
        <v>39</v>
      </c>
      <c r="C37" s="15">
        <f t="shared" si="2"/>
        <v>0</v>
      </c>
      <c r="D37" s="15"/>
      <c r="E37" s="15"/>
      <c r="F37" s="15"/>
      <c r="G37" s="15"/>
      <c r="H37" s="15"/>
      <c r="I37" s="15">
        <v>117.77</v>
      </c>
      <c r="J37" s="15"/>
      <c r="K37" s="15"/>
      <c r="L37" s="15"/>
      <c r="M37" s="15"/>
      <c r="N37" s="55">
        <v>117.77</v>
      </c>
    </row>
    <row r="38" spans="1:14" ht="29.25" customHeight="1" x14ac:dyDescent="0.35">
      <c r="A38" s="1" t="s">
        <v>547</v>
      </c>
      <c r="B38" s="68" t="s">
        <v>39</v>
      </c>
      <c r="C38" s="15">
        <f t="shared" si="2"/>
        <v>0</v>
      </c>
      <c r="D38" s="15"/>
      <c r="E38" s="15"/>
      <c r="F38" s="15"/>
      <c r="G38" s="15"/>
      <c r="H38" s="15"/>
      <c r="I38" s="15">
        <v>65</v>
      </c>
      <c r="J38" s="15"/>
      <c r="K38" s="15"/>
      <c r="L38" s="15"/>
      <c r="M38" s="15"/>
      <c r="N38" s="55">
        <v>65</v>
      </c>
    </row>
    <row r="39" spans="1:14" ht="29.25" customHeight="1" x14ac:dyDescent="0.35">
      <c r="A39" s="1" t="s">
        <v>548</v>
      </c>
      <c r="B39" s="68" t="s">
        <v>39</v>
      </c>
      <c r="C39" s="15">
        <f t="shared" si="2"/>
        <v>0</v>
      </c>
      <c r="D39" s="15"/>
      <c r="E39" s="15"/>
      <c r="F39" s="15"/>
      <c r="G39" s="15"/>
      <c r="H39" s="15"/>
      <c r="I39" s="15">
        <v>120.27</v>
      </c>
      <c r="J39" s="15"/>
      <c r="K39" s="15"/>
      <c r="L39" s="15"/>
      <c r="M39" s="15"/>
      <c r="N39" s="55">
        <v>120.27</v>
      </c>
    </row>
    <row r="40" spans="1:14" ht="29.25" customHeight="1" x14ac:dyDescent="0.35">
      <c r="A40" s="1" t="s">
        <v>549</v>
      </c>
      <c r="B40" s="68" t="s">
        <v>39</v>
      </c>
      <c r="C40" s="15">
        <f t="shared" si="2"/>
        <v>16956.099999999999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>
        <v>16956.099999999999</v>
      </c>
    </row>
    <row r="41" spans="1:14" ht="29.25" customHeight="1" x14ac:dyDescent="0.35">
      <c r="A41" s="1" t="s">
        <v>550</v>
      </c>
      <c r="B41" s="68" t="s">
        <v>104</v>
      </c>
      <c r="C41" s="15">
        <f t="shared" si="2"/>
        <v>6566.56</v>
      </c>
      <c r="D41" s="15"/>
      <c r="E41" s="15"/>
      <c r="F41" s="15"/>
      <c r="G41" s="15"/>
      <c r="H41" s="15"/>
      <c r="I41" s="15"/>
      <c r="J41" s="15"/>
      <c r="K41" s="15"/>
      <c r="L41" s="15"/>
      <c r="M41" s="15">
        <v>235.79</v>
      </c>
      <c r="N41" s="55">
        <v>6802.35</v>
      </c>
    </row>
    <row r="42" spans="1:14" ht="29.25" customHeight="1" x14ac:dyDescent="0.35">
      <c r="A42" s="1" t="s">
        <v>551</v>
      </c>
      <c r="B42" s="68" t="s">
        <v>29</v>
      </c>
      <c r="C42" s="15">
        <f t="shared" si="2"/>
        <v>361.51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>
        <v>361.51</v>
      </c>
    </row>
    <row r="43" spans="1:14" ht="29.25" customHeight="1" x14ac:dyDescent="0.35">
      <c r="A43" s="1" t="s">
        <v>552</v>
      </c>
      <c r="B43" s="68" t="s">
        <v>237</v>
      </c>
      <c r="C43" s="15">
        <f t="shared" si="2"/>
        <v>2146.27</v>
      </c>
      <c r="D43" s="15"/>
      <c r="E43" s="15"/>
      <c r="F43" s="15"/>
      <c r="G43" s="15"/>
      <c r="H43" s="15"/>
      <c r="I43" s="15"/>
      <c r="J43" s="15"/>
      <c r="K43" s="15"/>
      <c r="L43" s="15"/>
      <c r="M43" s="15">
        <v>107.31</v>
      </c>
      <c r="N43" s="55">
        <v>2253.58</v>
      </c>
    </row>
    <row r="44" spans="1:14" ht="29.25" customHeight="1" x14ac:dyDescent="0.35">
      <c r="A44" s="1" t="s">
        <v>553</v>
      </c>
      <c r="B44" s="68" t="s">
        <v>118</v>
      </c>
      <c r="C44" s="15">
        <f t="shared" si="2"/>
        <v>498.24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>
        <v>498.24</v>
      </c>
    </row>
    <row r="45" spans="1:14" ht="29.25" customHeight="1" x14ac:dyDescent="0.35">
      <c r="A45" s="1" t="s">
        <v>554</v>
      </c>
      <c r="B45" s="68" t="s">
        <v>118</v>
      </c>
      <c r="C45" s="15">
        <f t="shared" si="2"/>
        <v>-379.21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>
        <v>-379.21</v>
      </c>
    </row>
    <row r="46" spans="1:14" ht="29.25" customHeight="1" x14ac:dyDescent="0.35">
      <c r="A46" s="1" t="s">
        <v>555</v>
      </c>
      <c r="B46" s="68" t="s">
        <v>245</v>
      </c>
      <c r="C46" s="15">
        <f t="shared" si="2"/>
        <v>45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>
        <v>45</v>
      </c>
    </row>
    <row r="47" spans="1:14" ht="29.25" customHeight="1" x14ac:dyDescent="0.35">
      <c r="A47" s="1" t="s">
        <v>556</v>
      </c>
      <c r="B47" s="68" t="s">
        <v>245</v>
      </c>
      <c r="C47" s="15">
        <f t="shared" si="2"/>
        <v>-2.1849189124623081E-13</v>
      </c>
      <c r="D47" s="15"/>
      <c r="E47" s="15">
        <v>3291.05</v>
      </c>
      <c r="F47" s="15"/>
      <c r="G47" s="15"/>
      <c r="H47" s="15"/>
      <c r="I47" s="15"/>
      <c r="J47" s="15"/>
      <c r="K47" s="15"/>
      <c r="L47" s="15"/>
      <c r="M47" s="15">
        <v>5.49</v>
      </c>
      <c r="N47" s="55">
        <v>3296.54</v>
      </c>
    </row>
    <row r="48" spans="1:14" ht="29.25" customHeight="1" x14ac:dyDescent="0.35">
      <c r="A48" s="1" t="s">
        <v>557</v>
      </c>
      <c r="B48" s="68" t="s">
        <v>245</v>
      </c>
      <c r="C48" s="15">
        <f t="shared" si="2"/>
        <v>-16.25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>
        <v>-16.25</v>
      </c>
    </row>
    <row r="49" spans="1:15" ht="29.25" customHeight="1" x14ac:dyDescent="0.35">
      <c r="A49" s="1" t="s">
        <v>558</v>
      </c>
      <c r="B49" s="68" t="s">
        <v>245</v>
      </c>
      <c r="C49" s="15">
        <f t="shared" si="2"/>
        <v>0</v>
      </c>
      <c r="D49" s="15"/>
      <c r="E49" s="15">
        <v>-130.53</v>
      </c>
      <c r="F49" s="15"/>
      <c r="G49" s="15"/>
      <c r="H49" s="15"/>
      <c r="I49" s="15"/>
      <c r="J49" s="15"/>
      <c r="K49" s="15"/>
      <c r="L49" s="15"/>
      <c r="M49" s="15"/>
      <c r="N49" s="55">
        <v>-130.53</v>
      </c>
    </row>
    <row r="50" spans="1:15" ht="29.25" customHeight="1" x14ac:dyDescent="0.35">
      <c r="A50" s="1" t="s">
        <v>82</v>
      </c>
      <c r="B50" s="68" t="s">
        <v>82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3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39</v>
      </c>
      <c r="C56" s="16">
        <f>C3</f>
        <v>261.90097999999995</v>
      </c>
      <c r="D56" s="16"/>
      <c r="E56" s="16">
        <f>E3</f>
        <v>54.243090000000002</v>
      </c>
      <c r="F56" s="16">
        <f t="shared" ref="F56:L56" si="4">F3</f>
        <v>0</v>
      </c>
      <c r="G56" s="16">
        <f t="shared" si="4"/>
        <v>0</v>
      </c>
      <c r="H56" s="16">
        <f t="shared" si="4"/>
        <v>0</v>
      </c>
      <c r="I56" s="16">
        <f t="shared" si="4"/>
        <v>87.117689999999996</v>
      </c>
      <c r="J56" s="16">
        <f t="shared" si="4"/>
        <v>66.845019999999991</v>
      </c>
      <c r="K56" s="16">
        <f t="shared" si="4"/>
        <v>77.803219999999982</v>
      </c>
      <c r="L56" s="16">
        <f t="shared" si="4"/>
        <v>0</v>
      </c>
      <c r="M56" s="16"/>
      <c r="N56" s="60">
        <f>SUM(C56:M56)+SUM(C118:J118)</f>
        <v>547.90999999999985</v>
      </c>
      <c r="O56" s="149" t="s">
        <v>559</v>
      </c>
    </row>
    <row r="57" spans="1:15" ht="29.25" customHeight="1" x14ac:dyDescent="0.4">
      <c r="A57" s="24" t="s">
        <v>84</v>
      </c>
      <c r="B57" s="10"/>
      <c r="C57" s="61">
        <f t="shared" ref="C57:M57" si="5">SUM(C6:C56)</f>
        <v>79333.770980000001</v>
      </c>
      <c r="D57" s="61">
        <f t="shared" si="5"/>
        <v>0</v>
      </c>
      <c r="E57" s="61">
        <f t="shared" si="5"/>
        <v>14084.033090000003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3911.3976899999998</v>
      </c>
      <c r="J57" s="61">
        <f t="shared" si="5"/>
        <v>66.845019999999991</v>
      </c>
      <c r="K57" s="61">
        <f t="shared" si="5"/>
        <v>5715.5732199999993</v>
      </c>
      <c r="L57" s="61">
        <f t="shared" si="5"/>
        <v>0</v>
      </c>
      <c r="M57" s="61">
        <f t="shared" si="5"/>
        <v>360.21000000000004</v>
      </c>
      <c r="N57" s="61">
        <f>SUM(N6:N56)</f>
        <v>103471.83</v>
      </c>
      <c r="O57" s="221"/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>4003765649</v>
      </c>
      <c r="B60" s="9" t="str">
        <f>B6</f>
        <v>SAPUTO DAIRY PRODUCTS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6">A7</f>
        <v>4003773251</v>
      </c>
      <c r="B61" s="9" t="str">
        <f t="shared" si="6"/>
        <v>SAPUTO DAIRY PRODUCTS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6"/>
        <v>573137</v>
      </c>
      <c r="B62" s="9" t="str">
        <f t="shared" si="6"/>
        <v>CFI FOODS LTD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6"/>
        <v>964065</v>
      </c>
      <c r="B63" s="9" t="str">
        <f t="shared" si="6"/>
        <v>HARVEST MEATS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6"/>
        <v>3283863</v>
      </c>
      <c r="B64" s="9" t="str">
        <f t="shared" si="6"/>
        <v>LILYDALE SOFINA FOODS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6"/>
        <v>6689252</v>
      </c>
      <c r="B65" s="9" t="str">
        <f t="shared" si="6"/>
        <v>THE GROCERY PEOPLE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6"/>
        <v>6687835</v>
      </c>
      <c r="B66" s="9" t="str">
        <f t="shared" si="6"/>
        <v>THE GROCERY PEOPLE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6"/>
        <v>6687836</v>
      </c>
      <c r="B67" s="9" t="str">
        <f t="shared" si="6"/>
        <v>THE GROCERY PEOPLE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6"/>
        <v>6688409</v>
      </c>
      <c r="B68" s="9" t="str">
        <f t="shared" si="6"/>
        <v>THE GROCERY PEOPLE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6"/>
        <v>6691251</v>
      </c>
      <c r="B69" s="9" t="str">
        <f t="shared" si="6"/>
        <v>THE GROCERY PEOPLE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6"/>
        <v>6691252</v>
      </c>
      <c r="B70" s="9" t="str">
        <f t="shared" si="6"/>
        <v>THE GROCERY PEOPLE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6"/>
        <v>6688318</v>
      </c>
      <c r="B71" s="9" t="str">
        <f t="shared" si="6"/>
        <v>THE GROCERY PEOPLE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6"/>
        <v>5647503</v>
      </c>
      <c r="B72" s="9" t="str">
        <f t="shared" si="6"/>
        <v>THE GROCERY PEOPLE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6"/>
        <v>5647791</v>
      </c>
      <c r="B73" s="9" t="str">
        <f t="shared" si="6"/>
        <v>THE GROCERY PEOPLE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6"/>
        <v>5647952</v>
      </c>
      <c r="B74" s="9" t="str">
        <f t="shared" si="6"/>
        <v>THE GROCERY PEOPLE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6"/>
        <v>5648240</v>
      </c>
      <c r="B75" s="9" t="str">
        <f t="shared" si="6"/>
        <v>THE GROCERY PEOPLE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6"/>
        <v>5648356</v>
      </c>
      <c r="B76" s="9" t="str">
        <f t="shared" si="6"/>
        <v>THE GROCERY PEOPLE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7">A23</f>
        <v>8248666</v>
      </c>
      <c r="B77" s="9" t="str">
        <f t="shared" si="7"/>
        <v>THE GROCERY PEOPLE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7"/>
        <v>8249585</v>
      </c>
      <c r="B78" s="9" t="str">
        <f t="shared" si="7"/>
        <v>THE GROCERY PEOPLE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7"/>
        <v>8250038</v>
      </c>
      <c r="B79" s="9" t="str">
        <f t="shared" si="7"/>
        <v>THE GROCERY PEOPLE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7"/>
        <v>8250087</v>
      </c>
      <c r="B80" s="9" t="str">
        <f t="shared" si="7"/>
        <v>THE GROCERY PEOPLE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7"/>
        <v>5646370</v>
      </c>
      <c r="B81" s="9" t="str">
        <f t="shared" si="7"/>
        <v>THE GROCERY PEOPLE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7"/>
        <v>5647261</v>
      </c>
      <c r="B82" s="9" t="str">
        <f t="shared" si="7"/>
        <v>THE GROCERY PEOPLE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7"/>
        <v>5645759</v>
      </c>
      <c r="B83" s="9" t="str">
        <f t="shared" si="7"/>
        <v>THE GROCERY PEOPLE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7"/>
        <v>5646250</v>
      </c>
      <c r="B84" s="9" t="str">
        <f t="shared" si="7"/>
        <v>THE GROCERY PEOPLE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7"/>
        <v>5647200</v>
      </c>
      <c r="B85" s="9" t="str">
        <f t="shared" si="7"/>
        <v>THE GROCERY PEOPLE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7"/>
        <v>5647950</v>
      </c>
      <c r="B86" s="9" t="str">
        <f t="shared" si="7"/>
        <v>THE GROCERY PEOPLE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7"/>
        <v>5647951</v>
      </c>
      <c r="B87" s="9" t="str">
        <f t="shared" si="7"/>
        <v>THE GROCERY PEOPLE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7"/>
        <v>5648089</v>
      </c>
      <c r="B88" s="9" t="str">
        <f t="shared" si="7"/>
        <v>THE GROCERY PEOPLE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7"/>
        <v>5648678</v>
      </c>
      <c r="B89" s="9" t="str">
        <f t="shared" si="7"/>
        <v>THE GROCERY PEOPLE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7"/>
        <v>5648962</v>
      </c>
      <c r="B90" s="9" t="str">
        <f t="shared" si="7"/>
        <v>THE GROCERY PEOPLE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7"/>
        <v>5648978</v>
      </c>
      <c r="B91" s="9" t="str">
        <f t="shared" si="7"/>
        <v>THE GROCERY PEOPLE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7"/>
        <v>5649068</v>
      </c>
      <c r="B92" s="9" t="str">
        <f t="shared" si="7"/>
        <v>THE GROCERY PEOPLE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8">A39</f>
        <v>5649184</v>
      </c>
      <c r="B93" s="9" t="str">
        <f t="shared" si="8"/>
        <v>THE GROCERY PEOPLE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8"/>
        <v>5647503A</v>
      </c>
      <c r="B94" s="9" t="str">
        <f t="shared" si="8"/>
        <v>THE GROCERY PEOPLE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8"/>
        <v>53224643003</v>
      </c>
      <c r="B95" s="9" t="str">
        <f t="shared" si="8"/>
        <v>COCA COLA CANADA BOTTLING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8"/>
        <v>126728</v>
      </c>
      <c r="B96" s="9" t="str">
        <f t="shared" si="8"/>
        <v>ITALIAN BAKERY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8"/>
        <v>0117562</v>
      </c>
      <c r="B97" s="9" t="str">
        <f t="shared" si="8"/>
        <v>G &amp; L DISTRIBUTORS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8"/>
        <v>226650719094</v>
      </c>
      <c r="B98" s="9" t="str">
        <f t="shared" si="8"/>
        <v>CANADA BREAD COMPANY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8"/>
        <v>226650719095</v>
      </c>
      <c r="B99" s="9" t="str">
        <f t="shared" si="8"/>
        <v>CANADA BREAD COMPANY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8"/>
        <v>2882619002</v>
      </c>
      <c r="B100" s="9" t="str">
        <f t="shared" si="8"/>
        <v>DIRECT PLUS FOOD GROUP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8"/>
        <v>2882619001</v>
      </c>
      <c r="B101" s="9" t="str">
        <f t="shared" si="8"/>
        <v>DIRECT PLUS FOOD GROUP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8"/>
        <v>2882619003</v>
      </c>
      <c r="B102" s="9" t="str">
        <f t="shared" si="8"/>
        <v>DIRECT PLUS FOOD GROUP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8"/>
        <v>2882619004</v>
      </c>
      <c r="B103" s="9" t="str">
        <f t="shared" si="8"/>
        <v>DIRECT PLUS FOOD GROUP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8"/>
        <v xml:space="preserve"> </v>
      </c>
      <c r="B104" s="9" t="str">
        <f t="shared" si="8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8"/>
        <v xml:space="preserve"> </v>
      </c>
      <c r="B105" s="9" t="str">
        <f t="shared" si="8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8"/>
        <v xml:space="preserve"> </v>
      </c>
      <c r="B106" s="9" t="str">
        <f t="shared" si="8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8"/>
        <v xml:space="preserve"> </v>
      </c>
      <c r="B107" s="9" t="str">
        <f t="shared" si="8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8"/>
        <v xml:space="preserve"> </v>
      </c>
      <c r="B108" s="9" t="str">
        <f t="shared" si="8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9">A55</f>
        <v xml:space="preserve"> </v>
      </c>
      <c r="B109" s="9" t="str">
        <f t="shared" si="9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0">SUM(E60:E109)</f>
        <v>0</v>
      </c>
      <c r="F110" s="53">
        <f t="shared" si="10"/>
        <v>0</v>
      </c>
      <c r="G110" s="53">
        <f t="shared" si="10"/>
        <v>0</v>
      </c>
      <c r="H110" s="53">
        <f t="shared" si="10"/>
        <v>0</v>
      </c>
      <c r="I110" s="53">
        <f t="shared" si="10"/>
        <v>0</v>
      </c>
      <c r="J110" s="54">
        <f t="shared" si="10"/>
        <v>0</v>
      </c>
      <c r="K110" s="49">
        <f t="shared" si="10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398803D4-894A-46E0-A2C6-94D35E05F1FA}"/>
  </hyperlinks>
  <pageMargins left="0.7" right="0.7" top="0.75" bottom="0.75" header="0.3" footer="0.3"/>
  <pageSetup scale="30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C1448-E20E-4095-AF44-D099D6FEEDD7}">
  <dimension ref="A1:O110"/>
  <sheetViews>
    <sheetView zoomScale="70" zoomScaleNormal="70" workbookViewId="0">
      <pane ySplit="5" topLeftCell="A52" activePane="bottomLeft" state="frozen"/>
      <selection activeCell="A12" sqref="A12"/>
      <selection pane="bottomLeft" activeCell="A61" sqref="A61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v>0</v>
      </c>
      <c r="G2" s="20">
        <v>0</v>
      </c>
      <c r="H2" s="20"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 x14ac:dyDescent="0.5">
      <c r="A3" s="12"/>
      <c r="B3" s="65" t="s">
        <v>13</v>
      </c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>
        <v>0</v>
      </c>
    </row>
    <row r="4" spans="1:14" ht="21" customHeight="1" x14ac:dyDescent="0.35">
      <c r="A4" s="63" t="s">
        <v>14</v>
      </c>
      <c r="B4" s="64">
        <f>'Thursday WK3 (19)'!$B$4+1</f>
        <v>46213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560</v>
      </c>
      <c r="B6" s="68" t="s">
        <v>115</v>
      </c>
      <c r="C6" s="15">
        <f t="shared" ref="C6:C13" si="1">N6-D6-E6-F6-G6-H6-I6-J6-K6-L6-M6-D60-E60-F60-G60-H60-I60-J60-K60-L60-C60</f>
        <v>671.44999999999993</v>
      </c>
      <c r="D6" s="15"/>
      <c r="E6" s="15"/>
      <c r="F6" s="15"/>
      <c r="G6" s="15"/>
      <c r="H6" s="15"/>
      <c r="I6" s="15"/>
      <c r="J6" s="15"/>
      <c r="K6" s="15"/>
      <c r="L6" s="15"/>
      <c r="M6" s="15">
        <v>33.57</v>
      </c>
      <c r="N6" s="55">
        <v>705.02</v>
      </c>
    </row>
    <row r="7" spans="1:14" ht="29.25" customHeight="1" x14ac:dyDescent="0.35">
      <c r="A7" s="1" t="s">
        <v>561</v>
      </c>
      <c r="B7" s="68" t="s">
        <v>115</v>
      </c>
      <c r="C7" s="15">
        <f t="shared" si="1"/>
        <v>-41.510000000000005</v>
      </c>
      <c r="D7" s="15"/>
      <c r="E7" s="15"/>
      <c r="F7" s="15"/>
      <c r="G7" s="15"/>
      <c r="H7" s="15"/>
      <c r="I7" s="15"/>
      <c r="J7" s="15"/>
      <c r="K7" s="15"/>
      <c r="L7" s="15"/>
      <c r="M7" s="15">
        <v>-2.08</v>
      </c>
      <c r="N7" s="55">
        <v>-43.59</v>
      </c>
    </row>
    <row r="8" spans="1:14" ht="29.25" customHeight="1" x14ac:dyDescent="0.35">
      <c r="A8" s="1" t="s">
        <v>562</v>
      </c>
      <c r="B8" s="68" t="s">
        <v>162</v>
      </c>
      <c r="C8" s="15">
        <f t="shared" si="1"/>
        <v>605.02</v>
      </c>
      <c r="D8" s="15"/>
      <c r="E8" s="15"/>
      <c r="F8" s="15"/>
      <c r="G8" s="15"/>
      <c r="H8" s="15"/>
      <c r="I8" s="15"/>
      <c r="J8" s="15"/>
      <c r="K8" s="15"/>
      <c r="L8" s="15"/>
      <c r="M8" s="15">
        <v>30.24</v>
      </c>
      <c r="N8" s="55">
        <v>635.26</v>
      </c>
    </row>
    <row r="9" spans="1:14" ht="29.25" customHeight="1" x14ac:dyDescent="0.35">
      <c r="A9" s="1" t="s">
        <v>82</v>
      </c>
      <c r="B9" s="68" t="s">
        <v>82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82</v>
      </c>
      <c r="B10" s="68" t="s">
        <v>82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82</v>
      </c>
      <c r="B11" s="68" t="s">
        <v>82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82</v>
      </c>
      <c r="B12" s="68" t="s">
        <v>82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82</v>
      </c>
      <c r="B13" s="68" t="s">
        <v>82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82</v>
      </c>
      <c r="B14" s="68" t="s">
        <v>82</v>
      </c>
      <c r="C14" s="15">
        <f t="shared" ref="C14:C27" si="2">N14-D14-E14-F14-G14-H14-I14-J14-K14-L14-M14-D68-E68-F68-G68-H68-I68-J68-K68-L68-C68</f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82</v>
      </c>
      <c r="B15" s="68" t="s">
        <v>82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82</v>
      </c>
      <c r="B16" s="68" t="s">
        <v>82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82</v>
      </c>
      <c r="B17" s="68" t="s">
        <v>82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ref="C28:C44" si="3">N28-D28-E28-F28-G28-H28-I28-J28-K28-L28-M28-D82-E82-F82-G82-H82-I82-J82-K82-L82-C82</f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3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3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3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3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3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3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3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3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3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3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3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3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3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3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3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3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ref="C45:C46" si="4">N45-D45-E45-F45-G45-H45-I45-J45-K45-L45-M45-D99-E99-F99-G99-H99-I99-J99-K99-L99-C99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4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ref="C47" si="5">N47-D47-E47-F47-G47-H47-I47-J47-K47-L47-M47-D101-E101-F101-G101-H101-I101-J101-K101-L101-C101</f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ref="C48:C54" si="6">N48-D48-E48-F48-G48-H48-I48-J48-K48-L48-M48-D102-E102-F102-G102-H102-I102-J102-K102-L102-C102</f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si="6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si="6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6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6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6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6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7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8">F3</f>
        <v>0</v>
      </c>
      <c r="G56" s="16">
        <f t="shared" si="8"/>
        <v>0</v>
      </c>
      <c r="H56" s="16">
        <f t="shared" si="8"/>
        <v>0</v>
      </c>
      <c r="I56" s="16">
        <f t="shared" si="8"/>
        <v>0</v>
      </c>
      <c r="J56" s="16">
        <f t="shared" si="8"/>
        <v>0</v>
      </c>
      <c r="K56" s="16">
        <f t="shared" si="8"/>
        <v>0</v>
      </c>
      <c r="L56" s="16">
        <f t="shared" si="8"/>
        <v>0</v>
      </c>
      <c r="M56" s="16"/>
      <c r="N56" s="60">
        <f>SUM(C56:M56)+SUM(C118:J118)</f>
        <v>0</v>
      </c>
      <c r="O56" s="149" t="s">
        <v>563</v>
      </c>
    </row>
    <row r="57" spans="1:15" ht="29.25" customHeight="1" x14ac:dyDescent="0.4">
      <c r="A57" s="24" t="s">
        <v>84</v>
      </c>
      <c r="B57" s="10"/>
      <c r="C57" s="61">
        <f t="shared" ref="C57:M57" si="9">SUM(C6:C56)</f>
        <v>1234.96</v>
      </c>
      <c r="D57" s="61">
        <f t="shared" si="9"/>
        <v>0</v>
      </c>
      <c r="E57" s="61">
        <f t="shared" si="9"/>
        <v>0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0</v>
      </c>
      <c r="J57" s="61">
        <f t="shared" si="9"/>
        <v>0</v>
      </c>
      <c r="K57" s="61">
        <f t="shared" si="9"/>
        <v>0</v>
      </c>
      <c r="L57" s="61">
        <f t="shared" si="9"/>
        <v>0</v>
      </c>
      <c r="M57" s="61">
        <f t="shared" si="9"/>
        <v>61.730000000000004</v>
      </c>
      <c r="N57" s="61">
        <f>SUM(N6:N56)</f>
        <v>1296.69</v>
      </c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>82849874</v>
      </c>
      <c r="B60" s="9" t="str">
        <f>B6</f>
        <v>OLD DUTCH FOODS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  <c r="N60" s="13" t="s">
        <v>82</v>
      </c>
    </row>
    <row r="61" spans="1:15" ht="29.25" customHeight="1" x14ac:dyDescent="0.35">
      <c r="A61" s="70" t="str">
        <f t="shared" ref="A61:B76" si="10">A7</f>
        <v>82849875</v>
      </c>
      <c r="B61" s="9" t="str">
        <f t="shared" si="10"/>
        <v>OLD DUTCH FOODS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10"/>
        <v>95463140</v>
      </c>
      <c r="B62" s="9" t="str">
        <f t="shared" si="10"/>
        <v>FRITO LAY CANADA RETAIL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10"/>
        <v xml:space="preserve"> </v>
      </c>
      <c r="B63" s="9" t="str">
        <f t="shared" si="10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10"/>
        <v xml:space="preserve"> </v>
      </c>
      <c r="B64" s="9" t="str">
        <f t="shared" si="10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10"/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10"/>
        <v xml:space="preserve"> </v>
      </c>
      <c r="B66" s="9" t="str">
        <f t="shared" si="10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10"/>
        <v xml:space="preserve"> </v>
      </c>
      <c r="B67" s="9" t="str">
        <f t="shared" si="10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10"/>
        <v xml:space="preserve"> </v>
      </c>
      <c r="B68" s="9" t="str">
        <f t="shared" si="10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10"/>
        <v xml:space="preserve"> </v>
      </c>
      <c r="B69" s="9" t="str">
        <f t="shared" si="10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10"/>
        <v xml:space="preserve"> </v>
      </c>
      <c r="B70" s="9" t="str">
        <f t="shared" si="10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10"/>
        <v xml:space="preserve"> </v>
      </c>
      <c r="B71" s="9" t="str">
        <f t="shared" si="10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0"/>
        <v xml:space="preserve"> </v>
      </c>
      <c r="B72" s="9" t="str">
        <f t="shared" si="10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0"/>
        <v xml:space="preserve"> </v>
      </c>
      <c r="B73" s="9" t="str">
        <f t="shared" si="10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0"/>
        <v xml:space="preserve"> </v>
      </c>
      <c r="B74" s="9" t="str">
        <f t="shared" si="10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10"/>
        <v xml:space="preserve"> </v>
      </c>
      <c r="B75" s="9" t="str">
        <f t="shared" si="1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0"/>
        <v xml:space="preserve"> </v>
      </c>
      <c r="B76" s="9" t="str">
        <f t="shared" si="1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1">A23</f>
        <v xml:space="preserve"> </v>
      </c>
      <c r="B77" s="9" t="str">
        <f t="shared" si="11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1"/>
        <v xml:space="preserve"> </v>
      </c>
      <c r="B78" s="9" t="str">
        <f t="shared" si="11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1"/>
        <v xml:space="preserve"> </v>
      </c>
      <c r="B79" s="9" t="str">
        <f t="shared" si="11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1"/>
        <v xml:space="preserve"> </v>
      </c>
      <c r="B80" s="9" t="str">
        <f t="shared" si="11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1"/>
        <v xml:space="preserve"> </v>
      </c>
      <c r="B81" s="9" t="str">
        <f t="shared" si="11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1"/>
        <v xml:space="preserve"> </v>
      </c>
      <c r="B82" s="9" t="str">
        <f t="shared" si="1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1"/>
        <v xml:space="preserve"> </v>
      </c>
      <c r="B83" s="9" t="str">
        <f t="shared" si="11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1"/>
        <v xml:space="preserve"> </v>
      </c>
      <c r="B84" s="9" t="str">
        <f t="shared" si="1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1"/>
        <v xml:space="preserve"> </v>
      </c>
      <c r="B85" s="9" t="str">
        <f t="shared" si="11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1"/>
        <v xml:space="preserve"> </v>
      </c>
      <c r="B86" s="9" t="str">
        <f t="shared" si="11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1"/>
        <v xml:space="preserve"> </v>
      </c>
      <c r="B87" s="9" t="str">
        <f t="shared" si="11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1"/>
        <v xml:space="preserve"> </v>
      </c>
      <c r="B88" s="9" t="str">
        <f t="shared" si="11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1"/>
        <v xml:space="preserve"> </v>
      </c>
      <c r="B89" s="9" t="str">
        <f t="shared" si="11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1"/>
        <v xml:space="preserve"> </v>
      </c>
      <c r="B90" s="9" t="str">
        <f t="shared" si="11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1"/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2">A39</f>
        <v xml:space="preserve"> </v>
      </c>
      <c r="B93" s="9" t="str">
        <f t="shared" si="12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2"/>
        <v xml:space="preserve"> </v>
      </c>
      <c r="B94" s="9" t="str">
        <f t="shared" si="12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2"/>
        <v xml:space="preserve"> </v>
      </c>
      <c r="B95" s="9" t="str">
        <f t="shared" si="12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2"/>
        <v xml:space="preserve"> </v>
      </c>
      <c r="B96" s="9" t="str">
        <f t="shared" si="12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2"/>
        <v xml:space="preserve"> </v>
      </c>
      <c r="B97" s="9" t="str">
        <f t="shared" si="12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2"/>
        <v xml:space="preserve"> </v>
      </c>
      <c r="B98" s="9" t="str">
        <f t="shared" si="12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2"/>
        <v xml:space="preserve"> </v>
      </c>
      <c r="B99" s="9" t="str">
        <f t="shared" si="12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2"/>
        <v xml:space="preserve"> </v>
      </c>
      <c r="B100" s="9" t="str">
        <f t="shared" si="12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2"/>
        <v xml:space="preserve"> </v>
      </c>
      <c r="B101" s="9" t="str">
        <f t="shared" si="12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2"/>
        <v xml:space="preserve"> </v>
      </c>
      <c r="B102" s="9" t="str">
        <f t="shared" si="12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2"/>
        <v xml:space="preserve"> </v>
      </c>
      <c r="B103" s="9" t="str">
        <f t="shared" si="1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2"/>
        <v xml:space="preserve"> </v>
      </c>
      <c r="B104" s="9" t="str">
        <f t="shared" si="12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2"/>
        <v xml:space="preserve"> </v>
      </c>
      <c r="B105" s="9" t="str">
        <f t="shared" si="1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2"/>
        <v xml:space="preserve"> </v>
      </c>
      <c r="B106" s="9" t="str">
        <f t="shared" si="1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2"/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3">A55</f>
        <v xml:space="preserve"> </v>
      </c>
      <c r="B109" s="9" t="str">
        <f t="shared" si="13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4">SUM(E60:E109)</f>
        <v>0</v>
      </c>
      <c r="F110" s="53">
        <f t="shared" si="14"/>
        <v>0</v>
      </c>
      <c r="G110" s="53">
        <f t="shared" si="14"/>
        <v>0</v>
      </c>
      <c r="H110" s="53">
        <f t="shared" si="14"/>
        <v>0</v>
      </c>
      <c r="I110" s="53">
        <f t="shared" si="14"/>
        <v>0</v>
      </c>
      <c r="J110" s="54">
        <f t="shared" si="14"/>
        <v>0</v>
      </c>
      <c r="K110" s="49">
        <f t="shared" si="14"/>
        <v>0</v>
      </c>
      <c r="L110" s="11">
        <v>0</v>
      </c>
      <c r="M110" s="14"/>
    </row>
  </sheetData>
  <hyperlinks>
    <hyperlink ref="M1" location="'Receiving Totals'!A1" display="Receiving Totals" xr:uid="{9BD7C420-4615-48E1-AEC2-0465BBE4746A}"/>
  </hyperlinks>
  <pageMargins left="0.7" right="0.7" top="0.75" bottom="0.75" header="0.3" footer="0.3"/>
  <pageSetup scale="30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C12E-F64F-4CAF-935A-93AFE1BF3FCE}">
  <dimension ref="A1:O110"/>
  <sheetViews>
    <sheetView zoomScale="70" zoomScaleNormal="70" workbookViewId="0">
      <pane ySplit="5" topLeftCell="A6" activePane="bottomLeft" state="frozen"/>
      <selection activeCell="A12" sqref="A12"/>
      <selection pane="bottomLeft" activeCell="B8" sqref="B8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5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v>0</v>
      </c>
      <c r="G2" s="20">
        <v>0</v>
      </c>
      <c r="H2" s="20"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5" ht="33" customHeight="1" x14ac:dyDescent="0.5">
      <c r="A3" s="12"/>
      <c r="B3" s="65" t="s">
        <v>13</v>
      </c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5" ht="21" customHeight="1" thickBot="1" x14ac:dyDescent="0.4">
      <c r="A4" s="63" t="s">
        <v>14</v>
      </c>
      <c r="B4" s="64">
        <f>'Friday WK3 (20)'!$B$4+1</f>
        <v>46214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29.25" customHeight="1" x14ac:dyDescent="0.35">
      <c r="A6" s="1" t="s">
        <v>564</v>
      </c>
      <c r="B6" s="68" t="s">
        <v>29</v>
      </c>
      <c r="C6" s="15">
        <f t="shared" ref="C6:C7" si="1">N6-D6-E6-F6-G6-H6-I6-J6-K6-L6-M6-D60-E60-F60-G60-H60-I60-J60-K60-L60-C60</f>
        <v>237.21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>
        <v>237.21</v>
      </c>
    </row>
    <row r="7" spans="1:15" ht="29.25" customHeight="1" x14ac:dyDescent="0.35">
      <c r="A7" s="1" t="s">
        <v>565</v>
      </c>
      <c r="B7" s="68" t="s">
        <v>39</v>
      </c>
      <c r="C7" s="15">
        <f t="shared" si="1"/>
        <v>-1540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>
        <v>-1540</v>
      </c>
      <c r="O7" s="148" t="s">
        <v>566</v>
      </c>
    </row>
    <row r="8" spans="1:15" ht="29.25" customHeight="1" x14ac:dyDescent="0.35">
      <c r="A8" s="1" t="s">
        <v>82</v>
      </c>
      <c r="B8" s="68" t="s">
        <v>82</v>
      </c>
      <c r="C8" s="15">
        <f t="shared" ref="C8:C9" si="2">N8-D8-E8-F8-G8-H8-I8-J8-K8-L8-M8-D62-E62-F62-G62-H62-I62-J62-K62-L62-C62</f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5" ht="29.25" customHeight="1" x14ac:dyDescent="0.35">
      <c r="A9" s="1" t="s">
        <v>82</v>
      </c>
      <c r="B9" s="68" t="s">
        <v>82</v>
      </c>
      <c r="C9" s="15">
        <f t="shared" si="2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5" ht="29.25" customHeight="1" x14ac:dyDescent="0.35">
      <c r="A10" s="1" t="s">
        <v>82</v>
      </c>
      <c r="B10" s="68" t="s">
        <v>82</v>
      </c>
      <c r="C10" s="15">
        <f t="shared" ref="C10" si="3">N10-D10-E10-F10-G10-H10-I10-J10-K10-L10-M10-D64-E64-F64-G64-H64-I64-J64-K64-L64-C64</f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5" ht="29.25" customHeight="1" x14ac:dyDescent="0.35">
      <c r="A11" s="1" t="s">
        <v>82</v>
      </c>
      <c r="B11" s="68" t="s">
        <v>82</v>
      </c>
      <c r="C11" s="15">
        <f t="shared" ref="C11:C18" si="4">N11-D11-E11-F11-G11-H11-I11-J11-K11-L11-M11-D65-E65-F65-G65-H65-I65-J65-K65-L65-C65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5" ht="29.25" customHeight="1" x14ac:dyDescent="0.35">
      <c r="A12" s="1" t="s">
        <v>82</v>
      </c>
      <c r="B12" s="68" t="s">
        <v>82</v>
      </c>
      <c r="C12" s="15">
        <f t="shared" si="4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5" ht="29.25" customHeight="1" x14ac:dyDescent="0.35">
      <c r="A13" s="1" t="s">
        <v>82</v>
      </c>
      <c r="B13" s="68" t="s">
        <v>82</v>
      </c>
      <c r="C13" s="15">
        <f t="shared" si="4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5" ht="29.25" customHeight="1" x14ac:dyDescent="0.35">
      <c r="A14" s="1" t="s">
        <v>82</v>
      </c>
      <c r="B14" s="68" t="s">
        <v>82</v>
      </c>
      <c r="C14" s="15">
        <f t="shared" si="4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5" ht="29.25" customHeight="1" x14ac:dyDescent="0.35">
      <c r="A15" s="1" t="s">
        <v>82</v>
      </c>
      <c r="B15" s="68" t="s">
        <v>82</v>
      </c>
      <c r="C15" s="15">
        <f t="shared" si="4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5" ht="29.25" customHeight="1" x14ac:dyDescent="0.35">
      <c r="A16" s="1" t="s">
        <v>82</v>
      </c>
      <c r="B16" s="68" t="s">
        <v>82</v>
      </c>
      <c r="C16" s="15">
        <f t="shared" si="4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82</v>
      </c>
      <c r="B17" s="68" t="s">
        <v>82</v>
      </c>
      <c r="C17" s="15">
        <f t="shared" si="4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si="4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ref="C19:C33" si="5">N19-D19-E19-F19-G19-H19-I19-J19-K19-L19-M19-D73-E73-F73-G73-H73-I73-J73-K73-L73-C73</f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si="5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si="5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si="5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si="5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si="5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5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5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5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5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5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5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5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5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5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ref="C34:C55" si="6">N34-D34-E34-F34-G34-H34-I34-J34-K34-L34-M34-D88-E88-F88-G88-H88-I88-J88-K88-L88-C88</f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6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6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6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6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6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6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6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6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6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6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6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6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6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6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si="6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si="6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6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6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6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6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si="6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thickBot="1" x14ac:dyDescent="0.4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7">F3</f>
        <v>0</v>
      </c>
      <c r="G56" s="16">
        <f t="shared" si="7"/>
        <v>0</v>
      </c>
      <c r="H56" s="16">
        <f t="shared" si="7"/>
        <v>0</v>
      </c>
      <c r="I56" s="16">
        <f t="shared" si="7"/>
        <v>0</v>
      </c>
      <c r="J56" s="16">
        <f t="shared" si="7"/>
        <v>0</v>
      </c>
      <c r="K56" s="16">
        <f t="shared" si="7"/>
        <v>0</v>
      </c>
      <c r="L56" s="16">
        <f t="shared" si="7"/>
        <v>0</v>
      </c>
      <c r="M56" s="16"/>
      <c r="N56" s="60">
        <f>SUM(C56:M56)+SUM(C118:J118)</f>
        <v>0</v>
      </c>
      <c r="O56" s="148" t="s">
        <v>82</v>
      </c>
    </row>
    <row r="57" spans="1:15" ht="29.25" customHeight="1" thickBot="1" x14ac:dyDescent="0.45">
      <c r="A57" s="24" t="s">
        <v>84</v>
      </c>
      <c r="B57" s="10"/>
      <c r="C57" s="61">
        <f t="shared" ref="C57:M57" si="8">SUM(C6:C56)</f>
        <v>-1302.79</v>
      </c>
      <c r="D57" s="61">
        <f t="shared" si="8"/>
        <v>0</v>
      </c>
      <c r="E57" s="61">
        <f t="shared" si="8"/>
        <v>0</v>
      </c>
      <c r="F57" s="61">
        <f t="shared" si="8"/>
        <v>0</v>
      </c>
      <c r="G57" s="61">
        <f t="shared" si="8"/>
        <v>0</v>
      </c>
      <c r="H57" s="61">
        <f t="shared" si="8"/>
        <v>0</v>
      </c>
      <c r="I57" s="61">
        <f t="shared" si="8"/>
        <v>0</v>
      </c>
      <c r="J57" s="61">
        <f t="shared" si="8"/>
        <v>0</v>
      </c>
      <c r="K57" s="61">
        <f t="shared" si="8"/>
        <v>0</v>
      </c>
      <c r="L57" s="61">
        <f t="shared" si="8"/>
        <v>0</v>
      </c>
      <c r="M57" s="61">
        <f t="shared" si="8"/>
        <v>0</v>
      </c>
      <c r="N57" s="61">
        <f>SUM(N6:N56)</f>
        <v>-1302.79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>126800</v>
      </c>
      <c r="B60" s="9" t="str">
        <f>B6</f>
        <v>ITALIAN BAKERY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  <c r="O60" s="207" t="s">
        <v>567</v>
      </c>
    </row>
    <row r="61" spans="1:15" ht="29.25" customHeight="1" x14ac:dyDescent="0.35">
      <c r="A61" s="70" t="str">
        <f t="shared" ref="A61:B76" si="9">A7</f>
        <v>6018</v>
      </c>
      <c r="B61" s="9" t="str">
        <f t="shared" si="9"/>
        <v>THE GROCERY PEOPLE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  <c r="O61" s="207" t="s">
        <v>568</v>
      </c>
    </row>
    <row r="62" spans="1:15" ht="29.25" customHeight="1" x14ac:dyDescent="0.35">
      <c r="A62" s="70" t="str">
        <f t="shared" si="9"/>
        <v xml:space="preserve"> </v>
      </c>
      <c r="B62" s="9" t="str">
        <f t="shared" si="9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  <c r="O62" s="207" t="s">
        <v>569</v>
      </c>
    </row>
    <row r="63" spans="1:15" ht="29.25" customHeight="1" x14ac:dyDescent="0.35">
      <c r="A63" s="70" t="str">
        <f t="shared" si="9"/>
        <v xml:space="preserve"> </v>
      </c>
      <c r="B63" s="9" t="str">
        <f t="shared" si="9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  <c r="O63" s="207"/>
    </row>
    <row r="64" spans="1:15" ht="29.25" customHeight="1" x14ac:dyDescent="0.35">
      <c r="A64" s="70" t="str">
        <f t="shared" si="9"/>
        <v xml:space="preserve"> </v>
      </c>
      <c r="B64" s="9" t="str">
        <f t="shared" si="9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  <c r="O64" s="207"/>
    </row>
    <row r="65" spans="1:15" ht="29.25" customHeight="1" x14ac:dyDescent="0.35">
      <c r="A65" s="70" t="str">
        <f t="shared" si="9"/>
        <v xml:space="preserve"> </v>
      </c>
      <c r="B65" s="9" t="str">
        <f t="shared" si="9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  <c r="O65" s="207"/>
    </row>
    <row r="66" spans="1:15" ht="29.25" customHeight="1" x14ac:dyDescent="0.35">
      <c r="A66" s="70" t="str">
        <f t="shared" si="9"/>
        <v xml:space="preserve"> </v>
      </c>
      <c r="B66" s="9" t="str">
        <f t="shared" si="9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  <c r="O66" s="207"/>
    </row>
    <row r="67" spans="1:15" ht="29.25" customHeight="1" x14ac:dyDescent="0.35">
      <c r="A67" s="70" t="str">
        <f t="shared" si="9"/>
        <v xml:space="preserve"> </v>
      </c>
      <c r="B67" s="9" t="str">
        <f t="shared" si="9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  <c r="O67" s="207"/>
    </row>
    <row r="68" spans="1:15" ht="29.25" customHeight="1" x14ac:dyDescent="0.35">
      <c r="A68" s="70" t="str">
        <f t="shared" si="9"/>
        <v xml:space="preserve"> </v>
      </c>
      <c r="B68" s="9" t="str">
        <f t="shared" si="9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  <c r="O68" s="207"/>
    </row>
    <row r="69" spans="1:15" ht="29.25" customHeight="1" x14ac:dyDescent="0.35">
      <c r="A69" s="70" t="str">
        <f t="shared" si="9"/>
        <v xml:space="preserve"> </v>
      </c>
      <c r="B69" s="9" t="str">
        <f t="shared" si="9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  <c r="O69" s="207"/>
    </row>
    <row r="70" spans="1:15" ht="29.25" customHeight="1" x14ac:dyDescent="0.35">
      <c r="A70" s="70" t="str">
        <f t="shared" si="9"/>
        <v xml:space="preserve"> </v>
      </c>
      <c r="B70" s="9" t="str">
        <f t="shared" si="9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  <c r="O70" s="207"/>
    </row>
    <row r="71" spans="1:15" ht="29.25" customHeight="1" x14ac:dyDescent="0.35">
      <c r="A71" s="70" t="str">
        <f t="shared" si="9"/>
        <v xml:space="preserve"> </v>
      </c>
      <c r="B71" s="9" t="str">
        <f t="shared" si="9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  <c r="O71" s="207"/>
    </row>
    <row r="72" spans="1:15" ht="29.25" customHeight="1" x14ac:dyDescent="0.35">
      <c r="A72" s="70" t="str">
        <f t="shared" si="9"/>
        <v xml:space="preserve"> </v>
      </c>
      <c r="B72" s="9" t="str">
        <f t="shared" si="9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  <c r="O72" s="207"/>
    </row>
    <row r="73" spans="1:15" ht="29.25" customHeight="1" x14ac:dyDescent="0.35">
      <c r="A73" s="70" t="str">
        <f t="shared" si="9"/>
        <v xml:space="preserve"> </v>
      </c>
      <c r="B73" s="9" t="str">
        <f t="shared" si="9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  <c r="O73" s="207"/>
    </row>
    <row r="74" spans="1:15" ht="29.25" customHeight="1" x14ac:dyDescent="0.35">
      <c r="A74" s="70" t="str">
        <f t="shared" si="9"/>
        <v xml:space="preserve"> </v>
      </c>
      <c r="B74" s="9" t="str">
        <f t="shared" si="9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  <c r="O74" s="207"/>
    </row>
    <row r="75" spans="1:15" ht="29.25" customHeight="1" x14ac:dyDescent="0.35">
      <c r="A75" s="70" t="str">
        <f t="shared" si="9"/>
        <v xml:space="preserve"> </v>
      </c>
      <c r="B75" s="9" t="str">
        <f t="shared" si="9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  <c r="O75" s="207"/>
    </row>
    <row r="76" spans="1:15" ht="29.25" customHeight="1" x14ac:dyDescent="0.35">
      <c r="A76" s="70" t="str">
        <f t="shared" si="9"/>
        <v xml:space="preserve"> </v>
      </c>
      <c r="B76" s="9" t="str">
        <f t="shared" si="9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  <c r="O76" s="207"/>
    </row>
    <row r="77" spans="1:15" ht="29.25" customHeight="1" x14ac:dyDescent="0.35">
      <c r="A77" s="70" t="str">
        <f t="shared" ref="A77:B92" si="10">A23</f>
        <v xml:space="preserve"> </v>
      </c>
      <c r="B77" s="9" t="str">
        <f t="shared" si="10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  <c r="O77" s="207"/>
    </row>
    <row r="78" spans="1:15" ht="29.25" customHeight="1" x14ac:dyDescent="0.35">
      <c r="A78" s="70" t="str">
        <f t="shared" si="10"/>
        <v xml:space="preserve"> </v>
      </c>
      <c r="B78" s="9" t="str">
        <f t="shared" si="10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  <c r="O78" s="207"/>
    </row>
    <row r="79" spans="1:15" ht="29.25" customHeight="1" x14ac:dyDescent="0.35">
      <c r="A79" s="70" t="str">
        <f t="shared" si="10"/>
        <v xml:space="preserve"> </v>
      </c>
      <c r="B79" s="9" t="str">
        <f t="shared" si="10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  <c r="O79" s="207"/>
    </row>
    <row r="80" spans="1:15" ht="29.25" customHeight="1" x14ac:dyDescent="0.35">
      <c r="A80" s="70" t="str">
        <f t="shared" si="10"/>
        <v xml:space="preserve"> </v>
      </c>
      <c r="B80" s="9" t="str">
        <f t="shared" si="10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  <c r="O80" s="207"/>
    </row>
    <row r="81" spans="1:15" ht="29.25" customHeight="1" x14ac:dyDescent="0.35">
      <c r="A81" s="70" t="str">
        <f t="shared" si="10"/>
        <v xml:space="preserve"> </v>
      </c>
      <c r="B81" s="9" t="str">
        <f t="shared" si="10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  <c r="O81" s="207"/>
    </row>
    <row r="82" spans="1:15" ht="29.25" customHeight="1" x14ac:dyDescent="0.35">
      <c r="A82" s="70" t="str">
        <f t="shared" si="10"/>
        <v xml:space="preserve"> </v>
      </c>
      <c r="B82" s="9" t="str">
        <f t="shared" si="10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  <c r="O82" s="207"/>
    </row>
    <row r="83" spans="1:15" ht="29.25" customHeight="1" x14ac:dyDescent="0.35">
      <c r="A83" s="70" t="str">
        <f t="shared" si="10"/>
        <v xml:space="preserve"> </v>
      </c>
      <c r="B83" s="9" t="str">
        <f t="shared" si="10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  <c r="O83" s="207"/>
    </row>
    <row r="84" spans="1:15" ht="29.25" customHeight="1" x14ac:dyDescent="0.35">
      <c r="A84" s="70" t="str">
        <f t="shared" si="10"/>
        <v xml:space="preserve"> </v>
      </c>
      <c r="B84" s="9" t="str">
        <f t="shared" si="10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  <c r="O84" s="207"/>
    </row>
    <row r="85" spans="1:15" ht="29.25" customHeight="1" x14ac:dyDescent="0.35">
      <c r="A85" s="70" t="str">
        <f t="shared" si="10"/>
        <v xml:space="preserve"> </v>
      </c>
      <c r="B85" s="9" t="str">
        <f t="shared" si="10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  <c r="O85" s="207"/>
    </row>
    <row r="86" spans="1:15" ht="29.25" customHeight="1" x14ac:dyDescent="0.35">
      <c r="A86" s="70" t="str">
        <f t="shared" si="10"/>
        <v xml:space="preserve"> </v>
      </c>
      <c r="B86" s="9" t="str">
        <f t="shared" si="10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  <c r="O86" s="207"/>
    </row>
    <row r="87" spans="1:15" ht="29.25" customHeight="1" x14ac:dyDescent="0.35">
      <c r="A87" s="70" t="str">
        <f t="shared" si="10"/>
        <v xml:space="preserve"> </v>
      </c>
      <c r="B87" s="9" t="str">
        <f t="shared" si="10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  <c r="O87" s="207"/>
    </row>
    <row r="88" spans="1:15" ht="29.25" customHeight="1" x14ac:dyDescent="0.35">
      <c r="A88" s="70" t="str">
        <f t="shared" si="10"/>
        <v xml:space="preserve"> </v>
      </c>
      <c r="B88" s="9" t="str">
        <f t="shared" si="10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  <c r="O88" s="207"/>
    </row>
    <row r="89" spans="1:15" ht="29.25" customHeight="1" x14ac:dyDescent="0.35">
      <c r="A89" s="70" t="str">
        <f t="shared" si="10"/>
        <v xml:space="preserve"> </v>
      </c>
      <c r="B89" s="9" t="str">
        <f t="shared" si="10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  <c r="O89" s="207"/>
    </row>
    <row r="90" spans="1:15" ht="29.25" customHeight="1" x14ac:dyDescent="0.35">
      <c r="A90" s="70" t="str">
        <f t="shared" si="10"/>
        <v xml:space="preserve"> </v>
      </c>
      <c r="B90" s="9" t="str">
        <f t="shared" si="10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  <c r="O90" s="207"/>
    </row>
    <row r="91" spans="1:15" ht="29.25" customHeight="1" x14ac:dyDescent="0.35">
      <c r="A91" s="70" t="str">
        <f t="shared" si="10"/>
        <v xml:space="preserve"> </v>
      </c>
      <c r="B91" s="9" t="str">
        <f t="shared" si="10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  <c r="O91" s="207"/>
    </row>
    <row r="92" spans="1:15" ht="29.25" customHeight="1" x14ac:dyDescent="0.35">
      <c r="A92" s="70" t="str">
        <f t="shared" si="10"/>
        <v xml:space="preserve"> </v>
      </c>
      <c r="B92" s="9" t="str">
        <f t="shared" si="10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  <c r="O92" s="207"/>
    </row>
    <row r="93" spans="1:15" ht="29.25" customHeight="1" x14ac:dyDescent="0.35">
      <c r="A93" s="70" t="str">
        <f t="shared" ref="A93:B108" si="11">A39</f>
        <v xml:space="preserve"> </v>
      </c>
      <c r="B93" s="9" t="str">
        <f t="shared" si="11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  <c r="O93" s="207"/>
    </row>
    <row r="94" spans="1:15" ht="29.25" customHeight="1" x14ac:dyDescent="0.35">
      <c r="A94" s="70" t="str">
        <f t="shared" si="11"/>
        <v xml:space="preserve"> </v>
      </c>
      <c r="B94" s="9" t="str">
        <f t="shared" si="11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  <c r="O94" s="207"/>
    </row>
    <row r="95" spans="1:15" ht="29.25" customHeight="1" x14ac:dyDescent="0.35">
      <c r="A95" s="70" t="str">
        <f t="shared" si="11"/>
        <v xml:space="preserve"> </v>
      </c>
      <c r="B95" s="9" t="str">
        <f t="shared" si="11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  <c r="O95" s="207"/>
    </row>
    <row r="96" spans="1:15" ht="29.25" customHeight="1" x14ac:dyDescent="0.35">
      <c r="A96" s="70" t="str">
        <f t="shared" si="11"/>
        <v xml:space="preserve"> </v>
      </c>
      <c r="B96" s="9" t="str">
        <f t="shared" si="11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  <c r="O96" s="207"/>
    </row>
    <row r="97" spans="1:15" ht="29.25" customHeight="1" x14ac:dyDescent="0.35">
      <c r="A97" s="70" t="str">
        <f t="shared" si="11"/>
        <v xml:space="preserve"> </v>
      </c>
      <c r="B97" s="9" t="str">
        <f t="shared" si="11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  <c r="O97" s="207"/>
    </row>
    <row r="98" spans="1:15" ht="29.25" customHeight="1" x14ac:dyDescent="0.35">
      <c r="A98" s="70" t="str">
        <f t="shared" si="11"/>
        <v xml:space="preserve"> </v>
      </c>
      <c r="B98" s="9" t="str">
        <f t="shared" si="11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  <c r="O98" s="207"/>
    </row>
    <row r="99" spans="1:15" ht="29.25" customHeight="1" x14ac:dyDescent="0.35">
      <c r="A99" s="70" t="str">
        <f t="shared" si="11"/>
        <v xml:space="preserve"> </v>
      </c>
      <c r="B99" s="9" t="str">
        <f t="shared" si="11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  <c r="O99" s="207"/>
    </row>
    <row r="100" spans="1:15" ht="29.25" customHeight="1" x14ac:dyDescent="0.35">
      <c r="A100" s="70" t="str">
        <f t="shared" si="11"/>
        <v xml:space="preserve"> </v>
      </c>
      <c r="B100" s="9" t="str">
        <f t="shared" si="11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  <c r="O100" s="207"/>
    </row>
    <row r="101" spans="1:15" ht="29.25" customHeight="1" x14ac:dyDescent="0.35">
      <c r="A101" s="70" t="str">
        <f t="shared" si="11"/>
        <v xml:space="preserve"> </v>
      </c>
      <c r="B101" s="9" t="str">
        <f t="shared" si="11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  <c r="O101" s="207"/>
    </row>
    <row r="102" spans="1:15" ht="29.25" customHeight="1" x14ac:dyDescent="0.35">
      <c r="A102" s="70" t="str">
        <f t="shared" si="11"/>
        <v xml:space="preserve"> </v>
      </c>
      <c r="B102" s="9" t="str">
        <f t="shared" si="11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  <c r="O102" s="207"/>
    </row>
    <row r="103" spans="1:15" ht="29.25" customHeight="1" x14ac:dyDescent="0.35">
      <c r="A103" s="70" t="str">
        <f t="shared" si="11"/>
        <v xml:space="preserve"> </v>
      </c>
      <c r="B103" s="9" t="str">
        <f t="shared" si="11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  <c r="O103" s="207"/>
    </row>
    <row r="104" spans="1:15" ht="29.25" customHeight="1" x14ac:dyDescent="0.35">
      <c r="A104" s="70" t="str">
        <f t="shared" si="11"/>
        <v xml:space="preserve"> </v>
      </c>
      <c r="B104" s="9" t="str">
        <f t="shared" si="11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  <c r="O104" s="207"/>
    </row>
    <row r="105" spans="1:15" ht="29.25" customHeight="1" x14ac:dyDescent="0.35">
      <c r="A105" s="70" t="str">
        <f t="shared" si="11"/>
        <v xml:space="preserve"> </v>
      </c>
      <c r="B105" s="9" t="str">
        <f t="shared" si="11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  <c r="O105" s="207"/>
    </row>
    <row r="106" spans="1:15" ht="29.25" customHeight="1" x14ac:dyDescent="0.35">
      <c r="A106" s="70" t="str">
        <f t="shared" si="11"/>
        <v xml:space="preserve"> </v>
      </c>
      <c r="B106" s="9" t="str">
        <f t="shared" si="11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  <c r="O106" s="207"/>
    </row>
    <row r="107" spans="1:15" ht="29.25" customHeight="1" x14ac:dyDescent="0.35">
      <c r="A107" s="70" t="str">
        <f t="shared" si="11"/>
        <v xml:space="preserve"> </v>
      </c>
      <c r="B107" s="9" t="str">
        <f t="shared" si="11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  <c r="O107" s="207"/>
    </row>
    <row r="108" spans="1:15" ht="29.25" customHeight="1" x14ac:dyDescent="0.35">
      <c r="A108" s="70" t="str">
        <f t="shared" si="11"/>
        <v xml:space="preserve"> </v>
      </c>
      <c r="B108" s="9" t="str">
        <f t="shared" si="11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  <c r="O108" s="207"/>
    </row>
    <row r="109" spans="1:15" ht="29.25" customHeight="1" x14ac:dyDescent="0.35">
      <c r="A109" s="70" t="str">
        <f t="shared" ref="A109:B109" si="12">A55</f>
        <v xml:space="preserve"> </v>
      </c>
      <c r="B109" s="9" t="str">
        <f t="shared" si="12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  <c r="O109" s="207"/>
    </row>
    <row r="110" spans="1:15" ht="29.25" customHeight="1" thickBot="1" x14ac:dyDescent="0.45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3">SUM(E60:E109)</f>
        <v>0</v>
      </c>
      <c r="F110" s="53">
        <f t="shared" si="13"/>
        <v>0</v>
      </c>
      <c r="G110" s="53">
        <f t="shared" si="13"/>
        <v>0</v>
      </c>
      <c r="H110" s="53">
        <f t="shared" si="13"/>
        <v>0</v>
      </c>
      <c r="I110" s="53">
        <f t="shared" si="13"/>
        <v>0</v>
      </c>
      <c r="J110" s="54">
        <f t="shared" si="13"/>
        <v>0</v>
      </c>
      <c r="K110" s="49">
        <f t="shared" si="13"/>
        <v>0</v>
      </c>
      <c r="L110" s="11">
        <v>0</v>
      </c>
      <c r="M110" s="14"/>
    </row>
  </sheetData>
  <hyperlinks>
    <hyperlink ref="M1" location="'Receiving Totals'!A1" display="Receiving Totals" xr:uid="{8CC8194F-864D-4C83-AC74-7E0F5C3D1032}"/>
  </hyperlinks>
  <pageMargins left="0.25" right="0.25" top="0.75" bottom="0.75" header="0.3" footer="0.3"/>
  <pageSetup scale="30" fitToWidth="0" fitToHeight="0" orientation="landscape" verticalDpi="1200" r:id="rId1"/>
  <rowBreaks count="1" manualBreakCount="1">
    <brk id="57" max="14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1575-A0AF-48D9-BDF2-C295B89A72B4}">
  <dimension ref="A1:O110"/>
  <sheetViews>
    <sheetView zoomScale="70" zoomScaleNormal="70" workbookViewId="0">
      <pane ySplit="5" topLeftCell="A28" activePane="bottomLeft" state="frozen"/>
      <selection activeCell="A12" sqref="A12"/>
      <selection pane="bottomLeft" activeCell="A29" sqref="A29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5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v>0</v>
      </c>
      <c r="G2" s="20">
        <v>0</v>
      </c>
      <c r="H2" s="20"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5" ht="33" customHeight="1" x14ac:dyDescent="0.5">
      <c r="A3" s="12"/>
      <c r="B3" s="65" t="s">
        <v>13</v>
      </c>
      <c r="C3" s="22">
        <f>C2*$N$3</f>
        <v>159.10230000000001</v>
      </c>
      <c r="D3" s="22"/>
      <c r="E3" s="22">
        <f t="shared" ref="E3:L3" si="0">E2*$N$3</f>
        <v>32.952150000000003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52.923150000000007</v>
      </c>
      <c r="J3" s="22">
        <f t="shared" si="0"/>
        <v>40.607700000000001</v>
      </c>
      <c r="K3" s="22">
        <f t="shared" si="0"/>
        <v>47.264699999999998</v>
      </c>
      <c r="L3" s="22">
        <f t="shared" si="0"/>
        <v>0</v>
      </c>
      <c r="M3" s="22"/>
      <c r="N3" s="23">
        <v>332.85</v>
      </c>
    </row>
    <row r="4" spans="1:15" ht="21" customHeight="1" thickBot="1" x14ac:dyDescent="0.4">
      <c r="A4" s="63" t="s">
        <v>14</v>
      </c>
      <c r="B4" s="64">
        <f>'Saturday WK3 (21)'!B4+1</f>
        <v>46215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29.25" customHeight="1" x14ac:dyDescent="0.35">
      <c r="A6" s="1" t="s">
        <v>570</v>
      </c>
      <c r="B6" s="68" t="s">
        <v>33</v>
      </c>
      <c r="C6" s="15">
        <f t="shared" ref="C6:C54" si="1">N6-D6-E6-F6-G6-H6-I6-J6-K6-L6-M6-D60-E60-F60-G60-H60-I60-J60-K60-L60-C60</f>
        <v>-3.5527136788005009E-14</v>
      </c>
      <c r="D6" s="15"/>
      <c r="E6" s="15"/>
      <c r="F6" s="15"/>
      <c r="G6" s="15"/>
      <c r="H6" s="15"/>
      <c r="I6" s="15">
        <v>578.20000000000005</v>
      </c>
      <c r="J6" s="15"/>
      <c r="K6" s="15"/>
      <c r="L6" s="15"/>
      <c r="M6" s="15">
        <v>18.29</v>
      </c>
      <c r="N6" s="55">
        <v>596.49</v>
      </c>
    </row>
    <row r="7" spans="1:15" ht="29.25" customHeight="1" x14ac:dyDescent="0.35">
      <c r="A7" s="1" t="s">
        <v>571</v>
      </c>
      <c r="B7" s="68" t="s">
        <v>31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>
        <v>81.290000000000006</v>
      </c>
      <c r="L7" s="15"/>
      <c r="M7" s="15"/>
      <c r="N7" s="55">
        <v>81.290000000000006</v>
      </c>
    </row>
    <row r="8" spans="1:15" ht="29.25" customHeight="1" x14ac:dyDescent="0.35">
      <c r="A8" s="1" t="s">
        <v>572</v>
      </c>
      <c r="B8" s="68" t="s">
        <v>31</v>
      </c>
      <c r="C8" s="15">
        <f t="shared" si="1"/>
        <v>3.6415315207705135E-14</v>
      </c>
      <c r="D8" s="15"/>
      <c r="E8" s="15"/>
      <c r="F8" s="15"/>
      <c r="G8" s="15"/>
      <c r="H8" s="15"/>
      <c r="I8" s="15"/>
      <c r="J8" s="15"/>
      <c r="K8" s="15">
        <v>3368.81</v>
      </c>
      <c r="L8" s="15"/>
      <c r="M8" s="15">
        <v>0.71</v>
      </c>
      <c r="N8" s="55">
        <v>3369.52</v>
      </c>
    </row>
    <row r="9" spans="1:15" ht="29.25" customHeight="1" x14ac:dyDescent="0.35">
      <c r="A9" s="1" t="s">
        <v>573</v>
      </c>
      <c r="B9" s="68" t="s">
        <v>191</v>
      </c>
      <c r="C9" s="15">
        <f t="shared" si="1"/>
        <v>0</v>
      </c>
      <c r="D9" s="15"/>
      <c r="E9" s="15">
        <v>80.3</v>
      </c>
      <c r="F9" s="15"/>
      <c r="G9" s="15"/>
      <c r="H9" s="15"/>
      <c r="I9" s="15"/>
      <c r="J9" s="15"/>
      <c r="K9" s="15"/>
      <c r="L9" s="15"/>
      <c r="M9" s="15"/>
      <c r="N9" s="55">
        <v>80.3</v>
      </c>
    </row>
    <row r="10" spans="1:15" ht="29.25" customHeight="1" x14ac:dyDescent="0.35">
      <c r="A10" s="1" t="s">
        <v>574</v>
      </c>
      <c r="B10" s="68" t="s">
        <v>191</v>
      </c>
      <c r="C10" s="15">
        <f t="shared" si="1"/>
        <v>0</v>
      </c>
      <c r="D10" s="15"/>
      <c r="E10" s="15">
        <v>1108.6600000000001</v>
      </c>
      <c r="F10" s="15"/>
      <c r="G10" s="15"/>
      <c r="H10" s="15"/>
      <c r="I10" s="15"/>
      <c r="J10" s="15"/>
      <c r="K10" s="15"/>
      <c r="L10" s="15"/>
      <c r="M10" s="15"/>
      <c r="N10" s="55">
        <v>1108.6600000000001</v>
      </c>
    </row>
    <row r="11" spans="1:15" ht="29.25" customHeight="1" x14ac:dyDescent="0.35">
      <c r="A11" s="1" t="s">
        <v>575</v>
      </c>
      <c r="B11" s="68" t="s">
        <v>37</v>
      </c>
      <c r="C11" s="15">
        <f t="shared" si="1"/>
        <v>0</v>
      </c>
      <c r="D11" s="15"/>
      <c r="E11" s="15">
        <v>23.51</v>
      </c>
      <c r="F11" s="15"/>
      <c r="G11" s="15"/>
      <c r="H11" s="15"/>
      <c r="I11" s="15"/>
      <c r="J11" s="15"/>
      <c r="K11" s="15"/>
      <c r="L11" s="15"/>
      <c r="M11" s="15"/>
      <c r="N11" s="55">
        <v>23.51</v>
      </c>
    </row>
    <row r="12" spans="1:15" ht="29.25" customHeight="1" x14ac:dyDescent="0.35">
      <c r="A12" s="1" t="s">
        <v>576</v>
      </c>
      <c r="B12" s="68" t="s">
        <v>37</v>
      </c>
      <c r="C12" s="15">
        <f t="shared" si="1"/>
        <v>0</v>
      </c>
      <c r="D12" s="15"/>
      <c r="E12" s="15">
        <v>23.51</v>
      </c>
      <c r="F12" s="15"/>
      <c r="G12" s="15"/>
      <c r="H12" s="15"/>
      <c r="I12" s="15"/>
      <c r="J12" s="15"/>
      <c r="K12" s="15"/>
      <c r="L12" s="15"/>
      <c r="M12" s="15"/>
      <c r="N12" s="55">
        <v>23.51</v>
      </c>
    </row>
    <row r="13" spans="1:15" ht="29.25" customHeight="1" x14ac:dyDescent="0.35">
      <c r="A13" s="1" t="s">
        <v>577</v>
      </c>
      <c r="B13" s="68" t="s">
        <v>37</v>
      </c>
      <c r="C13" s="15">
        <f t="shared" si="1"/>
        <v>0</v>
      </c>
      <c r="D13" s="15"/>
      <c r="E13" s="15">
        <v>172.31</v>
      </c>
      <c r="F13" s="15"/>
      <c r="G13" s="15"/>
      <c r="H13" s="15"/>
      <c r="I13" s="15"/>
      <c r="J13" s="15"/>
      <c r="K13" s="15"/>
      <c r="L13" s="15"/>
      <c r="M13" s="15"/>
      <c r="N13" s="55">
        <v>172.31</v>
      </c>
    </row>
    <row r="14" spans="1:15" ht="29.25" customHeight="1" x14ac:dyDescent="0.35">
      <c r="A14" s="1" t="s">
        <v>578</v>
      </c>
      <c r="B14" s="68" t="s">
        <v>39</v>
      </c>
      <c r="C14" s="15">
        <f t="shared" si="1"/>
        <v>9.98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>
        <v>9.98</v>
      </c>
    </row>
    <row r="15" spans="1:15" ht="29.25" customHeight="1" x14ac:dyDescent="0.35">
      <c r="A15" s="1" t="s">
        <v>579</v>
      </c>
      <c r="B15" s="68" t="s">
        <v>39</v>
      </c>
      <c r="C15" s="15">
        <f t="shared" si="1"/>
        <v>291.28999999999996</v>
      </c>
      <c r="D15" s="15"/>
      <c r="E15" s="15">
        <v>2524.6</v>
      </c>
      <c r="F15" s="15"/>
      <c r="G15" s="15"/>
      <c r="H15" s="15"/>
      <c r="I15" s="15"/>
      <c r="J15" s="15"/>
      <c r="K15" s="15"/>
      <c r="L15" s="15"/>
      <c r="M15" s="15"/>
      <c r="N15" s="55">
        <v>2815.89</v>
      </c>
    </row>
    <row r="16" spans="1:15" ht="29.25" customHeight="1" x14ac:dyDescent="0.35">
      <c r="A16" s="1" t="s">
        <v>580</v>
      </c>
      <c r="B16" s="68" t="s">
        <v>39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>
        <v>308.3</v>
      </c>
      <c r="O16" s="148" t="s">
        <v>581</v>
      </c>
    </row>
    <row r="17" spans="1:14" ht="29.25" customHeight="1" x14ac:dyDescent="0.35">
      <c r="A17" s="1" t="s">
        <v>582</v>
      </c>
      <c r="B17" s="68" t="s">
        <v>39</v>
      </c>
      <c r="C17" s="15">
        <f t="shared" si="1"/>
        <v>1472.6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>
        <v>1472.6</v>
      </c>
    </row>
    <row r="18" spans="1:14" ht="29.25" customHeight="1" x14ac:dyDescent="0.35">
      <c r="A18" s="1" t="s">
        <v>583</v>
      </c>
      <c r="B18" s="68" t="s">
        <v>39</v>
      </c>
      <c r="C18" s="15">
        <f t="shared" si="1"/>
        <v>5100.53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>
        <v>5100.53</v>
      </c>
    </row>
    <row r="19" spans="1:14" ht="29.25" customHeight="1" x14ac:dyDescent="0.35">
      <c r="A19" s="1" t="s">
        <v>584</v>
      </c>
      <c r="B19" s="68" t="s">
        <v>39</v>
      </c>
      <c r="C19" s="15">
        <f t="shared" si="1"/>
        <v>191.6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>
        <v>191.6</v>
      </c>
    </row>
    <row r="20" spans="1:14" ht="29.25" customHeight="1" x14ac:dyDescent="0.35">
      <c r="A20" s="1" t="s">
        <v>585</v>
      </c>
      <c r="B20" s="68" t="s">
        <v>39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>
        <v>411.39</v>
      </c>
      <c r="L20" s="15"/>
      <c r="M20" s="15"/>
      <c r="N20" s="55">
        <v>411.39</v>
      </c>
    </row>
    <row r="21" spans="1:14" ht="29.25" customHeight="1" x14ac:dyDescent="0.35">
      <c r="A21" s="1" t="s">
        <v>586</v>
      </c>
      <c r="B21" s="68" t="s">
        <v>39</v>
      </c>
      <c r="C21" s="15">
        <f t="shared" si="1"/>
        <v>4114.3999999999996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>
        <v>4114.3999999999996</v>
      </c>
    </row>
    <row r="22" spans="1:14" ht="29.25" customHeight="1" x14ac:dyDescent="0.35">
      <c r="A22" s="1" t="s">
        <v>587</v>
      </c>
      <c r="B22" s="68" t="s">
        <v>39</v>
      </c>
      <c r="C22" s="15">
        <f t="shared" si="1"/>
        <v>5646.79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>
        <v>5646.79</v>
      </c>
    </row>
    <row r="23" spans="1:14" ht="29.25" customHeight="1" x14ac:dyDescent="0.35">
      <c r="A23" s="1" t="s">
        <v>588</v>
      </c>
      <c r="B23" s="68" t="s">
        <v>39</v>
      </c>
      <c r="C23" s="15">
        <f t="shared" si="1"/>
        <v>98.700000000000273</v>
      </c>
      <c r="D23" s="15"/>
      <c r="E23" s="15"/>
      <c r="F23" s="15"/>
      <c r="G23" s="15"/>
      <c r="H23" s="15"/>
      <c r="I23" s="15"/>
      <c r="J23" s="15"/>
      <c r="K23" s="15">
        <v>3048.91</v>
      </c>
      <c r="L23" s="15"/>
      <c r="M23" s="15"/>
      <c r="N23" s="55">
        <v>3147.61</v>
      </c>
    </row>
    <row r="24" spans="1:14" ht="29.25" customHeight="1" x14ac:dyDescent="0.35">
      <c r="A24" s="1" t="s">
        <v>589</v>
      </c>
      <c r="B24" s="68" t="s">
        <v>39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>
        <v>116.87</v>
      </c>
      <c r="L24" s="15"/>
      <c r="M24" s="15"/>
      <c r="N24" s="55">
        <v>116.87</v>
      </c>
    </row>
    <row r="25" spans="1:14" ht="29.25" customHeight="1" x14ac:dyDescent="0.35">
      <c r="A25" s="1" t="s">
        <v>590</v>
      </c>
      <c r="B25" s="68" t="s">
        <v>39</v>
      </c>
      <c r="C25" s="15">
        <f t="shared" si="1"/>
        <v>0</v>
      </c>
      <c r="D25" s="15"/>
      <c r="E25" s="15">
        <v>835.03</v>
      </c>
      <c r="F25" s="15"/>
      <c r="G25" s="15"/>
      <c r="H25" s="15"/>
      <c r="I25" s="15"/>
      <c r="J25" s="15"/>
      <c r="K25" s="15"/>
      <c r="L25" s="15"/>
      <c r="M25" s="15"/>
      <c r="N25" s="55">
        <v>835.03</v>
      </c>
    </row>
    <row r="26" spans="1:14" ht="29.25" customHeight="1" x14ac:dyDescent="0.35">
      <c r="A26" s="1" t="s">
        <v>591</v>
      </c>
      <c r="B26" s="68" t="s">
        <v>39</v>
      </c>
      <c r="C26" s="15">
        <f t="shared" si="1"/>
        <v>0</v>
      </c>
      <c r="D26" s="15"/>
      <c r="E26" s="15">
        <v>1636.37</v>
      </c>
      <c r="F26" s="15"/>
      <c r="G26" s="15"/>
      <c r="H26" s="15"/>
      <c r="I26" s="15"/>
      <c r="J26" s="15"/>
      <c r="K26" s="15"/>
      <c r="L26" s="15"/>
      <c r="M26" s="15"/>
      <c r="N26" s="55">
        <v>1636.37</v>
      </c>
    </row>
    <row r="27" spans="1:14" ht="29.25" customHeight="1" x14ac:dyDescent="0.35">
      <c r="A27" s="1" t="s">
        <v>592</v>
      </c>
      <c r="B27" s="68" t="s">
        <v>39</v>
      </c>
      <c r="C27" s="15">
        <f t="shared" si="1"/>
        <v>0</v>
      </c>
      <c r="D27" s="15"/>
      <c r="E27" s="15">
        <v>94.45</v>
      </c>
      <c r="F27" s="15"/>
      <c r="G27" s="15"/>
      <c r="H27" s="15"/>
      <c r="I27" s="15"/>
      <c r="J27" s="15"/>
      <c r="K27" s="15"/>
      <c r="L27" s="15"/>
      <c r="M27" s="15"/>
      <c r="N27" s="55">
        <v>94.45</v>
      </c>
    </row>
    <row r="28" spans="1:14" ht="29.25" customHeight="1" x14ac:dyDescent="0.35">
      <c r="A28" s="1" t="s">
        <v>593</v>
      </c>
      <c r="B28" s="68" t="s">
        <v>39</v>
      </c>
      <c r="C28" s="15">
        <f t="shared" si="1"/>
        <v>0</v>
      </c>
      <c r="D28" s="15"/>
      <c r="E28" s="15">
        <v>66.349999999999994</v>
      </c>
      <c r="F28" s="15"/>
      <c r="G28" s="15"/>
      <c r="H28" s="15"/>
      <c r="I28" s="15"/>
      <c r="J28" s="15"/>
      <c r="K28" s="15"/>
      <c r="L28" s="15"/>
      <c r="M28" s="15"/>
      <c r="N28" s="55">
        <v>66.349999999999994</v>
      </c>
    </row>
    <row r="29" spans="1:14" ht="29.25" customHeight="1" x14ac:dyDescent="0.35">
      <c r="A29" s="1" t="s">
        <v>594</v>
      </c>
      <c r="B29" s="68" t="s">
        <v>39</v>
      </c>
      <c r="C29" s="15">
        <f t="shared" si="1"/>
        <v>0</v>
      </c>
      <c r="D29" s="15"/>
      <c r="E29" s="15">
        <v>4573.04</v>
      </c>
      <c r="F29" s="15"/>
      <c r="G29" s="15"/>
      <c r="H29" s="15"/>
      <c r="I29" s="15"/>
      <c r="J29" s="15"/>
      <c r="K29" s="15"/>
      <c r="L29" s="15"/>
      <c r="M29" s="15"/>
      <c r="N29" s="55">
        <v>4573.04</v>
      </c>
    </row>
    <row r="30" spans="1:14" ht="29.25" customHeight="1" x14ac:dyDescent="0.35">
      <c r="A30" s="1" t="s">
        <v>595</v>
      </c>
      <c r="B30" s="68" t="s">
        <v>39</v>
      </c>
      <c r="C30" s="15">
        <f t="shared" si="1"/>
        <v>488.22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>
        <v>488.22</v>
      </c>
    </row>
    <row r="31" spans="1:14" ht="29.25" customHeight="1" x14ac:dyDescent="0.35">
      <c r="A31" s="1" t="s">
        <v>596</v>
      </c>
      <c r="B31" s="68" t="s">
        <v>39</v>
      </c>
      <c r="C31" s="15">
        <f t="shared" si="1"/>
        <v>108.68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>
        <v>108.68</v>
      </c>
    </row>
    <row r="32" spans="1:14" ht="29.25" customHeight="1" x14ac:dyDescent="0.35">
      <c r="A32" s="1" t="s">
        <v>597</v>
      </c>
      <c r="B32" s="68" t="s">
        <v>39</v>
      </c>
      <c r="C32" s="15">
        <f t="shared" si="1"/>
        <v>238.62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>
        <v>238.62</v>
      </c>
    </row>
    <row r="33" spans="1:14" ht="29.25" customHeight="1" x14ac:dyDescent="0.35">
      <c r="A33" s="1" t="s">
        <v>598</v>
      </c>
      <c r="B33" s="68" t="s">
        <v>39</v>
      </c>
      <c r="C33" s="15">
        <f t="shared" si="1"/>
        <v>136.19999999999999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>
        <v>136.19999999999999</v>
      </c>
    </row>
    <row r="34" spans="1:14" ht="29.25" customHeight="1" x14ac:dyDescent="0.35">
      <c r="A34" s="1" t="s">
        <v>599</v>
      </c>
      <c r="B34" s="68" t="s">
        <v>39</v>
      </c>
      <c r="C34" s="15">
        <f t="shared" si="1"/>
        <v>321.10000000000002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>
        <v>321.10000000000002</v>
      </c>
    </row>
    <row r="35" spans="1:14" ht="29.25" customHeight="1" x14ac:dyDescent="0.35">
      <c r="A35" s="1" t="s">
        <v>600</v>
      </c>
      <c r="B35" s="68" t="s">
        <v>39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>
        <v>56.42</v>
      </c>
      <c r="L35" s="15"/>
      <c r="M35" s="15"/>
      <c r="N35" s="55">
        <v>56.42</v>
      </c>
    </row>
    <row r="36" spans="1:14" ht="29.25" customHeight="1" x14ac:dyDescent="0.35">
      <c r="A36" s="1" t="s">
        <v>601</v>
      </c>
      <c r="B36" s="68" t="s">
        <v>39</v>
      </c>
      <c r="C36" s="15">
        <f t="shared" si="1"/>
        <v>338.64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>
        <v>338.64</v>
      </c>
    </row>
    <row r="37" spans="1:14" ht="29.25" customHeight="1" x14ac:dyDescent="0.35">
      <c r="A37" s="1" t="s">
        <v>602</v>
      </c>
      <c r="B37" s="68" t="s">
        <v>39</v>
      </c>
      <c r="C37" s="15">
        <f t="shared" si="1"/>
        <v>250.38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>
        <v>250.38</v>
      </c>
    </row>
    <row r="38" spans="1:14" ht="29.25" customHeight="1" x14ac:dyDescent="0.35">
      <c r="A38" s="1" t="s">
        <v>603</v>
      </c>
      <c r="B38" s="68" t="s">
        <v>39</v>
      </c>
      <c r="C38" s="15">
        <f t="shared" si="1"/>
        <v>166.92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>
        <v>166.92</v>
      </c>
    </row>
    <row r="39" spans="1:14" ht="29.25" customHeight="1" x14ac:dyDescent="0.35">
      <c r="A39" s="1" t="s">
        <v>604</v>
      </c>
      <c r="B39" s="68" t="s">
        <v>39</v>
      </c>
      <c r="C39" s="15">
        <f t="shared" si="1"/>
        <v>47.64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>
        <v>47.64</v>
      </c>
    </row>
    <row r="40" spans="1:14" ht="29.25" customHeight="1" x14ac:dyDescent="0.35">
      <c r="A40" s="1" t="s">
        <v>605</v>
      </c>
      <c r="B40" s="68" t="s">
        <v>39</v>
      </c>
      <c r="C40" s="15">
        <f t="shared" si="1"/>
        <v>432.32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>
        <v>432.32</v>
      </c>
    </row>
    <row r="41" spans="1:14" ht="29.25" customHeight="1" x14ac:dyDescent="0.35">
      <c r="A41" s="1" t="s">
        <v>606</v>
      </c>
      <c r="B41" s="68" t="s">
        <v>39</v>
      </c>
      <c r="C41" s="15">
        <f t="shared" si="1"/>
        <v>97.64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>
        <v>97.64</v>
      </c>
    </row>
    <row r="42" spans="1:14" ht="29.25" customHeight="1" x14ac:dyDescent="0.35">
      <c r="A42" s="1" t="s">
        <v>607</v>
      </c>
      <c r="B42" s="68" t="s">
        <v>39</v>
      </c>
      <c r="C42" s="15">
        <f t="shared" si="1"/>
        <v>1442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>
        <v>1442</v>
      </c>
    </row>
    <row r="43" spans="1:14" ht="29.25" customHeight="1" x14ac:dyDescent="0.35">
      <c r="A43" s="1" t="s">
        <v>608</v>
      </c>
      <c r="B43" s="68" t="s">
        <v>39</v>
      </c>
      <c r="C43" s="15">
        <f t="shared" si="1"/>
        <v>175.35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>
        <v>175.35</v>
      </c>
    </row>
    <row r="44" spans="1:14" ht="29.25" customHeight="1" x14ac:dyDescent="0.35">
      <c r="A44" s="1" t="s">
        <v>609</v>
      </c>
      <c r="B44" s="68" t="s">
        <v>39</v>
      </c>
      <c r="C44" s="15">
        <f t="shared" si="1"/>
        <v>250.62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>
        <v>250.62</v>
      </c>
    </row>
    <row r="45" spans="1:14" ht="29.25" customHeight="1" x14ac:dyDescent="0.35">
      <c r="A45" s="1" t="s">
        <v>610</v>
      </c>
      <c r="B45" s="68" t="s">
        <v>39</v>
      </c>
      <c r="C45" s="15">
        <f t="shared" si="1"/>
        <v>0</v>
      </c>
      <c r="D45" s="15"/>
      <c r="E45" s="15"/>
      <c r="F45" s="15"/>
      <c r="G45" s="15"/>
      <c r="H45" s="15"/>
      <c r="I45" s="15">
        <v>242.69</v>
      </c>
      <c r="J45" s="15"/>
      <c r="K45" s="15"/>
      <c r="L45" s="15"/>
      <c r="M45" s="15"/>
      <c r="N45" s="55">
        <v>242.69</v>
      </c>
    </row>
    <row r="46" spans="1:14" ht="29.25" customHeight="1" x14ac:dyDescent="0.35">
      <c r="A46" s="1" t="s">
        <v>611</v>
      </c>
      <c r="B46" s="68" t="s">
        <v>39</v>
      </c>
      <c r="C46" s="15">
        <f t="shared" si="1"/>
        <v>0</v>
      </c>
      <c r="D46" s="15"/>
      <c r="E46" s="15"/>
      <c r="F46" s="15"/>
      <c r="G46" s="15"/>
      <c r="H46" s="15"/>
      <c r="I46" s="15">
        <v>8059.69</v>
      </c>
      <c r="J46" s="15"/>
      <c r="K46" s="15"/>
      <c r="L46" s="15"/>
      <c r="M46" s="15"/>
      <c r="N46" s="55">
        <v>8059.69</v>
      </c>
    </row>
    <row r="47" spans="1:14" ht="29.25" customHeight="1" x14ac:dyDescent="0.35">
      <c r="A47" s="1" t="s">
        <v>612</v>
      </c>
      <c r="B47" s="68" t="s">
        <v>39</v>
      </c>
      <c r="C47" s="15">
        <f t="shared" si="1"/>
        <v>0</v>
      </c>
      <c r="D47" s="15"/>
      <c r="E47" s="15"/>
      <c r="F47" s="15"/>
      <c r="G47" s="15"/>
      <c r="H47" s="15"/>
      <c r="I47" s="15">
        <v>193.8</v>
      </c>
      <c r="J47" s="15"/>
      <c r="K47" s="15"/>
      <c r="L47" s="15"/>
      <c r="M47" s="15"/>
      <c r="N47" s="55">
        <v>193.8</v>
      </c>
    </row>
    <row r="48" spans="1:14" ht="29.25" customHeight="1" x14ac:dyDescent="0.35">
      <c r="A48" s="1" t="s">
        <v>613</v>
      </c>
      <c r="B48" s="68" t="s">
        <v>39</v>
      </c>
      <c r="C48" s="15">
        <f t="shared" si="1"/>
        <v>0</v>
      </c>
      <c r="D48" s="15"/>
      <c r="E48" s="15"/>
      <c r="F48" s="15"/>
      <c r="G48" s="15"/>
      <c r="H48" s="15"/>
      <c r="I48" s="15">
        <v>260.2</v>
      </c>
      <c r="J48" s="15"/>
      <c r="K48" s="15"/>
      <c r="L48" s="15"/>
      <c r="M48" s="15"/>
      <c r="N48" s="55">
        <v>260.2</v>
      </c>
    </row>
    <row r="49" spans="1:15" ht="29.25" customHeight="1" x14ac:dyDescent="0.35">
      <c r="A49" s="1" t="s">
        <v>614</v>
      </c>
      <c r="B49" s="68" t="s">
        <v>39</v>
      </c>
      <c r="C49" s="15">
        <f t="shared" si="1"/>
        <v>0</v>
      </c>
      <c r="D49" s="15"/>
      <c r="E49" s="15"/>
      <c r="F49" s="15"/>
      <c r="G49" s="15"/>
      <c r="H49" s="15"/>
      <c r="I49" s="15">
        <v>44.95</v>
      </c>
      <c r="J49" s="15"/>
      <c r="K49" s="15"/>
      <c r="L49" s="15"/>
      <c r="M49" s="15"/>
      <c r="N49" s="55">
        <v>44.95</v>
      </c>
    </row>
    <row r="50" spans="1:15" ht="29.25" customHeight="1" x14ac:dyDescent="0.35">
      <c r="A50" s="1" t="s">
        <v>615</v>
      </c>
      <c r="B50" s="68" t="s">
        <v>39</v>
      </c>
      <c r="C50" s="15">
        <f t="shared" si="1"/>
        <v>28.33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>
        <v>28.33</v>
      </c>
    </row>
    <row r="51" spans="1:15" ht="29.25" customHeight="1" x14ac:dyDescent="0.35">
      <c r="A51" s="1" t="s">
        <v>616</v>
      </c>
      <c r="B51" s="68" t="s">
        <v>39</v>
      </c>
      <c r="C51" s="15">
        <f t="shared" si="1"/>
        <v>1173.6500000000001</v>
      </c>
      <c r="D51" s="15"/>
      <c r="E51" s="15">
        <v>41.99</v>
      </c>
      <c r="F51" s="15"/>
      <c r="G51" s="15"/>
      <c r="H51" s="15"/>
      <c r="I51" s="15"/>
      <c r="J51" s="15"/>
      <c r="K51" s="15"/>
      <c r="L51" s="15"/>
      <c r="M51" s="15"/>
      <c r="N51" s="55">
        <v>1215.6400000000001</v>
      </c>
    </row>
    <row r="52" spans="1:15" ht="29.25" customHeight="1" x14ac:dyDescent="0.35">
      <c r="A52" s="1" t="s">
        <v>617</v>
      </c>
      <c r="B52" s="68" t="s">
        <v>39</v>
      </c>
      <c r="C52" s="15">
        <f t="shared" si="1"/>
        <v>0</v>
      </c>
      <c r="D52" s="15"/>
      <c r="E52" s="15">
        <v>141.91999999999999</v>
      </c>
      <c r="F52" s="15"/>
      <c r="G52" s="15"/>
      <c r="H52" s="15"/>
      <c r="I52" s="15"/>
      <c r="J52" s="15"/>
      <c r="K52" s="15"/>
      <c r="L52" s="15"/>
      <c r="M52" s="15"/>
      <c r="N52" s="55">
        <v>141.91999999999999</v>
      </c>
    </row>
    <row r="53" spans="1:15" ht="29.25" customHeight="1" x14ac:dyDescent="0.35">
      <c r="A53" s="1" t="s">
        <v>618</v>
      </c>
      <c r="B53" s="68" t="s">
        <v>39</v>
      </c>
      <c r="C53" s="15">
        <f t="shared" si="1"/>
        <v>0</v>
      </c>
      <c r="D53" s="15"/>
      <c r="E53" s="15"/>
      <c r="F53" s="15"/>
      <c r="G53" s="15"/>
      <c r="H53" s="15"/>
      <c r="I53" s="15"/>
      <c r="J53" s="15"/>
      <c r="K53" s="15">
        <v>78.959999999999994</v>
      </c>
      <c r="L53" s="15"/>
      <c r="M53" s="15"/>
      <c r="N53" s="55">
        <v>78.959999999999994</v>
      </c>
    </row>
    <row r="54" spans="1:15" ht="29.25" customHeight="1" x14ac:dyDescent="0.35">
      <c r="A54" s="1" t="s">
        <v>619</v>
      </c>
      <c r="B54" s="68" t="s">
        <v>39</v>
      </c>
      <c r="C54" s="15">
        <f t="shared" si="1"/>
        <v>0</v>
      </c>
      <c r="D54" s="15"/>
      <c r="E54" s="15">
        <v>77.8</v>
      </c>
      <c r="F54" s="15"/>
      <c r="G54" s="15"/>
      <c r="H54" s="15"/>
      <c r="I54" s="15"/>
      <c r="J54" s="15"/>
      <c r="K54" s="15">
        <v>158.49</v>
      </c>
      <c r="L54" s="15"/>
      <c r="M54" s="15"/>
      <c r="N54" s="55">
        <v>236.29</v>
      </c>
    </row>
    <row r="55" spans="1:15" ht="29.25" customHeight="1" x14ac:dyDescent="0.35">
      <c r="A55" s="1" t="s">
        <v>82</v>
      </c>
      <c r="B55" s="68" t="s">
        <v>82</v>
      </c>
      <c r="C55" s="15">
        <f t="shared" ref="C55" si="2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thickBot="1" x14ac:dyDescent="0.4">
      <c r="A56" s="9" t="s">
        <v>0</v>
      </c>
      <c r="B56" s="9" t="s">
        <v>39</v>
      </c>
      <c r="C56" s="16">
        <f>C3</f>
        <v>159.10230000000001</v>
      </c>
      <c r="D56" s="16"/>
      <c r="E56" s="16">
        <f>E3</f>
        <v>32.952150000000003</v>
      </c>
      <c r="F56" s="16">
        <f t="shared" ref="F56:L56" si="3">F3</f>
        <v>0</v>
      </c>
      <c r="G56" s="16">
        <f t="shared" si="3"/>
        <v>0</v>
      </c>
      <c r="H56" s="16">
        <f t="shared" si="3"/>
        <v>0</v>
      </c>
      <c r="I56" s="16">
        <f t="shared" si="3"/>
        <v>52.923150000000007</v>
      </c>
      <c r="J56" s="16">
        <f t="shared" si="3"/>
        <v>40.607700000000001</v>
      </c>
      <c r="K56" s="16">
        <f t="shared" si="3"/>
        <v>47.264699999999998</v>
      </c>
      <c r="L56" s="16">
        <f t="shared" si="3"/>
        <v>0</v>
      </c>
      <c r="M56" s="16"/>
      <c r="N56" s="60">
        <f>SUM(C56:M56)+SUM(C118:J118)</f>
        <v>332.85000000000008</v>
      </c>
      <c r="O56" s="148" t="s">
        <v>620</v>
      </c>
    </row>
    <row r="57" spans="1:15" ht="29.25" customHeight="1" thickBot="1" x14ac:dyDescent="0.45">
      <c r="A57" s="24" t="s">
        <v>84</v>
      </c>
      <c r="B57" s="10"/>
      <c r="C57" s="61">
        <f t="shared" ref="C57:M57" si="4">SUM(C6:C56)</f>
        <v>22781.302299999996</v>
      </c>
      <c r="D57" s="61">
        <f t="shared" si="4"/>
        <v>0</v>
      </c>
      <c r="E57" s="61">
        <f t="shared" si="4"/>
        <v>11432.792149999999</v>
      </c>
      <c r="F57" s="61">
        <f t="shared" si="4"/>
        <v>0</v>
      </c>
      <c r="G57" s="61">
        <f t="shared" si="4"/>
        <v>0</v>
      </c>
      <c r="H57" s="61">
        <f t="shared" si="4"/>
        <v>0</v>
      </c>
      <c r="I57" s="61">
        <f t="shared" si="4"/>
        <v>9432.4531500000012</v>
      </c>
      <c r="J57" s="61">
        <f t="shared" si="4"/>
        <v>40.607700000000001</v>
      </c>
      <c r="K57" s="61">
        <f t="shared" si="4"/>
        <v>7368.4046999999991</v>
      </c>
      <c r="L57" s="61">
        <f t="shared" si="4"/>
        <v>0</v>
      </c>
      <c r="M57" s="61">
        <f t="shared" si="4"/>
        <v>19</v>
      </c>
      <c r="N57" s="61">
        <f>SUM(N6:N56)</f>
        <v>51382.859999999986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>SO186688</v>
      </c>
      <c r="B60" s="9" t="str">
        <f>B6</f>
        <v>STAR PRODUCE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5">A7</f>
        <v>4003799869</v>
      </c>
      <c r="B61" s="9" t="str">
        <f t="shared" si="5"/>
        <v>SAPUTO DAIRY PRODUCTS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5"/>
        <v>4003799870</v>
      </c>
      <c r="B62" s="9" t="str">
        <f t="shared" si="5"/>
        <v>SAPUTO DAIRY PRODUCTS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5"/>
        <v>965136</v>
      </c>
      <c r="B63" s="9" t="str">
        <f t="shared" si="5"/>
        <v>HARVEST MEATS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5"/>
        <v>965063</v>
      </c>
      <c r="B64" s="9" t="str">
        <f t="shared" si="5"/>
        <v>HARVEST MEATS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4" ht="29.25" customHeight="1" x14ac:dyDescent="0.35">
      <c r="A65" s="70" t="str">
        <f t="shared" si="5"/>
        <v>3284739</v>
      </c>
      <c r="B65" s="9" t="str">
        <f t="shared" si="5"/>
        <v>LILYDALE SOFINA FOODS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4" ht="29.25" customHeight="1" x14ac:dyDescent="0.35">
      <c r="A66" s="70" t="str">
        <f t="shared" si="5"/>
        <v>3285602</v>
      </c>
      <c r="B66" s="9" t="str">
        <f t="shared" si="5"/>
        <v>LILYDALE SOFINA FOODS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4" ht="29.25" customHeight="1" x14ac:dyDescent="0.35">
      <c r="A67" s="70" t="str">
        <f t="shared" si="5"/>
        <v>3285581</v>
      </c>
      <c r="B67" s="9" t="str">
        <f t="shared" si="5"/>
        <v>LILYDALE SOFINA FOODS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4" ht="29.25" customHeight="1" x14ac:dyDescent="0.35">
      <c r="A68" s="70" t="str">
        <f t="shared" si="5"/>
        <v>5648748</v>
      </c>
      <c r="B68" s="9" t="str">
        <f t="shared" si="5"/>
        <v>THE GROCERY PEOPLE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4" ht="29.25" customHeight="1" x14ac:dyDescent="0.35">
      <c r="A69" s="70" t="str">
        <f t="shared" si="5"/>
        <v>5651283</v>
      </c>
      <c r="B69" s="9" t="str">
        <f t="shared" si="5"/>
        <v>THE GROCERY PEOPLE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4" ht="29.25" customHeight="1" x14ac:dyDescent="0.35">
      <c r="A70" s="70" t="str">
        <f t="shared" si="5"/>
        <v>5651284</v>
      </c>
      <c r="B70" s="9" t="str">
        <f t="shared" si="5"/>
        <v>THE GROCERY PEOPLE</v>
      </c>
      <c r="C70" s="26"/>
      <c r="D70" s="26"/>
      <c r="E70" s="26">
        <v>308.3</v>
      </c>
      <c r="F70" s="26"/>
      <c r="G70" s="26"/>
      <c r="H70" s="26"/>
      <c r="I70" s="26"/>
      <c r="J70" s="52"/>
      <c r="K70" s="48"/>
      <c r="L70" s="2"/>
      <c r="M70" s="14" t="s">
        <v>581</v>
      </c>
      <c r="N70" s="227"/>
    </row>
    <row r="71" spans="1:14" ht="29.25" customHeight="1" x14ac:dyDescent="0.35">
      <c r="A71" s="70" t="str">
        <f t="shared" si="5"/>
        <v>5651372</v>
      </c>
      <c r="B71" s="9" t="str">
        <f t="shared" si="5"/>
        <v>THE GROCERY PEOPLE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4" ht="29.25" customHeight="1" x14ac:dyDescent="0.35">
      <c r="A72" s="70" t="str">
        <f t="shared" si="5"/>
        <v>5651617</v>
      </c>
      <c r="B72" s="9" t="str">
        <f t="shared" si="5"/>
        <v>THE GROCERY PEOPLE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4" ht="29.25" customHeight="1" x14ac:dyDescent="0.35">
      <c r="A73" s="70" t="str">
        <f t="shared" si="5"/>
        <v>5651803</v>
      </c>
      <c r="B73" s="9" t="str">
        <f t="shared" si="5"/>
        <v>THE GROCERY PEOPLE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4" ht="29.25" customHeight="1" x14ac:dyDescent="0.35">
      <c r="A74" s="70" t="str">
        <f t="shared" si="5"/>
        <v>5651811</v>
      </c>
      <c r="B74" s="9" t="str">
        <f t="shared" si="5"/>
        <v>THE GROCERY PEOPLE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4" ht="29.25" customHeight="1" x14ac:dyDescent="0.35">
      <c r="A75" s="70" t="str">
        <f t="shared" si="5"/>
        <v>5652137</v>
      </c>
      <c r="B75" s="9" t="str">
        <f t="shared" si="5"/>
        <v>THE GROCERY PEOPLE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4" ht="29.25" customHeight="1" x14ac:dyDescent="0.35">
      <c r="A76" s="70" t="str">
        <f t="shared" si="5"/>
        <v>5652139</v>
      </c>
      <c r="B76" s="9" t="str">
        <f t="shared" si="5"/>
        <v>THE GROCERY PEOPLE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4" ht="29.25" customHeight="1" x14ac:dyDescent="0.35">
      <c r="A77" s="70" t="str">
        <f t="shared" ref="A77:B92" si="6">A23</f>
        <v>5652141</v>
      </c>
      <c r="B77" s="9" t="str">
        <f t="shared" si="6"/>
        <v>THE GROCERY PEOPLE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4" ht="29.25" customHeight="1" x14ac:dyDescent="0.35">
      <c r="A78" s="70" t="str">
        <f t="shared" si="6"/>
        <v>5652142</v>
      </c>
      <c r="B78" s="9" t="str">
        <f t="shared" si="6"/>
        <v>THE GROCERY PEOPLE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4" ht="29.25" customHeight="1" x14ac:dyDescent="0.35">
      <c r="A79" s="70" t="str">
        <f t="shared" si="6"/>
        <v>8251323</v>
      </c>
      <c r="B79" s="9" t="str">
        <f t="shared" si="6"/>
        <v>THE GROCERY PEOPLE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4" ht="29.25" customHeight="1" x14ac:dyDescent="0.35">
      <c r="A80" s="70" t="str">
        <f t="shared" si="6"/>
        <v>8251759</v>
      </c>
      <c r="B80" s="9" t="str">
        <f t="shared" si="6"/>
        <v>THE GROCERY PEOPLE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6"/>
        <v>8251887</v>
      </c>
      <c r="B81" s="9" t="str">
        <f t="shared" si="6"/>
        <v>THE GROCERY PEOPLE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6"/>
        <v>8251908</v>
      </c>
      <c r="B82" s="9" t="str">
        <f t="shared" si="6"/>
        <v>THE GROCERY PEOPLE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6"/>
        <v>6697433</v>
      </c>
      <c r="B83" s="9" t="str">
        <f t="shared" si="6"/>
        <v>THE GROCERY PEOPLE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6"/>
        <v>5650082</v>
      </c>
      <c r="B84" s="9" t="str">
        <f t="shared" si="6"/>
        <v>THE GROCERY PEOPLE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6"/>
        <v>5648677</v>
      </c>
      <c r="B85" s="9" t="str">
        <f t="shared" si="6"/>
        <v>THE GROCERY PEOPLE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6"/>
        <v>5649082</v>
      </c>
      <c r="B86" s="9" t="str">
        <f t="shared" si="6"/>
        <v>THE GROCERY PEOPLE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6"/>
        <v>5650191</v>
      </c>
      <c r="B87" s="9" t="str">
        <f t="shared" si="6"/>
        <v>THE GROCERY PEOPLE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6"/>
        <v>5650718</v>
      </c>
      <c r="B88" s="9" t="str">
        <f t="shared" si="6"/>
        <v>THE GROCERY PEOPLE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6"/>
        <v>5651024</v>
      </c>
      <c r="B89" s="9" t="str">
        <f t="shared" si="6"/>
        <v>THE GROCERY PEOPLE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6"/>
        <v>5651025</v>
      </c>
      <c r="B90" s="9" t="str">
        <f t="shared" si="6"/>
        <v>THE GROCERY PEOPLE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6"/>
        <v>5651026</v>
      </c>
      <c r="B91" s="9" t="str">
        <f t="shared" si="6"/>
        <v>THE GROCERY PEOPLE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6"/>
        <v>5651027</v>
      </c>
      <c r="B92" s="9" t="str">
        <f t="shared" si="6"/>
        <v>THE GROCERY PEOPLE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7">A39</f>
        <v>5651548</v>
      </c>
      <c r="B93" s="9" t="str">
        <f t="shared" si="7"/>
        <v>THE GROCERY PEOPLE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7"/>
        <v>5651832</v>
      </c>
      <c r="B94" s="9" t="str">
        <f t="shared" si="7"/>
        <v>THE GROCERY PEOPLE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7"/>
        <v>5651833</v>
      </c>
      <c r="B95" s="9" t="str">
        <f t="shared" si="7"/>
        <v>THE GROCERY PEOPLE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7"/>
        <v>5651952</v>
      </c>
      <c r="B96" s="9" t="str">
        <f t="shared" si="7"/>
        <v>THE GROCERY PEOPLE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7"/>
        <v>5652050</v>
      </c>
      <c r="B97" s="9" t="str">
        <f t="shared" si="7"/>
        <v>THE GROCERY PEOPLE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7"/>
        <v>5652051</v>
      </c>
      <c r="B98" s="9" t="str">
        <f t="shared" si="7"/>
        <v>THE GROCERY PEOPLE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7"/>
        <v>5647665</v>
      </c>
      <c r="B99" s="9" t="str">
        <f t="shared" si="7"/>
        <v>THE GROCERY PEOPLE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7"/>
        <v>5652283</v>
      </c>
      <c r="B100" s="9" t="str">
        <f t="shared" si="7"/>
        <v>THE GROCERY PEOPLE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7"/>
        <v>5652376</v>
      </c>
      <c r="B101" s="9" t="str">
        <f t="shared" si="7"/>
        <v>THE GROCERY PEOPLE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7"/>
        <v>5652529</v>
      </c>
      <c r="B102" s="9" t="str">
        <f t="shared" si="7"/>
        <v>THE GROCERY PEOPLE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7"/>
        <v>5652530</v>
      </c>
      <c r="B103" s="9" t="str">
        <f t="shared" si="7"/>
        <v>THE GROCERY PEOPLE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7"/>
        <v>6692868</v>
      </c>
      <c r="B104" s="9" t="str">
        <f t="shared" si="7"/>
        <v>THE GROCERY PEOPLE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7"/>
        <v>6693625</v>
      </c>
      <c r="B105" s="9" t="str">
        <f t="shared" si="7"/>
        <v>THE GROCERY PEOPLE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7"/>
        <v>6694535</v>
      </c>
      <c r="B106" s="9" t="str">
        <f t="shared" si="7"/>
        <v>THE GROCERY PEOPLE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7"/>
        <v>6695360</v>
      </c>
      <c r="B107" s="9" t="str">
        <f t="shared" si="7"/>
        <v>THE GROCERY PEOPLE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7"/>
        <v>6694333</v>
      </c>
      <c r="B108" s="9" t="str">
        <f t="shared" si="7"/>
        <v>THE GROCERY PEOPLE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8">A55</f>
        <v xml:space="preserve"> </v>
      </c>
      <c r="B109" s="9" t="str">
        <f t="shared" si="8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9">SUM(E60:E109)</f>
        <v>308.3</v>
      </c>
      <c r="F110" s="53">
        <f t="shared" si="9"/>
        <v>0</v>
      </c>
      <c r="G110" s="53">
        <f t="shared" si="9"/>
        <v>0</v>
      </c>
      <c r="H110" s="53">
        <f t="shared" si="9"/>
        <v>0</v>
      </c>
      <c r="I110" s="53">
        <f t="shared" si="9"/>
        <v>0</v>
      </c>
      <c r="J110" s="54">
        <f t="shared" si="9"/>
        <v>0</v>
      </c>
      <c r="K110" s="49">
        <f t="shared" si="9"/>
        <v>0</v>
      </c>
      <c r="L110" s="11">
        <v>0</v>
      </c>
      <c r="M110" s="14"/>
    </row>
  </sheetData>
  <hyperlinks>
    <hyperlink ref="M1" location="'Receiving Totals'!A1" display="Receiving Totals" xr:uid="{9F375F13-AEC8-451D-A9C4-88EBF4798D4F}"/>
  </hyperlinks>
  <pageMargins left="0.7" right="0.7" top="0.75" bottom="0.75" header="0.3" footer="0.3"/>
  <pageSetup scale="29" fitToWidth="0" fitToHeight="0" orientation="landscape" verticalDpi="1200" r:id="rId1"/>
  <rowBreaks count="1" manualBreakCount="1">
    <brk id="57" max="14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5616-C13B-4765-9155-54E93CB8B413}">
  <dimension ref="A1:O110"/>
  <sheetViews>
    <sheetView zoomScale="70" zoomScaleNormal="70" workbookViewId="0">
      <pane ySplit="5" topLeftCell="A51" activePane="bottomLeft" state="frozen"/>
      <selection activeCell="A12" sqref="A12"/>
      <selection pane="bottomLeft" activeCell="A60" sqref="A60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v>0</v>
      </c>
      <c r="G2" s="20">
        <v>0</v>
      </c>
      <c r="H2" s="20"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 x14ac:dyDescent="0.5">
      <c r="A3" s="12"/>
      <c r="B3" s="65" t="s">
        <v>13</v>
      </c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4">
      <c r="A4" s="63" t="s">
        <v>14</v>
      </c>
      <c r="B4" s="64">
        <f>'Sunday WK4 (22)'!$B$4+1</f>
        <v>46216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621</v>
      </c>
      <c r="B6" s="68" t="s">
        <v>31</v>
      </c>
      <c r="C6" s="15">
        <f t="shared" ref="C6:C16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>
        <v>-36.42</v>
      </c>
      <c r="L6" s="15"/>
      <c r="M6" s="15"/>
      <c r="N6" s="55">
        <v>-36.42</v>
      </c>
    </row>
    <row r="7" spans="1:14" ht="29.25" customHeight="1" x14ac:dyDescent="0.35">
      <c r="A7" s="1" t="s">
        <v>622</v>
      </c>
      <c r="B7" s="68" t="s">
        <v>251</v>
      </c>
      <c r="C7" s="15">
        <f t="shared" si="1"/>
        <v>1753.92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>
        <v>1753.92</v>
      </c>
    </row>
    <row r="8" spans="1:14" ht="29.25" customHeight="1" x14ac:dyDescent="0.35">
      <c r="A8" s="1" t="s">
        <v>623</v>
      </c>
      <c r="B8" s="68" t="s">
        <v>106</v>
      </c>
      <c r="C8" s="15">
        <f t="shared" si="1"/>
        <v>8941.7999999999993</v>
      </c>
      <c r="D8" s="15"/>
      <c r="E8" s="15"/>
      <c r="F8" s="15"/>
      <c r="G8" s="15"/>
      <c r="H8" s="15"/>
      <c r="I8" s="15"/>
      <c r="J8" s="15"/>
      <c r="K8" s="15"/>
      <c r="L8" s="15"/>
      <c r="M8" s="15">
        <v>302.29000000000002</v>
      </c>
      <c r="N8" s="55">
        <v>9244.09</v>
      </c>
    </row>
    <row r="9" spans="1:14" ht="29.25" customHeight="1" x14ac:dyDescent="0.35">
      <c r="A9" s="1" t="s">
        <v>624</v>
      </c>
      <c r="B9" s="68" t="s">
        <v>115</v>
      </c>
      <c r="C9" s="15">
        <f t="shared" si="1"/>
        <v>751.86</v>
      </c>
      <c r="D9" s="15"/>
      <c r="E9" s="15"/>
      <c r="F9" s="15"/>
      <c r="G9" s="15"/>
      <c r="H9" s="15"/>
      <c r="I9" s="15"/>
      <c r="J9" s="15"/>
      <c r="K9" s="15"/>
      <c r="L9" s="15"/>
      <c r="M9" s="15">
        <v>26.25</v>
      </c>
      <c r="N9" s="55">
        <v>778.11</v>
      </c>
    </row>
    <row r="10" spans="1:14" ht="29.25" customHeight="1" x14ac:dyDescent="0.35">
      <c r="A10" s="1" t="s">
        <v>625</v>
      </c>
      <c r="B10" s="68" t="s">
        <v>118</v>
      </c>
      <c r="C10" s="15">
        <f t="shared" si="1"/>
        <v>923.05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>
        <v>923.05</v>
      </c>
    </row>
    <row r="11" spans="1:14" ht="29.25" customHeight="1" x14ac:dyDescent="0.35">
      <c r="A11" s="1" t="s">
        <v>626</v>
      </c>
      <c r="B11" s="68" t="s">
        <v>118</v>
      </c>
      <c r="C11" s="15">
        <f t="shared" si="1"/>
        <v>-65</v>
      </c>
      <c r="D11" s="15"/>
      <c r="E11" s="15"/>
      <c r="F11" s="15"/>
      <c r="G11" s="15"/>
      <c r="H11" s="15"/>
      <c r="I11" s="15"/>
      <c r="J11" s="15"/>
      <c r="K11" s="15"/>
      <c r="L11" s="15"/>
      <c r="M11" s="15">
        <v>-1.1100000000000001</v>
      </c>
      <c r="N11" s="55">
        <v>-66.11</v>
      </c>
    </row>
    <row r="12" spans="1:14" ht="29.25" customHeight="1" x14ac:dyDescent="0.35">
      <c r="A12" s="1" t="s">
        <v>627</v>
      </c>
      <c r="B12" s="68" t="s">
        <v>104</v>
      </c>
      <c r="C12" s="15">
        <f t="shared" si="1"/>
        <v>9585.0600000000013</v>
      </c>
      <c r="D12" s="15"/>
      <c r="E12" s="15"/>
      <c r="F12" s="15"/>
      <c r="G12" s="15"/>
      <c r="H12" s="15"/>
      <c r="I12" s="15"/>
      <c r="J12" s="15"/>
      <c r="K12" s="15"/>
      <c r="L12" s="15"/>
      <c r="M12" s="15">
        <v>407.06</v>
      </c>
      <c r="N12" s="55">
        <v>9992.1200000000008</v>
      </c>
    </row>
    <row r="13" spans="1:14" ht="29.25" customHeight="1" x14ac:dyDescent="0.35">
      <c r="A13" s="1" t="s">
        <v>628</v>
      </c>
      <c r="B13" s="68" t="s">
        <v>160</v>
      </c>
      <c r="C13" s="15">
        <f t="shared" si="1"/>
        <v>0</v>
      </c>
      <c r="D13" s="15"/>
      <c r="E13" s="15">
        <v>520.97</v>
      </c>
      <c r="F13" s="15"/>
      <c r="G13" s="15"/>
      <c r="H13" s="15"/>
      <c r="I13" s="15"/>
      <c r="J13" s="15"/>
      <c r="K13" s="15"/>
      <c r="L13" s="15"/>
      <c r="M13" s="15"/>
      <c r="N13" s="55">
        <v>520.97</v>
      </c>
    </row>
    <row r="14" spans="1:14" ht="29.25" customHeight="1" x14ac:dyDescent="0.35">
      <c r="A14" s="1" t="s">
        <v>629</v>
      </c>
      <c r="B14" s="68" t="s">
        <v>29</v>
      </c>
      <c r="C14" s="15">
        <f t="shared" si="1"/>
        <v>344.46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>
        <v>344.46</v>
      </c>
    </row>
    <row r="15" spans="1:14" ht="29.25" customHeight="1" x14ac:dyDescent="0.35">
      <c r="A15" s="1" t="s">
        <v>82</v>
      </c>
      <c r="B15" s="68" t="s">
        <v>82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82</v>
      </c>
      <c r="B16" s="68" t="s">
        <v>82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82</v>
      </c>
      <c r="B17" s="68" t="s">
        <v>82</v>
      </c>
      <c r="C17" s="15">
        <f t="shared" ref="C17:C18" si="2">N17-D17-E17-F17-G17-H17-I17-J17-K17-L17-M17-D71-E71-F71-G71-H71-I71-J71-K71-L71-C71</f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ref="C19:C23" si="3">N19-D19-E19-F19-G19-H19-I19-J19-K19-L19-M19-D73-E73-F73-G73-H73-I73-J73-K73-L73-C73</f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si="3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si="3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si="3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si="3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ref="C24:C55" si="4">N24-D24-E24-F24-G24-H24-I24-J24-K24-L24-M24-D78-E78-F78-G78-H78-I78-J78-K78-L78-C78</f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4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4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4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4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4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4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4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4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4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4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4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4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4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4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4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4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4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4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4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4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4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4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4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82</v>
      </c>
      <c r="B49" s="68" t="s">
        <v>82</v>
      </c>
      <c r="C49" s="15">
        <f t="shared" si="4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82</v>
      </c>
      <c r="B50" s="68" t="s">
        <v>82</v>
      </c>
      <c r="C50" s="15">
        <f t="shared" si="4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82</v>
      </c>
      <c r="B51" s="68" t="s">
        <v>82</v>
      </c>
      <c r="C51" s="15">
        <f t="shared" si="4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82</v>
      </c>
      <c r="B52" s="68" t="s">
        <v>82</v>
      </c>
      <c r="C52" s="15">
        <f t="shared" si="4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82</v>
      </c>
      <c r="B53" s="68" t="s">
        <v>82</v>
      </c>
      <c r="C53" s="15">
        <f t="shared" si="4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82</v>
      </c>
      <c r="B54" s="68" t="s">
        <v>82</v>
      </c>
      <c r="C54" s="15">
        <f t="shared" si="4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82</v>
      </c>
      <c r="B55" s="68" t="s">
        <v>82</v>
      </c>
      <c r="C55" s="15">
        <f t="shared" si="4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 x14ac:dyDescent="0.4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</row>
    <row r="57" spans="1:14" ht="29.25" customHeight="1" thickBot="1" x14ac:dyDescent="0.45">
      <c r="A57" s="24" t="s">
        <v>84</v>
      </c>
      <c r="B57" s="10"/>
      <c r="C57" s="61">
        <f t="shared" ref="C57:M57" si="6">SUM(C6:C56)</f>
        <v>22235.15</v>
      </c>
      <c r="D57" s="61">
        <f t="shared" si="6"/>
        <v>0</v>
      </c>
      <c r="E57" s="61">
        <f t="shared" si="6"/>
        <v>520.97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-36.42</v>
      </c>
      <c r="L57" s="61">
        <f t="shared" si="6"/>
        <v>0</v>
      </c>
      <c r="M57" s="61">
        <f t="shared" si="6"/>
        <v>734.49</v>
      </c>
      <c r="N57" s="61">
        <f>SUM(N6:N56)</f>
        <v>23454.190000000002</v>
      </c>
    </row>
    <row r="58" spans="1:14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4" ht="29.25" customHeight="1" x14ac:dyDescent="0.35">
      <c r="A60" s="70" t="str">
        <f>A6</f>
        <v>4000259074</v>
      </c>
      <c r="B60" s="9" t="str">
        <f>B6</f>
        <v>SAPUTO DAIRY PRODUCTS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76" si="7">A7</f>
        <v>3281619401</v>
      </c>
      <c r="B61" s="9" t="str">
        <f t="shared" si="7"/>
        <v>ARCTIC GLACIER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/>
      <c r="B62" s="9" t="str">
        <f t="shared" si="7"/>
        <v>PEPSICO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/>
      <c r="B63" s="9" t="str">
        <f t="shared" si="7"/>
        <v>OLD DUTCH FOODS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si="7"/>
        <v>226650719417</v>
      </c>
      <c r="B64" s="9" t="str">
        <f t="shared" si="7"/>
        <v>CANADA BREAD COMPANY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7"/>
        <v>226650719418</v>
      </c>
      <c r="B65" s="9" t="str">
        <f t="shared" si="7"/>
        <v>CANADA BREAD COMPANY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7"/>
        <v>53268109003</v>
      </c>
      <c r="B66" s="9" t="str">
        <f t="shared" si="7"/>
        <v>COCA COLA CANADA BOTTLING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7"/>
        <v>INV26-04868</v>
      </c>
      <c r="B67" s="9" t="str">
        <f t="shared" si="7"/>
        <v>CAPITAL FINE MEATS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7"/>
        <v>126824</v>
      </c>
      <c r="B68" s="9" t="str">
        <f t="shared" si="7"/>
        <v>ITALIAN BAKERY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7"/>
        <v xml:space="preserve"> </v>
      </c>
      <c r="B69" s="9" t="str">
        <f t="shared" si="7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7"/>
        <v xml:space="preserve"> </v>
      </c>
      <c r="B70" s="9" t="str">
        <f t="shared" si="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7"/>
        <v xml:space="preserve"> </v>
      </c>
      <c r="B71" s="9" t="str">
        <f t="shared" si="7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7"/>
        <v xml:space="preserve"> </v>
      </c>
      <c r="B72" s="9" t="str">
        <f t="shared" si="7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7"/>
        <v xml:space="preserve"> </v>
      </c>
      <c r="B73" s="9" t="str">
        <f t="shared" si="7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7"/>
        <v xml:space="preserve"> </v>
      </c>
      <c r="B74" s="9" t="str">
        <f t="shared" si="7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7"/>
        <v xml:space="preserve"> </v>
      </c>
      <c r="B75" s="9" t="str">
        <f t="shared" si="7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7"/>
        <v xml:space="preserve"> </v>
      </c>
      <c r="B76" s="9" t="str">
        <f t="shared" si="7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8">A23</f>
        <v xml:space="preserve"> </v>
      </c>
      <c r="B77" s="9" t="str">
        <f t="shared" si="8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8"/>
        <v xml:space="preserve"> </v>
      </c>
      <c r="B78" s="9" t="str">
        <f t="shared" si="8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8"/>
        <v xml:space="preserve"> </v>
      </c>
      <c r="B79" s="9" t="str">
        <f t="shared" si="8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8"/>
        <v xml:space="preserve"> </v>
      </c>
      <c r="B80" s="9" t="str">
        <f t="shared" si="8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8"/>
        <v xml:space="preserve"> </v>
      </c>
      <c r="B81" s="9" t="str">
        <f t="shared" si="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8"/>
        <v xml:space="preserve"> </v>
      </c>
      <c r="B82" s="9" t="str">
        <f t="shared" si="8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8"/>
        <v xml:space="preserve"> </v>
      </c>
      <c r="B83" s="9" t="str">
        <f t="shared" si="8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8"/>
        <v xml:space="preserve"> </v>
      </c>
      <c r="B84" s="9" t="str">
        <f t="shared" si="8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8"/>
        <v xml:space="preserve"> </v>
      </c>
      <c r="B85" s="9" t="str">
        <f t="shared" si="8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8"/>
        <v xml:space="preserve"> </v>
      </c>
      <c r="B86" s="9" t="str">
        <f t="shared" si="8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8"/>
        <v xml:space="preserve"> </v>
      </c>
      <c r="B87" s="9" t="str">
        <f t="shared" si="8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8"/>
        <v xml:space="preserve"> </v>
      </c>
      <c r="B88" s="9" t="str">
        <f t="shared" si="8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8"/>
        <v xml:space="preserve"> </v>
      </c>
      <c r="B89" s="9" t="str">
        <f t="shared" si="8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8"/>
        <v xml:space="preserve"> </v>
      </c>
      <c r="B90" s="9" t="str">
        <f t="shared" si="8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8"/>
        <v xml:space="preserve"> </v>
      </c>
      <c r="B91" s="9" t="str">
        <f t="shared" si="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8"/>
        <v xml:space="preserve"> </v>
      </c>
      <c r="B92" s="9" t="str">
        <f t="shared" si="8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9">A39</f>
        <v xml:space="preserve"> </v>
      </c>
      <c r="B93" s="9" t="str">
        <f t="shared" si="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9"/>
        <v xml:space="preserve"> </v>
      </c>
      <c r="B94" s="9" t="str">
        <f t="shared" si="9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9"/>
        <v xml:space="preserve"> </v>
      </c>
      <c r="B95" s="9" t="str">
        <f t="shared" si="9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9"/>
        <v xml:space="preserve"> </v>
      </c>
      <c r="B96" s="9" t="str">
        <f t="shared" si="9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9"/>
        <v xml:space="preserve"> </v>
      </c>
      <c r="B97" s="9" t="str">
        <f t="shared" si="9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9"/>
        <v xml:space="preserve"> </v>
      </c>
      <c r="B98" s="9" t="str">
        <f t="shared" si="9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9"/>
        <v xml:space="preserve"> </v>
      </c>
      <c r="B99" s="9" t="str">
        <f t="shared" si="9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9"/>
        <v xml:space="preserve"> </v>
      </c>
      <c r="B100" s="9" t="str">
        <f t="shared" si="9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9"/>
        <v xml:space="preserve"> </v>
      </c>
      <c r="B101" s="9" t="str">
        <f t="shared" si="9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9"/>
        <v xml:space="preserve"> </v>
      </c>
      <c r="B102" s="9" t="str">
        <f t="shared" si="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9"/>
        <v xml:space="preserve"> </v>
      </c>
      <c r="B103" s="9" t="str">
        <f t="shared" si="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9"/>
        <v xml:space="preserve"> </v>
      </c>
      <c r="B104" s="9" t="str">
        <f t="shared" si="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9"/>
        <v xml:space="preserve"> </v>
      </c>
      <c r="B105" s="9" t="str">
        <f t="shared" si="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9"/>
        <v xml:space="preserve"> </v>
      </c>
      <c r="B106" s="9" t="str">
        <f t="shared" si="9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9"/>
        <v xml:space="preserve"> </v>
      </c>
      <c r="B107" s="9" t="str">
        <f t="shared" si="9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9"/>
        <v xml:space="preserve"> </v>
      </c>
      <c r="B108" s="9" t="str">
        <f t="shared" si="9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0">A55</f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1">SUM(E60:E109)</f>
        <v>0</v>
      </c>
      <c r="F110" s="53">
        <f t="shared" si="11"/>
        <v>0</v>
      </c>
      <c r="G110" s="53">
        <f t="shared" si="11"/>
        <v>0</v>
      </c>
      <c r="H110" s="53">
        <f t="shared" si="11"/>
        <v>0</v>
      </c>
      <c r="I110" s="53">
        <f t="shared" si="11"/>
        <v>0</v>
      </c>
      <c r="J110" s="54">
        <f t="shared" si="11"/>
        <v>0</v>
      </c>
      <c r="K110" s="49">
        <f t="shared" si="11"/>
        <v>0</v>
      </c>
      <c r="L110" s="11">
        <v>0</v>
      </c>
      <c r="M110" s="14"/>
    </row>
  </sheetData>
  <hyperlinks>
    <hyperlink ref="M1" location="'Receiving Totals'!A1" display="Receiving Totals" xr:uid="{C6A5E976-6736-436E-9723-03EF555EC06F}"/>
  </hyperlinks>
  <pageMargins left="0.25" right="0.25" top="0.75" bottom="0.75" header="0.3" footer="0.3"/>
  <pageSetup scale="30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D607-2440-42D5-9A2F-810AA457A6F7}">
  <dimension ref="A1:O110"/>
  <sheetViews>
    <sheetView zoomScale="70" zoomScaleNormal="70" workbookViewId="0">
      <pane ySplit="5" topLeftCell="A45" activePane="bottomLeft" state="frozen"/>
      <selection activeCell="A12" sqref="A12"/>
      <selection pane="bottomLeft" activeCell="B56" sqref="B5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v>0</v>
      </c>
      <c r="G2" s="20">
        <v>0</v>
      </c>
      <c r="H2" s="20"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 x14ac:dyDescent="0.5">
      <c r="A3" s="12"/>
      <c r="B3" s="65" t="s">
        <v>13</v>
      </c>
      <c r="C3" s="22">
        <f>C2*$N$3</f>
        <v>129.06477999999998</v>
      </c>
      <c r="D3" s="22"/>
      <c r="E3" s="22">
        <f t="shared" ref="E3:L3" si="0">E2*$N$3</f>
        <v>26.730990000000002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42.93159</v>
      </c>
      <c r="J3" s="22">
        <f t="shared" si="0"/>
        <v>32.941220000000001</v>
      </c>
      <c r="K3" s="22">
        <f t="shared" si="0"/>
        <v>38.341419999999992</v>
      </c>
      <c r="L3" s="22">
        <f t="shared" si="0"/>
        <v>0</v>
      </c>
      <c r="M3" s="22"/>
      <c r="N3" s="23">
        <v>270.01</v>
      </c>
    </row>
    <row r="4" spans="1:14" ht="21" customHeight="1" thickBot="1" x14ac:dyDescent="0.4">
      <c r="A4" s="63" t="s">
        <v>14</v>
      </c>
      <c r="B4" s="64">
        <f>'Monday WK4 (23)'!$B$4+1</f>
        <v>46217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630</v>
      </c>
      <c r="B6" s="68" t="s">
        <v>31</v>
      </c>
      <c r="C6" s="15">
        <f t="shared" ref="C6:C46" si="1">N6-D6-E6-F6-G6-H6-I6-J6-K6-L6-M6-D60-E60-F60-G60-H60-I60-J60-K60-L60-C60</f>
        <v>-1.1823875212257917E-13</v>
      </c>
      <c r="D6" s="264"/>
      <c r="E6" s="264"/>
      <c r="F6" s="264"/>
      <c r="G6" s="264"/>
      <c r="H6" s="264"/>
      <c r="I6" s="264"/>
      <c r="J6" s="264"/>
      <c r="K6" s="264">
        <v>1924.39</v>
      </c>
      <c r="L6" s="264"/>
      <c r="M6" s="264">
        <v>0.13</v>
      </c>
      <c r="N6" s="265">
        <v>1924.52</v>
      </c>
    </row>
    <row r="7" spans="1:14" ht="29.25" customHeight="1" x14ac:dyDescent="0.35">
      <c r="A7" s="1" t="s">
        <v>631</v>
      </c>
      <c r="B7" s="68" t="s">
        <v>39</v>
      </c>
      <c r="C7" s="15">
        <f t="shared" si="1"/>
        <v>2325.37</v>
      </c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5">
        <v>2325.37</v>
      </c>
    </row>
    <row r="8" spans="1:14" ht="29.25" customHeight="1" x14ac:dyDescent="0.35">
      <c r="A8" s="1" t="s">
        <v>632</v>
      </c>
      <c r="B8" s="68" t="s">
        <v>39</v>
      </c>
      <c r="C8" s="15">
        <f t="shared" si="1"/>
        <v>6957.48</v>
      </c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5">
        <v>6957.48</v>
      </c>
    </row>
    <row r="9" spans="1:14" ht="29.25" customHeight="1" x14ac:dyDescent="0.35">
      <c r="A9" s="1" t="s">
        <v>633</v>
      </c>
      <c r="B9" s="68" t="s">
        <v>39</v>
      </c>
      <c r="C9" s="15">
        <f t="shared" si="1"/>
        <v>70.5</v>
      </c>
      <c r="D9" s="264"/>
      <c r="E9" s="264"/>
      <c r="F9" s="264"/>
      <c r="G9" s="264"/>
      <c r="H9" s="264"/>
      <c r="I9" s="264"/>
      <c r="J9" s="264"/>
      <c r="K9" s="264">
        <v>2493.61</v>
      </c>
      <c r="L9" s="264"/>
      <c r="M9" s="264"/>
      <c r="N9" s="265">
        <v>2564.11</v>
      </c>
    </row>
    <row r="10" spans="1:14" ht="29.25" customHeight="1" x14ac:dyDescent="0.35">
      <c r="A10" s="1" t="s">
        <v>634</v>
      </c>
      <c r="B10" s="68" t="s">
        <v>39</v>
      </c>
      <c r="C10" s="15">
        <f t="shared" si="1"/>
        <v>0</v>
      </c>
      <c r="D10" s="264"/>
      <c r="E10" s="264">
        <v>2144.4299999999998</v>
      </c>
      <c r="F10" s="264"/>
      <c r="G10" s="264"/>
      <c r="H10" s="264"/>
      <c r="I10" s="264"/>
      <c r="J10" s="264"/>
      <c r="K10" s="264"/>
      <c r="L10" s="264"/>
      <c r="M10" s="264"/>
      <c r="N10" s="265">
        <v>2144.4299999999998</v>
      </c>
    </row>
    <row r="11" spans="1:14" ht="29.25" customHeight="1" x14ac:dyDescent="0.35">
      <c r="A11" s="1" t="s">
        <v>635</v>
      </c>
      <c r="B11" s="68" t="s">
        <v>39</v>
      </c>
      <c r="C11" s="15">
        <f t="shared" si="1"/>
        <v>0</v>
      </c>
      <c r="D11" s="264"/>
      <c r="E11" s="264">
        <v>314.72000000000003</v>
      </c>
      <c r="F11" s="264"/>
      <c r="G11" s="264"/>
      <c r="H11" s="264"/>
      <c r="I11" s="264"/>
      <c r="J11" s="264"/>
      <c r="K11" s="264"/>
      <c r="L11" s="264"/>
      <c r="M11" s="264"/>
      <c r="N11" s="265">
        <v>314.72000000000003</v>
      </c>
    </row>
    <row r="12" spans="1:14" ht="29.25" customHeight="1" x14ac:dyDescent="0.35">
      <c r="A12" s="1" t="s">
        <v>636</v>
      </c>
      <c r="B12" s="68" t="s">
        <v>39</v>
      </c>
      <c r="C12" s="15">
        <f t="shared" si="1"/>
        <v>152.44000000000005</v>
      </c>
      <c r="D12" s="264"/>
      <c r="E12" s="264">
        <v>3161.92</v>
      </c>
      <c r="F12" s="264"/>
      <c r="G12" s="264"/>
      <c r="H12" s="264"/>
      <c r="I12" s="264"/>
      <c r="J12" s="264"/>
      <c r="K12" s="264"/>
      <c r="L12" s="264"/>
      <c r="M12" s="264"/>
      <c r="N12" s="265">
        <v>3314.36</v>
      </c>
    </row>
    <row r="13" spans="1:14" ht="29.25" customHeight="1" x14ac:dyDescent="0.35">
      <c r="A13" s="1" t="s">
        <v>637</v>
      </c>
      <c r="B13" s="68" t="s">
        <v>39</v>
      </c>
      <c r="C13" s="15">
        <f t="shared" si="1"/>
        <v>0</v>
      </c>
      <c r="D13" s="264"/>
      <c r="E13" s="264">
        <v>1604.7</v>
      </c>
      <c r="F13" s="264"/>
      <c r="G13" s="264"/>
      <c r="H13" s="264"/>
      <c r="I13" s="264"/>
      <c r="J13" s="264"/>
      <c r="K13" s="264"/>
      <c r="L13" s="264"/>
      <c r="M13" s="264"/>
      <c r="N13" s="265">
        <v>1604.7</v>
      </c>
    </row>
    <row r="14" spans="1:14" ht="29.25" customHeight="1" x14ac:dyDescent="0.35">
      <c r="A14" s="1" t="s">
        <v>638</v>
      </c>
      <c r="B14" s="68" t="s">
        <v>39</v>
      </c>
      <c r="C14" s="15">
        <f t="shared" si="1"/>
        <v>0</v>
      </c>
      <c r="D14" s="264"/>
      <c r="E14" s="264">
        <v>88.58</v>
      </c>
      <c r="F14" s="264"/>
      <c r="G14" s="264"/>
      <c r="H14" s="264"/>
      <c r="I14" s="264"/>
      <c r="J14" s="264"/>
      <c r="K14" s="264"/>
      <c r="L14" s="264"/>
      <c r="M14" s="264"/>
      <c r="N14" s="265">
        <v>88.58</v>
      </c>
    </row>
    <row r="15" spans="1:14" ht="29.25" customHeight="1" x14ac:dyDescent="0.35">
      <c r="A15" s="1" t="s">
        <v>639</v>
      </c>
      <c r="B15" s="68" t="s">
        <v>39</v>
      </c>
      <c r="C15" s="15">
        <f t="shared" si="1"/>
        <v>0</v>
      </c>
      <c r="D15" s="264"/>
      <c r="E15" s="264">
        <v>309.04000000000002</v>
      </c>
      <c r="F15" s="264"/>
      <c r="G15" s="264"/>
      <c r="H15" s="264"/>
      <c r="I15" s="264"/>
      <c r="J15" s="264"/>
      <c r="K15" s="264"/>
      <c r="L15" s="264"/>
      <c r="M15" s="264"/>
      <c r="N15" s="265">
        <v>309.04000000000002</v>
      </c>
    </row>
    <row r="16" spans="1:14" ht="29.25" customHeight="1" x14ac:dyDescent="0.35">
      <c r="A16" s="1" t="s">
        <v>640</v>
      </c>
      <c r="B16" s="68" t="s">
        <v>39</v>
      </c>
      <c r="C16" s="15">
        <f t="shared" si="1"/>
        <v>0</v>
      </c>
      <c r="D16" s="264"/>
      <c r="E16" s="264"/>
      <c r="F16" s="264"/>
      <c r="G16" s="264"/>
      <c r="H16" s="264"/>
      <c r="I16" s="264"/>
      <c r="J16" s="264"/>
      <c r="K16" s="264">
        <v>548.70000000000005</v>
      </c>
      <c r="L16" s="264"/>
      <c r="M16" s="264"/>
      <c r="N16" s="265">
        <v>548.70000000000005</v>
      </c>
    </row>
    <row r="17" spans="1:14" ht="29.25" customHeight="1" x14ac:dyDescent="0.35">
      <c r="A17" s="1" t="s">
        <v>641</v>
      </c>
      <c r="B17" s="68" t="s">
        <v>39</v>
      </c>
      <c r="C17" s="15">
        <f t="shared" si="1"/>
        <v>0</v>
      </c>
      <c r="D17" s="264"/>
      <c r="E17" s="264"/>
      <c r="F17" s="264"/>
      <c r="G17" s="264"/>
      <c r="H17" s="264"/>
      <c r="I17" s="264">
        <v>54.99</v>
      </c>
      <c r="J17" s="264"/>
      <c r="K17" s="264"/>
      <c r="L17" s="264"/>
      <c r="M17" s="264"/>
      <c r="N17" s="265">
        <v>54.99</v>
      </c>
    </row>
    <row r="18" spans="1:14" ht="29.25" customHeight="1" x14ac:dyDescent="0.35">
      <c r="A18" s="1" t="s">
        <v>642</v>
      </c>
      <c r="B18" s="68" t="s">
        <v>39</v>
      </c>
      <c r="C18" s="15">
        <f t="shared" si="1"/>
        <v>22.430000000000007</v>
      </c>
      <c r="D18" s="264"/>
      <c r="E18" s="264"/>
      <c r="F18" s="264"/>
      <c r="G18" s="264"/>
      <c r="H18" s="264"/>
      <c r="I18" s="264"/>
      <c r="J18" s="264"/>
      <c r="K18" s="264">
        <v>138.29</v>
      </c>
      <c r="L18" s="264"/>
      <c r="M18" s="264"/>
      <c r="N18" s="265">
        <v>160.72</v>
      </c>
    </row>
    <row r="19" spans="1:14" ht="29.25" customHeight="1" x14ac:dyDescent="0.35">
      <c r="A19" s="1" t="s">
        <v>643</v>
      </c>
      <c r="B19" s="68" t="s">
        <v>39</v>
      </c>
      <c r="C19" s="15">
        <f t="shared" si="1"/>
        <v>0</v>
      </c>
      <c r="D19" s="264"/>
      <c r="E19" s="264"/>
      <c r="F19" s="264"/>
      <c r="G19" s="264"/>
      <c r="H19" s="264"/>
      <c r="I19" s="264">
        <v>4069.67</v>
      </c>
      <c r="J19" s="264"/>
      <c r="K19" s="264"/>
      <c r="L19" s="264"/>
      <c r="M19" s="264"/>
      <c r="N19" s="265">
        <v>4069.67</v>
      </c>
    </row>
    <row r="20" spans="1:14" ht="29.25" customHeight="1" x14ac:dyDescent="0.35">
      <c r="A20" s="1" t="s">
        <v>644</v>
      </c>
      <c r="B20" s="68" t="s">
        <v>39</v>
      </c>
      <c r="C20" s="15">
        <f t="shared" si="1"/>
        <v>0</v>
      </c>
      <c r="D20" s="264"/>
      <c r="E20" s="264">
        <v>56.86</v>
      </c>
      <c r="F20" s="264"/>
      <c r="G20" s="264"/>
      <c r="H20" s="264"/>
      <c r="I20" s="264"/>
      <c r="J20" s="264"/>
      <c r="K20" s="264"/>
      <c r="L20" s="264"/>
      <c r="M20" s="264"/>
      <c r="N20" s="265">
        <v>56.86</v>
      </c>
    </row>
    <row r="21" spans="1:14" ht="29.25" customHeight="1" x14ac:dyDescent="0.35">
      <c r="A21" s="1" t="s">
        <v>645</v>
      </c>
      <c r="B21" s="68" t="s">
        <v>39</v>
      </c>
      <c r="C21" s="15">
        <f t="shared" si="1"/>
        <v>1521.8</v>
      </c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5">
        <v>1521.8</v>
      </c>
    </row>
    <row r="22" spans="1:14" ht="29.25" customHeight="1" x14ac:dyDescent="0.35">
      <c r="A22" s="1" t="s">
        <v>646</v>
      </c>
      <c r="B22" s="68" t="s">
        <v>39</v>
      </c>
      <c r="C22" s="15">
        <f t="shared" si="1"/>
        <v>5.5</v>
      </c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5">
        <v>5.5</v>
      </c>
    </row>
    <row r="23" spans="1:14" ht="29.25" customHeight="1" x14ac:dyDescent="0.35">
      <c r="A23" s="1" t="s">
        <v>647</v>
      </c>
      <c r="B23" s="68" t="s">
        <v>39</v>
      </c>
      <c r="C23" s="15">
        <f t="shared" si="1"/>
        <v>320.39</v>
      </c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5">
        <v>320.39</v>
      </c>
    </row>
    <row r="24" spans="1:14" ht="29.25" customHeight="1" x14ac:dyDescent="0.35">
      <c r="A24" s="1" t="s">
        <v>648</v>
      </c>
      <c r="B24" s="68" t="s">
        <v>39</v>
      </c>
      <c r="C24" s="15">
        <f t="shared" si="1"/>
        <v>0</v>
      </c>
      <c r="D24" s="264"/>
      <c r="E24" s="264"/>
      <c r="F24" s="264"/>
      <c r="G24" s="264"/>
      <c r="H24" s="264"/>
      <c r="I24" s="264"/>
      <c r="J24" s="264"/>
      <c r="K24" s="264">
        <v>334.95</v>
      </c>
      <c r="L24" s="264"/>
      <c r="M24" s="264"/>
      <c r="N24" s="265">
        <v>334.95</v>
      </c>
    </row>
    <row r="25" spans="1:14" ht="29.25" customHeight="1" x14ac:dyDescent="0.35">
      <c r="A25" s="1" t="s">
        <v>649</v>
      </c>
      <c r="B25" s="68" t="s">
        <v>158</v>
      </c>
      <c r="C25" s="15">
        <f t="shared" si="1"/>
        <v>285</v>
      </c>
      <c r="D25" s="264"/>
      <c r="E25" s="264"/>
      <c r="F25" s="264"/>
      <c r="G25" s="264"/>
      <c r="H25" s="264"/>
      <c r="I25" s="264"/>
      <c r="J25" s="264"/>
      <c r="K25" s="264"/>
      <c r="L25" s="264"/>
      <c r="M25" s="264">
        <v>0.75</v>
      </c>
      <c r="N25" s="265">
        <v>285.75</v>
      </c>
    </row>
    <row r="26" spans="1:14" ht="29.25" customHeight="1" x14ac:dyDescent="0.35">
      <c r="A26" s="1" t="s">
        <v>650</v>
      </c>
      <c r="B26" s="68" t="s">
        <v>165</v>
      </c>
      <c r="C26" s="15">
        <f t="shared" si="1"/>
        <v>8902.42</v>
      </c>
      <c r="D26" s="264"/>
      <c r="E26" s="264"/>
      <c r="F26" s="264"/>
      <c r="G26" s="264"/>
      <c r="H26" s="264"/>
      <c r="I26" s="264"/>
      <c r="J26" s="264"/>
      <c r="K26" s="264"/>
      <c r="L26" s="264"/>
      <c r="M26" s="264">
        <v>325.14</v>
      </c>
      <c r="N26" s="265">
        <v>9227.56</v>
      </c>
    </row>
    <row r="27" spans="1:14" ht="29.25" customHeight="1" x14ac:dyDescent="0.35">
      <c r="A27" s="1" t="s">
        <v>651</v>
      </c>
      <c r="B27" s="68" t="s">
        <v>165</v>
      </c>
      <c r="C27" s="15">
        <f t="shared" si="1"/>
        <v>1080</v>
      </c>
      <c r="D27" s="264"/>
      <c r="E27" s="264"/>
      <c r="F27" s="264"/>
      <c r="G27" s="264"/>
      <c r="H27" s="264"/>
      <c r="I27" s="264"/>
      <c r="J27" s="264"/>
      <c r="K27" s="264"/>
      <c r="L27" s="264"/>
      <c r="M27" s="264">
        <v>51.6</v>
      </c>
      <c r="N27" s="265">
        <v>1131.5999999999999</v>
      </c>
    </row>
    <row r="28" spans="1:14" ht="29.25" customHeight="1" x14ac:dyDescent="0.35">
      <c r="A28" s="1" t="s">
        <v>652</v>
      </c>
      <c r="B28" s="68" t="s">
        <v>165</v>
      </c>
      <c r="C28" s="15">
        <f t="shared" si="1"/>
        <v>431.78000000000003</v>
      </c>
      <c r="D28" s="264"/>
      <c r="E28" s="264"/>
      <c r="F28" s="264"/>
      <c r="G28" s="264"/>
      <c r="H28" s="264"/>
      <c r="I28" s="264"/>
      <c r="J28" s="264"/>
      <c r="K28" s="264"/>
      <c r="L28" s="264"/>
      <c r="M28" s="264">
        <v>21.59</v>
      </c>
      <c r="N28" s="265">
        <v>453.37</v>
      </c>
    </row>
    <row r="29" spans="1:14" ht="29.25" customHeight="1" x14ac:dyDescent="0.35">
      <c r="A29" s="1" t="s">
        <v>653</v>
      </c>
      <c r="B29" s="68" t="s">
        <v>165</v>
      </c>
      <c r="C29" s="15">
        <f t="shared" si="1"/>
        <v>138.66</v>
      </c>
      <c r="D29" s="264"/>
      <c r="E29" s="264"/>
      <c r="F29" s="264"/>
      <c r="G29" s="264"/>
      <c r="H29" s="264"/>
      <c r="I29" s="264"/>
      <c r="J29" s="264"/>
      <c r="K29" s="264"/>
      <c r="L29" s="264"/>
      <c r="M29" s="264">
        <v>6.93</v>
      </c>
      <c r="N29" s="265">
        <v>145.59</v>
      </c>
    </row>
    <row r="30" spans="1:14" ht="29.25" customHeight="1" x14ac:dyDescent="0.35">
      <c r="A30" s="1" t="s">
        <v>654</v>
      </c>
      <c r="B30" s="68" t="s">
        <v>162</v>
      </c>
      <c r="C30" s="15">
        <f t="shared" si="1"/>
        <v>872.1</v>
      </c>
      <c r="D30" s="264"/>
      <c r="E30" s="264"/>
      <c r="F30" s="264"/>
      <c r="G30" s="264"/>
      <c r="H30" s="264"/>
      <c r="I30" s="264"/>
      <c r="J30" s="264"/>
      <c r="K30" s="264"/>
      <c r="L30" s="264"/>
      <c r="M30" s="264">
        <v>40.799999999999997</v>
      </c>
      <c r="N30" s="265">
        <v>912.9</v>
      </c>
    </row>
    <row r="31" spans="1:14" ht="29.25" customHeight="1" x14ac:dyDescent="0.35">
      <c r="A31" s="1" t="s">
        <v>655</v>
      </c>
      <c r="B31" s="68" t="s">
        <v>162</v>
      </c>
      <c r="C31" s="15">
        <f t="shared" si="1"/>
        <v>-119.74600000000001</v>
      </c>
      <c r="D31" s="264"/>
      <c r="E31" s="264"/>
      <c r="F31" s="264"/>
      <c r="G31" s="264"/>
      <c r="H31" s="264"/>
      <c r="I31" s="264"/>
      <c r="J31" s="264"/>
      <c r="K31" s="264"/>
      <c r="L31" s="264"/>
      <c r="M31" s="264">
        <v>-5.99</v>
      </c>
      <c r="N31" s="265">
        <v>-125.736</v>
      </c>
    </row>
    <row r="32" spans="1:14" ht="29.25" customHeight="1" x14ac:dyDescent="0.35">
      <c r="A32" s="1" t="s">
        <v>82</v>
      </c>
      <c r="B32" s="1" t="s">
        <v>82</v>
      </c>
      <c r="C32" s="15">
        <f t="shared" si="1"/>
        <v>0</v>
      </c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5"/>
    </row>
    <row r="33" spans="1:14" ht="29.25" customHeight="1" x14ac:dyDescent="0.35">
      <c r="A33" s="1" t="s">
        <v>82</v>
      </c>
      <c r="B33" s="1" t="s">
        <v>82</v>
      </c>
      <c r="C33" s="15">
        <f t="shared" si="1"/>
        <v>0</v>
      </c>
      <c r="D33" s="264"/>
      <c r="E33" s="264"/>
      <c r="F33" s="264"/>
      <c r="G33" s="264"/>
      <c r="H33" s="264"/>
      <c r="I33" s="264"/>
      <c r="J33" s="264"/>
      <c r="K33" s="264"/>
      <c r="L33" s="264"/>
      <c r="M33" s="264"/>
      <c r="N33" s="265"/>
    </row>
    <row r="34" spans="1:14" ht="29.25" customHeight="1" x14ac:dyDescent="0.35">
      <c r="A34" s="1" t="s">
        <v>82</v>
      </c>
      <c r="B34" s="1" t="s">
        <v>82</v>
      </c>
      <c r="C34" s="15">
        <f t="shared" si="1"/>
        <v>0</v>
      </c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265"/>
    </row>
    <row r="35" spans="1:14" ht="29.25" customHeight="1" x14ac:dyDescent="0.35">
      <c r="A35" s="1" t="s">
        <v>82</v>
      </c>
      <c r="B35" s="1" t="s">
        <v>82</v>
      </c>
      <c r="C35" s="15">
        <f t="shared" si="1"/>
        <v>0</v>
      </c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265"/>
    </row>
    <row r="36" spans="1:14" ht="29.25" customHeight="1" x14ac:dyDescent="0.35">
      <c r="A36" s="1" t="s">
        <v>82</v>
      </c>
      <c r="B36" s="1" t="s">
        <v>82</v>
      </c>
      <c r="C36" s="15">
        <f t="shared" si="1"/>
        <v>0</v>
      </c>
      <c r="D36" s="264"/>
      <c r="E36" s="264"/>
      <c r="F36" s="264"/>
      <c r="G36" s="264"/>
      <c r="H36" s="264"/>
      <c r="I36" s="264"/>
      <c r="J36" s="264"/>
      <c r="K36" s="264"/>
      <c r="L36" s="264"/>
      <c r="M36" s="264"/>
      <c r="N36" s="265"/>
    </row>
    <row r="37" spans="1:14" ht="29.25" customHeight="1" x14ac:dyDescent="0.35">
      <c r="A37" s="1" t="s">
        <v>82</v>
      </c>
      <c r="B37" s="1" t="s">
        <v>82</v>
      </c>
      <c r="C37" s="15">
        <f t="shared" si="1"/>
        <v>0</v>
      </c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5"/>
    </row>
    <row r="38" spans="1:14" ht="29.25" customHeight="1" x14ac:dyDescent="0.35">
      <c r="A38" s="1" t="s">
        <v>82</v>
      </c>
      <c r="B38" s="1" t="s">
        <v>82</v>
      </c>
      <c r="C38" s="15">
        <f t="shared" si="1"/>
        <v>0</v>
      </c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5"/>
    </row>
    <row r="39" spans="1:14" ht="29.25" customHeight="1" x14ac:dyDescent="0.35">
      <c r="A39" s="1" t="s">
        <v>82</v>
      </c>
      <c r="B39" s="1" t="s">
        <v>82</v>
      </c>
      <c r="C39" s="15">
        <f t="shared" si="1"/>
        <v>0</v>
      </c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5"/>
    </row>
    <row r="40" spans="1:14" ht="29.25" customHeight="1" x14ac:dyDescent="0.35">
      <c r="A40" s="1" t="s">
        <v>82</v>
      </c>
      <c r="B40" s="1" t="s">
        <v>82</v>
      </c>
      <c r="C40" s="15">
        <f t="shared" si="1"/>
        <v>0</v>
      </c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5"/>
    </row>
    <row r="41" spans="1:14" ht="29.25" customHeight="1" x14ac:dyDescent="0.35">
      <c r="A41" s="1" t="s">
        <v>82</v>
      </c>
      <c r="B41" s="1" t="s">
        <v>82</v>
      </c>
      <c r="C41" s="15">
        <f t="shared" si="1"/>
        <v>0</v>
      </c>
      <c r="D41" s="264"/>
      <c r="E41" s="264"/>
      <c r="F41" s="264"/>
      <c r="G41" s="264"/>
      <c r="H41" s="264"/>
      <c r="I41" s="264"/>
      <c r="J41" s="264"/>
      <c r="K41" s="264"/>
      <c r="L41" s="264"/>
      <c r="M41" s="264"/>
      <c r="N41" s="265"/>
    </row>
    <row r="42" spans="1:14" ht="29.25" customHeight="1" x14ac:dyDescent="0.35">
      <c r="A42" s="1" t="s">
        <v>82</v>
      </c>
      <c r="B42" s="1" t="s">
        <v>82</v>
      </c>
      <c r="C42" s="15">
        <f t="shared" si="1"/>
        <v>0</v>
      </c>
      <c r="D42" s="264"/>
      <c r="E42" s="264"/>
      <c r="F42" s="264"/>
      <c r="G42" s="264"/>
      <c r="H42" s="264"/>
      <c r="I42" s="264"/>
      <c r="J42" s="264"/>
      <c r="K42" s="264"/>
      <c r="L42" s="264"/>
      <c r="M42" s="264"/>
      <c r="N42" s="265"/>
    </row>
    <row r="43" spans="1:14" ht="29.25" customHeight="1" x14ac:dyDescent="0.35">
      <c r="A43" s="1" t="s">
        <v>82</v>
      </c>
      <c r="B43" s="1" t="s">
        <v>82</v>
      </c>
      <c r="C43" s="15">
        <f t="shared" si="1"/>
        <v>0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5"/>
    </row>
    <row r="44" spans="1:14" ht="29.25" customHeight="1" x14ac:dyDescent="0.35">
      <c r="A44" s="1" t="s">
        <v>82</v>
      </c>
      <c r="B44" s="1" t="s">
        <v>82</v>
      </c>
      <c r="C44" s="15">
        <f t="shared" si="1"/>
        <v>0</v>
      </c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5"/>
    </row>
    <row r="45" spans="1:14" ht="29.25" customHeight="1" x14ac:dyDescent="0.35">
      <c r="A45" s="1" t="s">
        <v>82</v>
      </c>
      <c r="B45" s="1" t="s">
        <v>82</v>
      </c>
      <c r="C45" s="15">
        <f t="shared" si="1"/>
        <v>0</v>
      </c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5"/>
    </row>
    <row r="46" spans="1:14" ht="29.25" customHeight="1" x14ac:dyDescent="0.35">
      <c r="A46" s="1" t="s">
        <v>82</v>
      </c>
      <c r="B46" s="1" t="s">
        <v>82</v>
      </c>
      <c r="C46" s="15">
        <f t="shared" si="1"/>
        <v>0</v>
      </c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5"/>
    </row>
    <row r="47" spans="1:14" ht="29.25" customHeight="1" x14ac:dyDescent="0.35">
      <c r="A47" s="1" t="s">
        <v>82</v>
      </c>
      <c r="B47" s="1" t="s">
        <v>82</v>
      </c>
      <c r="C47" s="15">
        <f t="shared" ref="C47:C54" si="2">N47-D47-E47-F47-G47-H47-I47-J47-K47-L47-M47-D101-E101-F101-G101-H101-I101-J101-K101-L101-C101</f>
        <v>0</v>
      </c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5"/>
    </row>
    <row r="48" spans="1:14" ht="29.25" customHeight="1" x14ac:dyDescent="0.35">
      <c r="A48" s="1" t="s">
        <v>82</v>
      </c>
      <c r="B48" s="1" t="s">
        <v>82</v>
      </c>
      <c r="C48" s="15">
        <f t="shared" si="2"/>
        <v>0</v>
      </c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5"/>
    </row>
    <row r="49" spans="1:15" ht="29.25" customHeight="1" x14ac:dyDescent="0.35">
      <c r="A49" s="1" t="s">
        <v>82</v>
      </c>
      <c r="B49" s="1" t="s">
        <v>82</v>
      </c>
      <c r="C49" s="15">
        <f t="shared" si="2"/>
        <v>0</v>
      </c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5"/>
    </row>
    <row r="50" spans="1:15" ht="29.25" customHeight="1" x14ac:dyDescent="0.35">
      <c r="A50" s="1" t="s">
        <v>82</v>
      </c>
      <c r="B50" s="1" t="s">
        <v>82</v>
      </c>
      <c r="C50" s="15">
        <f t="shared" si="2"/>
        <v>0</v>
      </c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5"/>
    </row>
    <row r="51" spans="1:15" ht="29.25" customHeight="1" x14ac:dyDescent="0.35">
      <c r="A51" s="1" t="s">
        <v>82</v>
      </c>
      <c r="B51" s="1" t="s">
        <v>82</v>
      </c>
      <c r="C51" s="15">
        <f t="shared" si="2"/>
        <v>0</v>
      </c>
      <c r="D51" s="264"/>
      <c r="E51" s="264"/>
      <c r="F51" s="264"/>
      <c r="G51" s="264"/>
      <c r="H51" s="264"/>
      <c r="I51" s="264"/>
      <c r="J51" s="264"/>
      <c r="K51" s="264"/>
      <c r="L51" s="264"/>
      <c r="M51" s="264"/>
      <c r="N51" s="265"/>
    </row>
    <row r="52" spans="1:15" ht="29.25" customHeight="1" x14ac:dyDescent="0.35">
      <c r="A52" s="1" t="s">
        <v>82</v>
      </c>
      <c r="B52" s="1" t="s">
        <v>82</v>
      </c>
      <c r="C52" s="15">
        <f t="shared" si="2"/>
        <v>0</v>
      </c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5"/>
    </row>
    <row r="53" spans="1:15" ht="29.25" customHeight="1" x14ac:dyDescent="0.35">
      <c r="A53" s="1" t="s">
        <v>82</v>
      </c>
      <c r="B53" s="1" t="s">
        <v>82</v>
      </c>
      <c r="C53" s="15">
        <f t="shared" si="2"/>
        <v>0</v>
      </c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5"/>
    </row>
    <row r="54" spans="1:15" ht="29.25" customHeight="1" x14ac:dyDescent="0.35">
      <c r="A54" s="1" t="s">
        <v>82</v>
      </c>
      <c r="B54" s="1" t="s">
        <v>82</v>
      </c>
      <c r="C54" s="15">
        <f t="shared" si="2"/>
        <v>0</v>
      </c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5"/>
    </row>
    <row r="55" spans="1:15" ht="29.25" customHeight="1" x14ac:dyDescent="0.35">
      <c r="A55" s="1" t="s">
        <v>82</v>
      </c>
      <c r="B55" s="1" t="s">
        <v>82</v>
      </c>
      <c r="C55" s="15">
        <f t="shared" ref="C55" si="3">N55-D55-E55-F55-G55-H55-I55-J55-K55-L55-M55-D109-E109-F109-G109-H109-I109-J109-K109-L109-C109</f>
        <v>0</v>
      </c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5"/>
    </row>
    <row r="56" spans="1:15" ht="29.25" customHeight="1" thickBot="1" x14ac:dyDescent="0.4">
      <c r="A56" s="9" t="s">
        <v>0</v>
      </c>
      <c r="B56" s="9" t="s">
        <v>39</v>
      </c>
      <c r="C56" s="16">
        <f>C3</f>
        <v>129.06477999999998</v>
      </c>
      <c r="D56" s="16"/>
      <c r="E56" s="16">
        <f t="shared" ref="E56:L56" si="4">E3</f>
        <v>26.730990000000002</v>
      </c>
      <c r="F56" s="16">
        <f t="shared" si="4"/>
        <v>0</v>
      </c>
      <c r="G56" s="16">
        <f t="shared" si="4"/>
        <v>0</v>
      </c>
      <c r="H56" s="16">
        <f t="shared" si="4"/>
        <v>0</v>
      </c>
      <c r="I56" s="16">
        <f t="shared" si="4"/>
        <v>42.93159</v>
      </c>
      <c r="J56" s="16">
        <f t="shared" si="4"/>
        <v>32.941220000000001</v>
      </c>
      <c r="K56" s="16">
        <f t="shared" si="4"/>
        <v>38.341419999999992</v>
      </c>
      <c r="L56" s="16">
        <f t="shared" si="4"/>
        <v>0</v>
      </c>
      <c r="M56" s="16"/>
      <c r="N56" s="60">
        <f>SUM(C56:M56)+SUM(C118:J118)</f>
        <v>270.00999999999993</v>
      </c>
      <c r="O56" s="150" t="s">
        <v>656</v>
      </c>
    </row>
    <row r="57" spans="1:15" ht="29.25" customHeight="1" thickBot="1" x14ac:dyDescent="0.45">
      <c r="A57" s="24" t="s">
        <v>84</v>
      </c>
      <c r="B57" s="10"/>
      <c r="C57" s="61">
        <f t="shared" ref="C57:M57" si="5">SUM(C6:C56)</f>
        <v>23095.188779999997</v>
      </c>
      <c r="D57" s="61">
        <f t="shared" si="5"/>
        <v>0</v>
      </c>
      <c r="E57" s="61">
        <f t="shared" si="5"/>
        <v>7706.9809899999991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4167.59159</v>
      </c>
      <c r="J57" s="61">
        <f t="shared" si="5"/>
        <v>32.941220000000001</v>
      </c>
      <c r="K57" s="61">
        <f t="shared" si="5"/>
        <v>5478.2814199999993</v>
      </c>
      <c r="L57" s="61">
        <f t="shared" si="5"/>
        <v>0</v>
      </c>
      <c r="M57" s="61">
        <f t="shared" si="5"/>
        <v>440.95</v>
      </c>
      <c r="N57" s="61">
        <f>SUM(N6:N56)</f>
        <v>40921.934000000008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405" t="str">
        <f>A6</f>
        <v>4003807742</v>
      </c>
      <c r="B60" s="405" t="str">
        <f>B6</f>
        <v>SAPUTO DAIRY PRODUCTS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109" si="6">A7</f>
        <v>5653634</v>
      </c>
      <c r="B61" s="405" t="str">
        <f t="shared" si="6"/>
        <v>THE GROCERY PEOPLE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6"/>
        <v>5653683</v>
      </c>
      <c r="B62" s="405" t="str">
        <f t="shared" si="6"/>
        <v>THE GROCERY PEOPLE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6"/>
        <v>5653712</v>
      </c>
      <c r="B63" s="405" t="str">
        <f t="shared" si="6"/>
        <v>THE GROCERY PEOPLE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6"/>
        <v>8252831</v>
      </c>
      <c r="B64" s="405" t="str">
        <f t="shared" si="6"/>
        <v>THE GROCERY PEOPLE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6"/>
        <v>8252914</v>
      </c>
      <c r="B65" s="405" t="str">
        <f t="shared" si="6"/>
        <v>THE GROCERY PEOPLE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6"/>
        <v>5653216</v>
      </c>
      <c r="B66" s="405" t="str">
        <f t="shared" si="6"/>
        <v>THE GROCERY PEOPLE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6"/>
        <v>5653394</v>
      </c>
      <c r="B67" s="405" t="str">
        <f t="shared" si="6"/>
        <v>THE GROCERY PEOPLE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6"/>
        <v>5653453</v>
      </c>
      <c r="B68" s="405" t="str">
        <f t="shared" si="6"/>
        <v>THE GROCERY PEOPLE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6"/>
        <v>5653506</v>
      </c>
      <c r="B69" s="405" t="str">
        <f t="shared" si="6"/>
        <v>THE GROCERY PEOPLE</v>
      </c>
      <c r="C69" s="26"/>
      <c r="D69" s="26"/>
      <c r="E69" s="26"/>
      <c r="F69" s="26"/>
      <c r="G69" s="26"/>
      <c r="H69" s="26"/>
      <c r="I69" s="26"/>
      <c r="J69" s="52"/>
      <c r="K69" s="48"/>
      <c r="L69" s="2"/>
    </row>
    <row r="70" spans="1:13" ht="29.25" customHeight="1" x14ac:dyDescent="0.35">
      <c r="A70" s="70" t="str">
        <f t="shared" si="6"/>
        <v>5653711</v>
      </c>
      <c r="B70" s="405" t="str">
        <f t="shared" si="6"/>
        <v>THE GROCERY PEOPLE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6"/>
        <v>5652674</v>
      </c>
      <c r="B71" s="405" t="str">
        <f t="shared" si="6"/>
        <v>THE GROCERY PEOPLE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6"/>
        <v>5654123</v>
      </c>
      <c r="B72" s="405" t="str">
        <f t="shared" si="6"/>
        <v>THE GROCERY PEOPLE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6"/>
        <v>5654308</v>
      </c>
      <c r="B73" s="405" t="str">
        <f t="shared" si="6"/>
        <v>THE GROCERY PEOPLE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6"/>
        <v>6699576</v>
      </c>
      <c r="B74" s="405" t="str">
        <f t="shared" si="6"/>
        <v>THE GROCERY PEOPLE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6"/>
        <v>6701953</v>
      </c>
      <c r="B75" s="405" t="str">
        <f t="shared" si="6"/>
        <v>THE GROCERY PEOPLE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6"/>
        <v>6701954</v>
      </c>
      <c r="B76" s="405" t="str">
        <f t="shared" si="6"/>
        <v>THE GROCERY PEOPLE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si="6"/>
        <v>6701955</v>
      </c>
      <c r="B77" s="405" t="str">
        <f t="shared" si="6"/>
        <v>THE GROCERY PEOPLE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6"/>
        <v>6703548</v>
      </c>
      <c r="B78" s="405" t="str">
        <f t="shared" si="6"/>
        <v>THE GROCERY PEOPLE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6"/>
        <v>119525</v>
      </c>
      <c r="B79" s="405" t="str">
        <f t="shared" si="6"/>
        <v>KENNELLI SPRINGS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6"/>
        <v>7726195003</v>
      </c>
      <c r="B80" s="405" t="str">
        <f t="shared" si="6"/>
        <v>UNITED DISTRIBUTION NETWORK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6"/>
        <v>7726195004</v>
      </c>
      <c r="B81" s="405" t="str">
        <f t="shared" si="6"/>
        <v>UNITED DISTRIBUTION NETWORK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6"/>
        <v>7726195005</v>
      </c>
      <c r="B82" s="405" t="str">
        <f t="shared" si="6"/>
        <v>UNITED DISTRIBUTION NETWORK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6"/>
        <v>7726195006</v>
      </c>
      <c r="B83" s="405" t="str">
        <f t="shared" si="6"/>
        <v>UNITED DISTRIBUTION NETWORK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6"/>
        <v>96287176</v>
      </c>
      <c r="B84" s="405" t="str">
        <f t="shared" si="6"/>
        <v>FRITO LAY CANADA RETAIL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6"/>
        <v>77684243</v>
      </c>
      <c r="B85" s="405" t="str">
        <f t="shared" si="6"/>
        <v>FRITO LAY CANADA RETAIL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6"/>
        <v xml:space="preserve"> </v>
      </c>
      <c r="B86" s="405" t="str">
        <f t="shared" si="6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6"/>
        <v xml:space="preserve"> </v>
      </c>
      <c r="B87" s="405" t="str">
        <f t="shared" si="6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6"/>
        <v xml:space="preserve"> </v>
      </c>
      <c r="B88" s="405" t="str">
        <f t="shared" si="6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6"/>
        <v xml:space="preserve"> </v>
      </c>
      <c r="B89" s="405" t="str">
        <f t="shared" si="6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6"/>
        <v xml:space="preserve"> </v>
      </c>
      <c r="B90" s="405" t="str">
        <f t="shared" si="6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6"/>
        <v xml:space="preserve"> </v>
      </c>
      <c r="B91" s="405" t="str">
        <f t="shared" si="6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6"/>
        <v xml:space="preserve"> </v>
      </c>
      <c r="B92" s="405" t="str">
        <f t="shared" si="6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si="6"/>
        <v xml:space="preserve"> </v>
      </c>
      <c r="B93" s="405" t="str">
        <f t="shared" si="6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6"/>
        <v xml:space="preserve"> </v>
      </c>
      <c r="B94" s="405" t="str">
        <f t="shared" si="6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6"/>
        <v xml:space="preserve"> </v>
      </c>
      <c r="B95" s="405" t="str">
        <f t="shared" si="6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6"/>
        <v xml:space="preserve"> </v>
      </c>
      <c r="B96" s="405" t="str">
        <f t="shared" si="6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6"/>
        <v xml:space="preserve"> </v>
      </c>
      <c r="B97" s="405" t="str">
        <f t="shared" si="6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6"/>
        <v xml:space="preserve"> </v>
      </c>
      <c r="B98" s="405" t="str">
        <f t="shared" si="6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6"/>
        <v xml:space="preserve"> </v>
      </c>
      <c r="B99" s="405" t="str">
        <f t="shared" si="6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6"/>
        <v xml:space="preserve"> </v>
      </c>
      <c r="B100" s="405" t="str">
        <f t="shared" si="6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6"/>
        <v xml:space="preserve"> </v>
      </c>
      <c r="B101" s="405" t="str">
        <f t="shared" si="6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6"/>
        <v xml:space="preserve"> </v>
      </c>
      <c r="B102" s="405" t="str">
        <f t="shared" si="6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6"/>
        <v xml:space="preserve"> </v>
      </c>
      <c r="B103" s="405" t="str">
        <f t="shared" si="6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6"/>
        <v xml:space="preserve"> </v>
      </c>
      <c r="B104" s="405" t="str">
        <f t="shared" si="6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6"/>
        <v xml:space="preserve"> </v>
      </c>
      <c r="B105" s="405" t="str">
        <f t="shared" si="6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6"/>
        <v xml:space="preserve"> </v>
      </c>
      <c r="B106" s="405" t="str">
        <f t="shared" si="6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6"/>
        <v xml:space="preserve"> </v>
      </c>
      <c r="B107" s="405" t="str">
        <f t="shared" si="6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6"/>
        <v xml:space="preserve"> </v>
      </c>
      <c r="B108" s="405" t="str">
        <f t="shared" si="6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si="6"/>
        <v xml:space="preserve"> </v>
      </c>
      <c r="B109" s="405" t="str">
        <f t="shared" si="6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7">SUM(E60:E109)</f>
        <v>0</v>
      </c>
      <c r="F110" s="53">
        <f t="shared" si="7"/>
        <v>0</v>
      </c>
      <c r="G110" s="53">
        <f t="shared" si="7"/>
        <v>0</v>
      </c>
      <c r="H110" s="53">
        <f t="shared" si="7"/>
        <v>0</v>
      </c>
      <c r="I110" s="53">
        <f t="shared" si="7"/>
        <v>0</v>
      </c>
      <c r="J110" s="54">
        <f t="shared" si="7"/>
        <v>0</v>
      </c>
      <c r="K110" s="49">
        <f t="shared" si="7"/>
        <v>0</v>
      </c>
      <c r="L110" s="11">
        <v>0</v>
      </c>
      <c r="M110" s="14"/>
    </row>
  </sheetData>
  <hyperlinks>
    <hyperlink ref="M1" location="'Receiving Totals'!A1" display="Receiving Totals" xr:uid="{6CD969BB-1C4E-471A-AFC3-1131A9E05A6A}"/>
  </hyperlinks>
  <pageMargins left="0.7" right="0.7" top="0.75" bottom="0.75" header="0.3" footer="0.3"/>
  <pageSetup scale="29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C52A-D735-4FE4-8B9A-F5B849F39599}">
  <sheetPr>
    <tabColor rgb="FFFF0000"/>
  </sheetPr>
  <dimension ref="A1:O110"/>
  <sheetViews>
    <sheetView zoomScale="70" zoomScaleNormal="70" workbookViewId="0">
      <pane ySplit="5" topLeftCell="A45" activePane="bottomLeft" state="frozen"/>
      <selection activeCell="A12" sqref="A12"/>
      <selection pane="bottomLeft" activeCell="A11" sqref="A11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5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5" ht="33" customHeight="1" x14ac:dyDescent="0.5">
      <c r="A3" s="12"/>
      <c r="B3" s="65" t="s">
        <v>13</v>
      </c>
      <c r="C3" s="22">
        <f>C2*$N$3</f>
        <v>36.696059999999996</v>
      </c>
      <c r="D3" s="22"/>
      <c r="E3" s="22">
        <f t="shared" ref="E3:L3" si="0">E2*$N$3</f>
        <v>7.6002299999999998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12.206429999999999</v>
      </c>
      <c r="J3" s="22">
        <f t="shared" si="0"/>
        <v>9.3659400000000002</v>
      </c>
      <c r="K3" s="22">
        <f t="shared" si="0"/>
        <v>10.901339999999998</v>
      </c>
      <c r="L3" s="22">
        <f t="shared" si="0"/>
        <v>0</v>
      </c>
      <c r="M3" s="22"/>
      <c r="N3" s="23">
        <v>76.77</v>
      </c>
    </row>
    <row r="4" spans="1:15" ht="21" customHeight="1" thickBot="1" x14ac:dyDescent="0.4">
      <c r="A4" s="63" t="s">
        <v>14</v>
      </c>
      <c r="B4" s="64">
        <f>'Tuesday WK4 (24)'!$B$4+1</f>
        <v>46218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29.25" customHeight="1" x14ac:dyDescent="0.35">
      <c r="A6" s="1" t="s">
        <v>657</v>
      </c>
      <c r="B6" s="68" t="s">
        <v>39</v>
      </c>
      <c r="C6" s="15">
        <f t="shared" ref="C6:C16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>
        <v>-35.049999999999997</v>
      </c>
      <c r="L6" s="15"/>
      <c r="M6" s="15"/>
      <c r="N6" s="55">
        <v>-35.049999999999997</v>
      </c>
      <c r="O6" s="148" t="s">
        <v>658</v>
      </c>
    </row>
    <row r="7" spans="1:15" ht="29.25" customHeight="1" x14ac:dyDescent="0.35">
      <c r="A7" s="1" t="s">
        <v>659</v>
      </c>
      <c r="B7" s="68" t="s">
        <v>39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>
        <v>-5.87</v>
      </c>
      <c r="L7" s="15"/>
      <c r="M7" s="15"/>
      <c r="N7" s="55">
        <v>-5.87</v>
      </c>
      <c r="O7" s="148" t="s">
        <v>660</v>
      </c>
    </row>
    <row r="8" spans="1:15" ht="29.25" customHeight="1" x14ac:dyDescent="0.35">
      <c r="A8" s="1" t="s">
        <v>661</v>
      </c>
      <c r="B8" s="68" t="s">
        <v>39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>
        <v>180.9</v>
      </c>
      <c r="L8" s="15"/>
      <c r="M8" s="15"/>
      <c r="N8" s="55">
        <v>180.9</v>
      </c>
      <c r="O8" s="148" t="s">
        <v>662</v>
      </c>
    </row>
    <row r="9" spans="1:15" ht="29.25" customHeight="1" x14ac:dyDescent="0.35">
      <c r="A9" s="1" t="s">
        <v>663</v>
      </c>
      <c r="B9" s="68" t="s">
        <v>39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>
        <v>-63.57</v>
      </c>
      <c r="L9" s="15"/>
      <c r="M9" s="15"/>
      <c r="N9" s="55">
        <v>-63.57</v>
      </c>
      <c r="O9" s="148" t="s">
        <v>664</v>
      </c>
    </row>
    <row r="10" spans="1:15" ht="29.25" customHeight="1" x14ac:dyDescent="0.35">
      <c r="A10" s="1" t="s">
        <v>665</v>
      </c>
      <c r="B10" s="68" t="s">
        <v>39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>
        <v>-39.14</v>
      </c>
      <c r="L10" s="15"/>
      <c r="M10" s="15"/>
      <c r="N10" s="55">
        <v>-39.14</v>
      </c>
      <c r="O10" s="148" t="s">
        <v>666</v>
      </c>
    </row>
    <row r="11" spans="1:15" ht="29.25" customHeight="1" x14ac:dyDescent="0.35">
      <c r="A11" s="1" t="s">
        <v>667</v>
      </c>
      <c r="B11" s="68" t="s">
        <v>39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>
        <v>-16.93</v>
      </c>
      <c r="L11" s="15"/>
      <c r="M11" s="15"/>
      <c r="N11" s="55">
        <v>-16.93</v>
      </c>
      <c r="O11" s="148" t="s">
        <v>668</v>
      </c>
    </row>
    <row r="12" spans="1:15" ht="29.25" customHeight="1" x14ac:dyDescent="0.35">
      <c r="A12" s="1" t="s">
        <v>669</v>
      </c>
      <c r="B12" s="68" t="s">
        <v>39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>
        <v>-7.28</v>
      </c>
      <c r="L12" s="15"/>
      <c r="M12" s="15">
        <v>0</v>
      </c>
      <c r="N12" s="55">
        <v>-7.28</v>
      </c>
      <c r="O12" s="148" t="s">
        <v>670</v>
      </c>
    </row>
    <row r="13" spans="1:15" ht="29.25" customHeight="1" x14ac:dyDescent="0.35">
      <c r="A13" s="1" t="s">
        <v>671</v>
      </c>
      <c r="B13" s="68" t="s">
        <v>39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>
        <v>-23.75</v>
      </c>
      <c r="L13" s="15"/>
      <c r="M13" s="15"/>
      <c r="N13" s="55">
        <v>-23.75</v>
      </c>
      <c r="O13" s="148" t="s">
        <v>672</v>
      </c>
    </row>
    <row r="14" spans="1:15" ht="29.25" customHeight="1" x14ac:dyDescent="0.35">
      <c r="A14" s="1" t="s">
        <v>673</v>
      </c>
      <c r="B14" s="68" t="s">
        <v>39</v>
      </c>
      <c r="C14" s="15">
        <f t="shared" si="1"/>
        <v>0</v>
      </c>
      <c r="D14" s="15"/>
      <c r="E14" s="15"/>
      <c r="F14" s="15"/>
      <c r="G14" s="15"/>
      <c r="H14" s="15"/>
      <c r="I14" s="15">
        <v>-322.60000000000002</v>
      </c>
      <c r="J14" s="15"/>
      <c r="K14" s="15"/>
      <c r="L14" s="15"/>
      <c r="M14" s="15"/>
      <c r="N14" s="55">
        <v>-322.60000000000002</v>
      </c>
      <c r="O14" s="148" t="s">
        <v>674</v>
      </c>
    </row>
    <row r="15" spans="1:15" ht="29.25" customHeight="1" x14ac:dyDescent="0.35">
      <c r="A15" s="1" t="s">
        <v>675</v>
      </c>
      <c r="B15" s="68" t="s">
        <v>39</v>
      </c>
      <c r="C15" s="15">
        <f t="shared" si="1"/>
        <v>0</v>
      </c>
      <c r="D15" s="15"/>
      <c r="E15" s="15"/>
      <c r="F15" s="15"/>
      <c r="G15" s="15"/>
      <c r="H15" s="15"/>
      <c r="I15" s="15">
        <v>-213.2</v>
      </c>
      <c r="J15" s="15"/>
      <c r="K15" s="15"/>
      <c r="L15" s="15"/>
      <c r="M15" s="15"/>
      <c r="N15" s="55">
        <v>-213.2</v>
      </c>
      <c r="O15" s="148" t="s">
        <v>676</v>
      </c>
    </row>
    <row r="16" spans="1:15" ht="29.25" customHeight="1" x14ac:dyDescent="0.35">
      <c r="A16" s="1" t="s">
        <v>677</v>
      </c>
      <c r="B16" s="68" t="s">
        <v>39</v>
      </c>
      <c r="C16" s="15">
        <f t="shared" si="1"/>
        <v>0</v>
      </c>
      <c r="D16" s="15"/>
      <c r="E16" s="15"/>
      <c r="F16" s="15"/>
      <c r="G16" s="15"/>
      <c r="H16" s="15"/>
      <c r="I16" s="15">
        <v>-174.85</v>
      </c>
      <c r="J16" s="15"/>
      <c r="K16" s="15"/>
      <c r="L16" s="15"/>
      <c r="M16" s="15"/>
      <c r="N16" s="55">
        <v>-174.85</v>
      </c>
      <c r="O16" s="148" t="s">
        <v>678</v>
      </c>
    </row>
    <row r="17" spans="1:15" ht="29.25" customHeight="1" x14ac:dyDescent="0.35">
      <c r="A17" s="1" t="s">
        <v>679</v>
      </c>
      <c r="B17" s="68" t="s">
        <v>39</v>
      </c>
      <c r="C17" s="15">
        <f t="shared" ref="C17:C23" si="2">N17-D17-E17-F17-G17-H17-I17-J17-K17-L17-M17-D71-E71-F71-G71-H71-I71-J71-K71-L71-C71</f>
        <v>-60.3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>
        <v>-60.3</v>
      </c>
      <c r="O17" s="148" t="s">
        <v>680</v>
      </c>
    </row>
    <row r="18" spans="1:15" ht="29.25" customHeight="1" x14ac:dyDescent="0.35">
      <c r="A18" s="1" t="s">
        <v>681</v>
      </c>
      <c r="B18" s="68" t="s">
        <v>39</v>
      </c>
      <c r="C18" s="15">
        <f t="shared" si="2"/>
        <v>-221.45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>
        <v>-221.45</v>
      </c>
      <c r="O18" s="148" t="s">
        <v>682</v>
      </c>
    </row>
    <row r="19" spans="1:15" ht="29.25" customHeight="1" x14ac:dyDescent="0.35">
      <c r="A19" s="1" t="s">
        <v>683</v>
      </c>
      <c r="B19" s="68" t="s">
        <v>39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>
        <v>-23.76</v>
      </c>
      <c r="L19" s="15"/>
      <c r="M19" s="15"/>
      <c r="N19" s="55">
        <v>-23.76</v>
      </c>
      <c r="O19" s="148" t="s">
        <v>684</v>
      </c>
    </row>
    <row r="20" spans="1:15" ht="29.25" customHeight="1" x14ac:dyDescent="0.35">
      <c r="A20" s="1" t="s">
        <v>685</v>
      </c>
      <c r="B20" s="68" t="s">
        <v>39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>
        <v>-276.77</v>
      </c>
      <c r="L20" s="15"/>
      <c r="M20" s="15"/>
      <c r="N20" s="55">
        <v>-276.77</v>
      </c>
      <c r="O20" s="148" t="s">
        <v>686</v>
      </c>
    </row>
    <row r="21" spans="1:15" ht="29.25" customHeight="1" x14ac:dyDescent="0.35">
      <c r="A21" s="1" t="s">
        <v>687</v>
      </c>
      <c r="B21" s="68" t="s">
        <v>39</v>
      </c>
      <c r="C21" s="15">
        <f t="shared" si="2"/>
        <v>-2310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>
        <v>-2310</v>
      </c>
      <c r="O21" s="148" t="s">
        <v>688</v>
      </c>
    </row>
    <row r="22" spans="1:15" ht="29.25" customHeight="1" x14ac:dyDescent="0.35">
      <c r="A22" s="1" t="s">
        <v>82</v>
      </c>
      <c r="B22" s="68" t="s">
        <v>82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5" ht="29.25" customHeight="1" x14ac:dyDescent="0.35">
      <c r="A23" s="1" t="s">
        <v>82</v>
      </c>
      <c r="B23" s="68" t="s">
        <v>82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5" ht="29.25" customHeight="1" x14ac:dyDescent="0.35">
      <c r="A24" s="1" t="s">
        <v>82</v>
      </c>
      <c r="B24" s="68" t="s">
        <v>82</v>
      </c>
      <c r="C24" s="15">
        <f t="shared" ref="C24:C42" si="3">N24-D24-E24-F24-G24-H24-I24-J24-K24-L24-M24-D78-E78-F78-G78-H78-I78-J78-K78-L78-C78</f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5" ht="29.25" customHeight="1" x14ac:dyDescent="0.35">
      <c r="A25" s="1" t="s">
        <v>82</v>
      </c>
      <c r="B25" s="68" t="s">
        <v>82</v>
      </c>
      <c r="C25" s="15">
        <f t="shared" si="3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5" ht="29.25" customHeight="1" x14ac:dyDescent="0.35">
      <c r="A26" s="1" t="s">
        <v>82</v>
      </c>
      <c r="B26" s="68" t="s">
        <v>82</v>
      </c>
      <c r="C26" s="15">
        <f t="shared" si="3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5" ht="29.25" customHeight="1" x14ac:dyDescent="0.35">
      <c r="A27" s="1" t="s">
        <v>82</v>
      </c>
      <c r="B27" s="68" t="s">
        <v>82</v>
      </c>
      <c r="C27" s="15">
        <f t="shared" si="3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5" ht="29.25" customHeight="1" x14ac:dyDescent="0.35">
      <c r="A28" s="1" t="s">
        <v>82</v>
      </c>
      <c r="B28" s="68" t="s">
        <v>82</v>
      </c>
      <c r="C28" s="15">
        <f t="shared" si="3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5" ht="29.25" customHeight="1" x14ac:dyDescent="0.35">
      <c r="A29" s="1" t="s">
        <v>82</v>
      </c>
      <c r="B29" s="68" t="s">
        <v>82</v>
      </c>
      <c r="C29" s="15">
        <f t="shared" si="3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5" ht="29.25" customHeight="1" x14ac:dyDescent="0.35">
      <c r="A30" s="1" t="s">
        <v>82</v>
      </c>
      <c r="B30" s="68" t="s">
        <v>82</v>
      </c>
      <c r="C30" s="15">
        <f t="shared" si="3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5" ht="29.25" customHeight="1" x14ac:dyDescent="0.35">
      <c r="A31" s="1" t="s">
        <v>82</v>
      </c>
      <c r="B31" s="68" t="s">
        <v>82</v>
      </c>
      <c r="C31" s="15">
        <f t="shared" si="3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5" ht="29.25" customHeight="1" x14ac:dyDescent="0.35">
      <c r="A32" s="1" t="s">
        <v>82</v>
      </c>
      <c r="B32" s="68" t="s">
        <v>82</v>
      </c>
      <c r="C32" s="15">
        <f t="shared" si="3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3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3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3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3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3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3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3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3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3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3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ref="C43:C46" si="4">N43-D43-E43-F43-G43-H43-I43-J43-K43-L43-M43-D97-E97-F97-G97-H97-I97-J97-K97-L97-C97</f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4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4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4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ref="C47:C48" si="5">N47-D47-E47-F47-G47-H47-I47-J47-K47-L47-M47-D101-E101-F101-G101-H101-I101-J101-K101-L101-C101</f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ref="C49:C54" si="6">N49-D49-E49-F49-G49-H49-I49-J49-K49-L49-M49-D103-E103-F103-G103-H103-I103-J103-K103-L103-C103</f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si="6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6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6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6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6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7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39</v>
      </c>
      <c r="C56" s="16">
        <f>C3</f>
        <v>36.696059999999996</v>
      </c>
      <c r="D56" s="16"/>
      <c r="E56" s="16">
        <f>E3</f>
        <v>7.6002299999999998</v>
      </c>
      <c r="F56" s="16">
        <f t="shared" ref="F56:L56" si="8">F3</f>
        <v>0</v>
      </c>
      <c r="G56" s="16">
        <f t="shared" si="8"/>
        <v>0</v>
      </c>
      <c r="H56" s="16">
        <f t="shared" si="8"/>
        <v>0</v>
      </c>
      <c r="I56" s="16">
        <f t="shared" si="8"/>
        <v>12.206429999999999</v>
      </c>
      <c r="J56" s="16">
        <f t="shared" si="8"/>
        <v>9.3659400000000002</v>
      </c>
      <c r="K56" s="16">
        <f t="shared" si="8"/>
        <v>10.901339999999998</v>
      </c>
      <c r="L56" s="16">
        <f t="shared" si="8"/>
        <v>0</v>
      </c>
      <c r="M56" s="16"/>
      <c r="N56" s="60">
        <f>SUM(C56:M56)+SUM(C118:J118)</f>
        <v>76.769999999999982</v>
      </c>
      <c r="O56" s="150" t="s">
        <v>689</v>
      </c>
    </row>
    <row r="57" spans="1:15" ht="29.25" customHeight="1" thickBot="1" x14ac:dyDescent="0.45">
      <c r="A57" s="24" t="s">
        <v>84</v>
      </c>
      <c r="B57" s="10"/>
      <c r="C57" s="61">
        <f t="shared" ref="C57:M57" si="9">SUM(C6:C56)</f>
        <v>-2555.0539399999998</v>
      </c>
      <c r="D57" s="61">
        <f t="shared" si="9"/>
        <v>0</v>
      </c>
      <c r="E57" s="61">
        <f t="shared" si="9"/>
        <v>7.6002299999999998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-698.44357000000002</v>
      </c>
      <c r="J57" s="61">
        <f t="shared" si="9"/>
        <v>9.3659400000000002</v>
      </c>
      <c r="K57" s="61">
        <f t="shared" si="9"/>
        <v>-300.31865999999997</v>
      </c>
      <c r="L57" s="61">
        <f t="shared" si="9"/>
        <v>0</v>
      </c>
      <c r="M57" s="61">
        <f t="shared" si="9"/>
        <v>0</v>
      </c>
      <c r="N57" s="61">
        <f>SUM(N6:N56)</f>
        <v>-3536.85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>9599934</v>
      </c>
      <c r="B60" s="9" t="str">
        <f>B6</f>
        <v>THE GROCERY PEOPLE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10">A7</f>
        <v>9599932</v>
      </c>
      <c r="B61" s="9" t="str">
        <f t="shared" si="10"/>
        <v>THE GROCERY PEOPLE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10"/>
        <v>9599930</v>
      </c>
      <c r="B62" s="9" t="str">
        <f t="shared" si="10"/>
        <v>THE GROCERY PEOPLE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10"/>
        <v>9599926</v>
      </c>
      <c r="B63" s="9" t="str">
        <f t="shared" si="10"/>
        <v>THE GROCERY PEOPLE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10"/>
        <v>9599929</v>
      </c>
      <c r="B64" s="9" t="str">
        <f t="shared" si="10"/>
        <v>THE GROCERY PEOPLE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10"/>
        <v>9501795</v>
      </c>
      <c r="B65" s="9" t="str">
        <f t="shared" si="10"/>
        <v>THE GROCERY PEOPLE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10"/>
        <v>9501794</v>
      </c>
      <c r="B66" s="9" t="str">
        <f t="shared" si="10"/>
        <v>THE GROCERY PEOPLE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10"/>
        <v>9501793</v>
      </c>
      <c r="B67" s="9" t="str">
        <f t="shared" si="10"/>
        <v>THE GROCERY PEOPLE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10"/>
        <v>9502057</v>
      </c>
      <c r="B68" s="9" t="str">
        <f t="shared" si="10"/>
        <v>THE GROCERY PEOPLE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10"/>
        <v>9502056</v>
      </c>
      <c r="B69" s="9" t="str">
        <f t="shared" si="10"/>
        <v>THE GROCERY PEOPLE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10"/>
        <v>9501688</v>
      </c>
      <c r="B70" s="9" t="str">
        <f t="shared" si="10"/>
        <v>THE GROCERY PEOPLE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10"/>
        <v>9598475</v>
      </c>
      <c r="B71" s="9" t="str">
        <f t="shared" si="10"/>
        <v>THE GROCERY PEOPLE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0"/>
        <v>9599820</v>
      </c>
      <c r="B72" s="9" t="str">
        <f t="shared" si="10"/>
        <v>THE GROCERY PEOPLE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0"/>
        <v>9595551</v>
      </c>
      <c r="B73" s="9" t="str">
        <f t="shared" si="10"/>
        <v>THE GROCERY PEOPLE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0"/>
        <v>9597120</v>
      </c>
      <c r="B74" s="9" t="str">
        <f t="shared" si="10"/>
        <v>THE GROCERY PEOPLE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10"/>
        <v>6037</v>
      </c>
      <c r="B75" s="9" t="str">
        <f t="shared" si="10"/>
        <v>THE GROCERY PEOPLE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0"/>
        <v xml:space="preserve"> </v>
      </c>
      <c r="B76" s="9" t="str">
        <f t="shared" si="1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1">A23</f>
        <v xml:space="preserve"> </v>
      </c>
      <c r="B77" s="9" t="str">
        <f t="shared" si="11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1"/>
        <v xml:space="preserve"> </v>
      </c>
      <c r="B78" s="9" t="str">
        <f t="shared" si="11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1"/>
        <v xml:space="preserve"> </v>
      </c>
      <c r="B79" s="9" t="str">
        <f t="shared" si="11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1"/>
        <v xml:space="preserve"> </v>
      </c>
      <c r="B80" s="9" t="str">
        <f t="shared" si="11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1"/>
        <v xml:space="preserve"> </v>
      </c>
      <c r="B81" s="9" t="str">
        <f t="shared" si="11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1"/>
        <v xml:space="preserve"> </v>
      </c>
      <c r="B82" s="9" t="str">
        <f t="shared" si="1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1"/>
        <v xml:space="preserve"> </v>
      </c>
      <c r="B83" s="9" t="str">
        <f t="shared" si="11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1"/>
        <v xml:space="preserve"> </v>
      </c>
      <c r="B84" s="9" t="str">
        <f t="shared" si="1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1"/>
        <v xml:space="preserve"> </v>
      </c>
      <c r="B85" s="9" t="str">
        <f t="shared" si="11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1"/>
        <v xml:space="preserve"> </v>
      </c>
      <c r="B86" s="9" t="str">
        <f t="shared" si="11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1"/>
        <v xml:space="preserve"> </v>
      </c>
      <c r="B87" s="9" t="str">
        <f t="shared" si="11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1"/>
        <v xml:space="preserve"> </v>
      </c>
      <c r="B88" s="9" t="str">
        <f t="shared" si="11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1"/>
        <v xml:space="preserve"> </v>
      </c>
      <c r="B89" s="9" t="str">
        <f t="shared" si="11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1"/>
        <v xml:space="preserve"> </v>
      </c>
      <c r="B90" s="9" t="str">
        <f t="shared" si="11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1"/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2">A39</f>
        <v xml:space="preserve"> </v>
      </c>
      <c r="B93" s="9" t="str">
        <f t="shared" si="12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2"/>
        <v xml:space="preserve"> </v>
      </c>
      <c r="B94" s="9" t="str">
        <f t="shared" si="12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2"/>
        <v xml:space="preserve"> </v>
      </c>
      <c r="B95" s="9" t="str">
        <f t="shared" si="12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2"/>
        <v xml:space="preserve"> </v>
      </c>
      <c r="B96" s="9" t="str">
        <f t="shared" si="12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2"/>
        <v xml:space="preserve"> </v>
      </c>
      <c r="B97" s="9" t="str">
        <f t="shared" si="12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2"/>
        <v xml:space="preserve"> </v>
      </c>
      <c r="B98" s="9" t="str">
        <f t="shared" si="12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2"/>
        <v xml:space="preserve"> </v>
      </c>
      <c r="B99" s="9" t="str">
        <f t="shared" si="12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2"/>
        <v xml:space="preserve"> </v>
      </c>
      <c r="B100" s="9" t="str">
        <f t="shared" si="12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2"/>
        <v xml:space="preserve"> </v>
      </c>
      <c r="B101" s="9" t="str">
        <f t="shared" si="12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2"/>
        <v xml:space="preserve"> </v>
      </c>
      <c r="B102" s="9" t="str">
        <f t="shared" si="12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2"/>
        <v xml:space="preserve"> </v>
      </c>
      <c r="B103" s="9" t="str">
        <f t="shared" si="1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2"/>
        <v xml:space="preserve"> </v>
      </c>
      <c r="B104" s="9" t="str">
        <f t="shared" si="12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2"/>
        <v xml:space="preserve"> </v>
      </c>
      <c r="B105" s="9" t="str">
        <f t="shared" si="1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2"/>
        <v xml:space="preserve"> </v>
      </c>
      <c r="B106" s="9" t="str">
        <f t="shared" si="1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2"/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3">A55</f>
        <v xml:space="preserve"> </v>
      </c>
      <c r="B109" s="9" t="str">
        <f t="shared" si="13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4">SUM(E60:E109)</f>
        <v>0</v>
      </c>
      <c r="F110" s="53">
        <f t="shared" si="14"/>
        <v>0</v>
      </c>
      <c r="G110" s="53">
        <f t="shared" si="14"/>
        <v>0</v>
      </c>
      <c r="H110" s="53">
        <f t="shared" si="14"/>
        <v>0</v>
      </c>
      <c r="I110" s="53">
        <f t="shared" si="14"/>
        <v>0</v>
      </c>
      <c r="J110" s="54">
        <f t="shared" si="14"/>
        <v>0</v>
      </c>
      <c r="K110" s="49">
        <f t="shared" si="14"/>
        <v>0</v>
      </c>
      <c r="L110" s="11">
        <v>0</v>
      </c>
      <c r="M110" s="14"/>
    </row>
  </sheetData>
  <hyperlinks>
    <hyperlink ref="M1" location="'Receiving Totals'!A1" display="Receiving Totals" xr:uid="{93B06610-E142-42D0-88FD-BE9FD794D5EE}"/>
  </hyperlinks>
  <pageMargins left="0.7" right="0.7" top="0.75" bottom="0.75" header="0.3" footer="0.3"/>
  <pageSetup scale="29" orientation="landscape" horizontalDpi="300" verticalDpi="300" r:id="rId1"/>
  <rowBreaks count="1" manualBreakCount="1">
    <brk id="57" max="14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7B84-0AAE-483D-85C5-26BC32190138}">
  <dimension ref="A1:O110"/>
  <sheetViews>
    <sheetView zoomScale="70" zoomScaleNormal="70" workbookViewId="0">
      <pane ySplit="5" topLeftCell="A32" activePane="bottomLeft" state="frozen"/>
      <selection activeCell="A12" sqref="A12"/>
      <selection pane="bottomLeft" activeCell="A39" sqref="A39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 x14ac:dyDescent="0.5">
      <c r="A3" s="12"/>
      <c r="B3" s="65" t="s">
        <v>13</v>
      </c>
      <c r="C3" s="22">
        <f>C2*$N$3</f>
        <v>136.54548</v>
      </c>
      <c r="D3" s="22"/>
      <c r="E3" s="22">
        <f t="shared" ref="E3:L3" si="0">E2*$N$3</f>
        <v>28.280340000000002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45.419940000000004</v>
      </c>
      <c r="J3" s="22">
        <f t="shared" si="0"/>
        <v>34.850520000000003</v>
      </c>
      <c r="K3" s="22">
        <f t="shared" si="0"/>
        <v>40.563719999999996</v>
      </c>
      <c r="L3" s="22">
        <f t="shared" si="0"/>
        <v>0</v>
      </c>
      <c r="M3" s="22"/>
      <c r="N3" s="23">
        <v>285.66000000000003</v>
      </c>
    </row>
    <row r="4" spans="1:14" ht="21" customHeight="1" thickBot="1" x14ac:dyDescent="0.4">
      <c r="A4" s="63" t="s">
        <v>14</v>
      </c>
      <c r="B4" s="64">
        <f>'Wednesday WK4 (25)'!$B$4+1</f>
        <v>46219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690</v>
      </c>
      <c r="B6" s="68" t="s">
        <v>264</v>
      </c>
      <c r="C6" s="15">
        <f t="shared" ref="C6:C54" si="1">N6-D6-E6-F6-G6-H6-I6-J6-K6-L6-M6-D60-E60-F60-G60-H60-I60-J60-K60-L60-C60</f>
        <v>0</v>
      </c>
      <c r="D6" s="15"/>
      <c r="E6" s="15">
        <v>-232</v>
      </c>
      <c r="F6" s="15"/>
      <c r="G6" s="15"/>
      <c r="H6" s="15"/>
      <c r="I6" s="15"/>
      <c r="J6" s="15"/>
      <c r="K6" s="15"/>
      <c r="L6" s="15"/>
      <c r="M6" s="15"/>
      <c r="N6" s="55">
        <v>-232</v>
      </c>
    </row>
    <row r="7" spans="1:14" ht="29.25" customHeight="1" x14ac:dyDescent="0.35">
      <c r="A7" s="1" t="s">
        <v>691</v>
      </c>
      <c r="B7" s="68" t="s">
        <v>264</v>
      </c>
      <c r="C7" s="15">
        <f t="shared" si="1"/>
        <v>0</v>
      </c>
      <c r="D7" s="15"/>
      <c r="E7" s="15">
        <v>-86.47</v>
      </c>
      <c r="F7" s="15"/>
      <c r="G7" s="15"/>
      <c r="H7" s="15"/>
      <c r="I7" s="15"/>
      <c r="J7" s="15"/>
      <c r="K7" s="15"/>
      <c r="L7" s="15"/>
      <c r="M7" s="15"/>
      <c r="N7" s="55">
        <v>-86.47</v>
      </c>
    </row>
    <row r="8" spans="1:14" ht="29.25" customHeight="1" x14ac:dyDescent="0.35">
      <c r="A8" s="1" t="s">
        <v>692</v>
      </c>
      <c r="B8" s="68" t="s">
        <v>31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>
        <v>109.2</v>
      </c>
      <c r="L8" s="15"/>
      <c r="M8" s="15"/>
      <c r="N8" s="55">
        <v>109.2</v>
      </c>
    </row>
    <row r="9" spans="1:14" ht="29.25" customHeight="1" x14ac:dyDescent="0.35">
      <c r="A9" s="1" t="s">
        <v>693</v>
      </c>
      <c r="B9" s="68" t="s">
        <v>31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>
        <v>81.290000000000006</v>
      </c>
      <c r="L9" s="15"/>
      <c r="M9" s="15"/>
      <c r="N9" s="55">
        <v>81.290000000000006</v>
      </c>
    </row>
    <row r="10" spans="1:14" ht="29.25" customHeight="1" x14ac:dyDescent="0.35">
      <c r="A10" s="1" t="s">
        <v>694</v>
      </c>
      <c r="B10" s="68" t="s">
        <v>31</v>
      </c>
      <c r="C10" s="15">
        <f t="shared" si="1"/>
        <v>1.2734258092450546E-13</v>
      </c>
      <c r="D10" s="15"/>
      <c r="E10" s="15"/>
      <c r="F10" s="15"/>
      <c r="G10" s="15"/>
      <c r="H10" s="15"/>
      <c r="I10" s="15"/>
      <c r="J10" s="15"/>
      <c r="K10" s="15">
        <v>2115.16</v>
      </c>
      <c r="L10" s="15"/>
      <c r="M10" s="15">
        <v>0.61</v>
      </c>
      <c r="N10" s="55">
        <v>2115.77</v>
      </c>
    </row>
    <row r="11" spans="1:14" ht="29.25" customHeight="1" x14ac:dyDescent="0.35">
      <c r="A11" s="1" t="s">
        <v>695</v>
      </c>
      <c r="B11" s="68" t="s">
        <v>37</v>
      </c>
      <c r="C11" s="15">
        <f t="shared" si="1"/>
        <v>0</v>
      </c>
      <c r="D11" s="15"/>
      <c r="E11" s="15">
        <v>64.010000000000005</v>
      </c>
      <c r="F11" s="15"/>
      <c r="G11" s="15"/>
      <c r="H11" s="15"/>
      <c r="I11" s="15"/>
      <c r="J11" s="15"/>
      <c r="K11" s="15"/>
      <c r="L11" s="15"/>
      <c r="M11" s="15"/>
      <c r="N11" s="55">
        <v>64.010000000000005</v>
      </c>
    </row>
    <row r="12" spans="1:14" ht="29.25" customHeight="1" x14ac:dyDescent="0.35">
      <c r="A12" s="1" t="s">
        <v>696</v>
      </c>
      <c r="B12" s="68" t="s">
        <v>37</v>
      </c>
      <c r="C12" s="15">
        <f t="shared" si="1"/>
        <v>0</v>
      </c>
      <c r="D12" s="15"/>
      <c r="E12" s="15">
        <v>464.15</v>
      </c>
      <c r="F12" s="15"/>
      <c r="G12" s="15"/>
      <c r="H12" s="15"/>
      <c r="I12" s="15"/>
      <c r="J12" s="15"/>
      <c r="K12" s="15"/>
      <c r="L12" s="15"/>
      <c r="M12" s="15"/>
      <c r="N12" s="55">
        <v>464.15</v>
      </c>
    </row>
    <row r="13" spans="1:14" ht="29.25" customHeight="1" x14ac:dyDescent="0.35">
      <c r="A13" s="1" t="s">
        <v>697</v>
      </c>
      <c r="B13" s="68" t="s">
        <v>35</v>
      </c>
      <c r="C13" s="15">
        <f t="shared" si="1"/>
        <v>114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>
        <v>114</v>
      </c>
    </row>
    <row r="14" spans="1:14" ht="29.25" customHeight="1" x14ac:dyDescent="0.35">
      <c r="A14" s="1" t="s">
        <v>698</v>
      </c>
      <c r="B14" s="68" t="s">
        <v>33</v>
      </c>
      <c r="C14" s="15">
        <f t="shared" si="1"/>
        <v>2.3092638912203256E-14</v>
      </c>
      <c r="D14" s="15"/>
      <c r="E14" s="15"/>
      <c r="F14" s="15"/>
      <c r="G14" s="15"/>
      <c r="H14" s="15"/>
      <c r="I14" s="15">
        <v>372.7</v>
      </c>
      <c r="J14" s="15"/>
      <c r="K14" s="15"/>
      <c r="L14" s="15"/>
      <c r="M14" s="15">
        <v>15.1</v>
      </c>
      <c r="N14" s="55">
        <v>387.8</v>
      </c>
    </row>
    <row r="15" spans="1:14" ht="29.25" customHeight="1" x14ac:dyDescent="0.35">
      <c r="A15" s="1" t="s">
        <v>699</v>
      </c>
      <c r="B15" s="68" t="s">
        <v>39</v>
      </c>
      <c r="C15" s="15">
        <f t="shared" si="1"/>
        <v>86.9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>
        <v>86.9</v>
      </c>
    </row>
    <row r="16" spans="1:14" ht="29.25" customHeight="1" x14ac:dyDescent="0.35">
      <c r="A16" s="1" t="s">
        <v>700</v>
      </c>
      <c r="B16" s="68" t="s">
        <v>39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>
        <v>251.61</v>
      </c>
      <c r="L16" s="15"/>
      <c r="M16" s="15"/>
      <c r="N16" s="55">
        <v>251.61</v>
      </c>
    </row>
    <row r="17" spans="1:14" ht="29.25" customHeight="1" x14ac:dyDescent="0.35">
      <c r="A17" s="1" t="s">
        <v>701</v>
      </c>
      <c r="B17" s="68" t="s">
        <v>39</v>
      </c>
      <c r="C17" s="15">
        <f t="shared" si="1"/>
        <v>2008.33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>
        <v>2008.33</v>
      </c>
    </row>
    <row r="18" spans="1:14" ht="29.25" customHeight="1" x14ac:dyDescent="0.35">
      <c r="A18" s="1" t="s">
        <v>702</v>
      </c>
      <c r="B18" s="68" t="s">
        <v>39</v>
      </c>
      <c r="C18" s="15">
        <f t="shared" si="1"/>
        <v>5872.3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>
        <v>5872.3</v>
      </c>
    </row>
    <row r="19" spans="1:14" ht="29.25" customHeight="1" x14ac:dyDescent="0.35">
      <c r="A19" s="1" t="s">
        <v>703</v>
      </c>
      <c r="B19" s="68" t="s">
        <v>39</v>
      </c>
      <c r="C19" s="15">
        <f t="shared" si="1"/>
        <v>1941.3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>
        <v>1941.3</v>
      </c>
    </row>
    <row r="20" spans="1:14" ht="29.25" customHeight="1" x14ac:dyDescent="0.35">
      <c r="A20" s="1" t="s">
        <v>704</v>
      </c>
      <c r="B20" s="68" t="s">
        <v>39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>
        <v>876.57</v>
      </c>
      <c r="L20" s="15"/>
      <c r="M20" s="15"/>
      <c r="N20" s="55">
        <v>876.57</v>
      </c>
    </row>
    <row r="21" spans="1:14" ht="29.25" customHeight="1" x14ac:dyDescent="0.35">
      <c r="A21" s="1" t="s">
        <v>705</v>
      </c>
      <c r="B21" s="68" t="s">
        <v>39</v>
      </c>
      <c r="C21" s="15">
        <f t="shared" si="1"/>
        <v>53.38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>
        <v>53.38</v>
      </c>
    </row>
    <row r="22" spans="1:14" ht="29.25" customHeight="1" x14ac:dyDescent="0.35">
      <c r="A22" s="1" t="s">
        <v>706</v>
      </c>
      <c r="B22" s="68" t="s">
        <v>39</v>
      </c>
      <c r="C22" s="15">
        <f t="shared" si="1"/>
        <v>0</v>
      </c>
      <c r="D22" s="15"/>
      <c r="E22" s="15">
        <v>339.6</v>
      </c>
      <c r="F22" s="15"/>
      <c r="G22" s="15"/>
      <c r="H22" s="15"/>
      <c r="I22" s="15"/>
      <c r="J22" s="15"/>
      <c r="K22" s="15"/>
      <c r="L22" s="15"/>
      <c r="M22" s="15"/>
      <c r="N22" s="55">
        <v>339.6</v>
      </c>
    </row>
    <row r="23" spans="1:14" ht="29.25" customHeight="1" x14ac:dyDescent="0.35">
      <c r="A23" s="1" t="s">
        <v>707</v>
      </c>
      <c r="B23" s="68" t="s">
        <v>39</v>
      </c>
      <c r="C23" s="15">
        <f t="shared" si="1"/>
        <v>0</v>
      </c>
      <c r="D23" s="15"/>
      <c r="E23" s="15">
        <v>773.55</v>
      </c>
      <c r="F23" s="15"/>
      <c r="G23" s="15"/>
      <c r="H23" s="15"/>
      <c r="I23" s="15"/>
      <c r="J23" s="15"/>
      <c r="K23" s="15"/>
      <c r="L23" s="15"/>
      <c r="M23" s="15"/>
      <c r="N23" s="55">
        <v>773.55</v>
      </c>
    </row>
    <row r="24" spans="1:14" ht="29.25" customHeight="1" x14ac:dyDescent="0.35">
      <c r="A24" s="1" t="s">
        <v>708</v>
      </c>
      <c r="B24" s="68" t="s">
        <v>39</v>
      </c>
      <c r="C24" s="15">
        <f t="shared" si="1"/>
        <v>410.22</v>
      </c>
      <c r="D24" s="15"/>
      <c r="E24" s="15">
        <v>1872.18</v>
      </c>
      <c r="F24" s="15"/>
      <c r="G24" s="15"/>
      <c r="H24" s="15"/>
      <c r="I24" s="15"/>
      <c r="J24" s="15"/>
      <c r="K24" s="15"/>
      <c r="L24" s="15"/>
      <c r="M24" s="15"/>
      <c r="N24" s="55">
        <v>2282.4</v>
      </c>
    </row>
    <row r="25" spans="1:14" ht="29.25" customHeight="1" x14ac:dyDescent="0.35">
      <c r="A25" s="1" t="s">
        <v>709</v>
      </c>
      <c r="B25" s="68" t="s">
        <v>39</v>
      </c>
      <c r="C25" s="15">
        <f t="shared" si="1"/>
        <v>56.88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>
        <v>56.88</v>
      </c>
    </row>
    <row r="26" spans="1:14" ht="29.25" customHeight="1" x14ac:dyDescent="0.35">
      <c r="A26" s="1" t="s">
        <v>710</v>
      </c>
      <c r="B26" s="68" t="s">
        <v>39</v>
      </c>
      <c r="C26" s="15">
        <f t="shared" si="1"/>
        <v>4726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>
        <v>4726</v>
      </c>
    </row>
    <row r="27" spans="1:14" ht="29.25" customHeight="1" x14ac:dyDescent="0.35">
      <c r="A27" s="1" t="s">
        <v>711</v>
      </c>
      <c r="B27" s="68" t="s">
        <v>39</v>
      </c>
      <c r="C27" s="15">
        <f t="shared" si="1"/>
        <v>222.42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>
        <v>222.42</v>
      </c>
    </row>
    <row r="28" spans="1:14" ht="29.25" customHeight="1" x14ac:dyDescent="0.35">
      <c r="A28" s="1" t="s">
        <v>712</v>
      </c>
      <c r="B28" s="68" t="s">
        <v>39</v>
      </c>
      <c r="C28" s="15">
        <f t="shared" si="1"/>
        <v>38.67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>
        <v>38.67</v>
      </c>
    </row>
    <row r="29" spans="1:14" ht="29.25" customHeight="1" x14ac:dyDescent="0.35">
      <c r="A29" s="1" t="s">
        <v>713</v>
      </c>
      <c r="B29" s="68" t="s">
        <v>39</v>
      </c>
      <c r="C29" s="15">
        <f t="shared" si="1"/>
        <v>51.78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>
        <v>51.78</v>
      </c>
    </row>
    <row r="30" spans="1:14" ht="29.25" customHeight="1" x14ac:dyDescent="0.35">
      <c r="A30" s="1" t="s">
        <v>714</v>
      </c>
      <c r="B30" s="68" t="s">
        <v>39</v>
      </c>
      <c r="C30" s="15">
        <f t="shared" si="1"/>
        <v>-3.5527136788005009E-15</v>
      </c>
      <c r="D30" s="15"/>
      <c r="E30" s="15">
        <v>26.7</v>
      </c>
      <c r="F30" s="15"/>
      <c r="G30" s="15"/>
      <c r="H30" s="15"/>
      <c r="I30" s="15"/>
      <c r="J30" s="15"/>
      <c r="K30" s="15">
        <v>22.17</v>
      </c>
      <c r="L30" s="15"/>
      <c r="M30" s="15"/>
      <c r="N30" s="55">
        <v>48.87</v>
      </c>
    </row>
    <row r="31" spans="1:14" ht="29.25" customHeight="1" x14ac:dyDescent="0.35">
      <c r="A31" s="1" t="s">
        <v>715</v>
      </c>
      <c r="B31" s="68" t="s">
        <v>39</v>
      </c>
      <c r="C31" s="15">
        <f t="shared" si="1"/>
        <v>0</v>
      </c>
      <c r="D31" s="15"/>
      <c r="E31" s="15"/>
      <c r="F31" s="15"/>
      <c r="G31" s="15"/>
      <c r="H31" s="15"/>
      <c r="I31" s="15">
        <v>4597.49</v>
      </c>
      <c r="J31" s="15"/>
      <c r="K31" s="15"/>
      <c r="L31" s="15"/>
      <c r="M31" s="15"/>
      <c r="N31" s="55">
        <v>4597.49</v>
      </c>
    </row>
    <row r="32" spans="1:14" ht="29.25" customHeight="1" x14ac:dyDescent="0.35">
      <c r="A32" s="1" t="s">
        <v>716</v>
      </c>
      <c r="B32" s="68" t="s">
        <v>39</v>
      </c>
      <c r="C32" s="15">
        <f t="shared" si="1"/>
        <v>0</v>
      </c>
      <c r="D32" s="15"/>
      <c r="E32" s="15"/>
      <c r="F32" s="15"/>
      <c r="G32" s="15"/>
      <c r="H32" s="15"/>
      <c r="I32" s="15">
        <v>825.16</v>
      </c>
      <c r="J32" s="15"/>
      <c r="K32" s="15"/>
      <c r="L32" s="15"/>
      <c r="M32" s="15"/>
      <c r="N32" s="55">
        <v>825.16</v>
      </c>
    </row>
    <row r="33" spans="1:14" ht="29.25" customHeight="1" x14ac:dyDescent="0.35">
      <c r="A33" s="1" t="s">
        <v>717</v>
      </c>
      <c r="B33" s="68" t="s">
        <v>39</v>
      </c>
      <c r="C33" s="15">
        <f t="shared" si="1"/>
        <v>99.74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>
        <v>99.74</v>
      </c>
    </row>
    <row r="34" spans="1:14" ht="29.25" customHeight="1" x14ac:dyDescent="0.35">
      <c r="A34" s="1" t="s">
        <v>718</v>
      </c>
      <c r="B34" s="68" t="s">
        <v>39</v>
      </c>
      <c r="C34" s="15">
        <f t="shared" si="1"/>
        <v>462.96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>
        <v>462.96</v>
      </c>
    </row>
    <row r="35" spans="1:14" ht="29.25" customHeight="1" x14ac:dyDescent="0.35">
      <c r="A35" s="1" t="s">
        <v>719</v>
      </c>
      <c r="B35" s="68" t="s">
        <v>39</v>
      </c>
      <c r="C35" s="15">
        <f t="shared" si="1"/>
        <v>0</v>
      </c>
      <c r="D35" s="15"/>
      <c r="E35" s="15">
        <v>25.61</v>
      </c>
      <c r="F35" s="15"/>
      <c r="G35" s="15"/>
      <c r="H35" s="15"/>
      <c r="I35" s="15"/>
      <c r="J35" s="15"/>
      <c r="K35" s="15"/>
      <c r="L35" s="15"/>
      <c r="M35" s="15"/>
      <c r="N35" s="55">
        <v>25.61</v>
      </c>
    </row>
    <row r="36" spans="1:14" ht="29.25" customHeight="1" x14ac:dyDescent="0.35">
      <c r="A36" s="1" t="s">
        <v>720</v>
      </c>
      <c r="B36" s="68" t="s">
        <v>39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>
        <v>27.73</v>
      </c>
      <c r="L36" s="15"/>
      <c r="M36" s="15"/>
      <c r="N36" s="55">
        <v>27.73</v>
      </c>
    </row>
    <row r="37" spans="1:14" ht="29.25" customHeight="1" x14ac:dyDescent="0.35">
      <c r="A37" s="1" t="s">
        <v>721</v>
      </c>
      <c r="B37" s="68" t="s">
        <v>104</v>
      </c>
      <c r="C37" s="15">
        <f t="shared" si="1"/>
        <v>7479.93</v>
      </c>
      <c r="D37" s="15"/>
      <c r="E37" s="15"/>
      <c r="F37" s="15"/>
      <c r="G37" s="15"/>
      <c r="H37" s="15"/>
      <c r="I37" s="15"/>
      <c r="J37" s="15"/>
      <c r="K37" s="15"/>
      <c r="L37" s="15"/>
      <c r="M37" s="15">
        <v>311.23</v>
      </c>
      <c r="N37" s="55">
        <v>7791.16</v>
      </c>
    </row>
    <row r="38" spans="1:14" ht="29.25" customHeight="1" x14ac:dyDescent="0.35">
      <c r="A38" s="1" t="s">
        <v>722</v>
      </c>
      <c r="B38" s="68" t="s">
        <v>29</v>
      </c>
      <c r="C38" s="15">
        <f t="shared" si="1"/>
        <v>163.59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>
        <v>163.59</v>
      </c>
    </row>
    <row r="39" spans="1:14" ht="29.25" customHeight="1" x14ac:dyDescent="0.35">
      <c r="A39" s="1" t="s">
        <v>723</v>
      </c>
      <c r="B39" s="68" t="s">
        <v>245</v>
      </c>
      <c r="C39" s="15">
        <f t="shared" si="1"/>
        <v>0</v>
      </c>
      <c r="D39" s="15"/>
      <c r="E39" s="15">
        <v>690.12</v>
      </c>
      <c r="F39" s="15"/>
      <c r="G39" s="15"/>
      <c r="H39" s="15"/>
      <c r="I39" s="15"/>
      <c r="J39" s="15"/>
      <c r="K39" s="15"/>
      <c r="L39" s="15"/>
      <c r="M39" s="15"/>
      <c r="N39" s="55">
        <v>690.12</v>
      </c>
    </row>
    <row r="40" spans="1:14" ht="29.25" customHeight="1" x14ac:dyDescent="0.35">
      <c r="A40" s="1" t="s">
        <v>724</v>
      </c>
      <c r="B40" s="68" t="s">
        <v>245</v>
      </c>
      <c r="C40" s="15">
        <f t="shared" si="1"/>
        <v>479.2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>
        <v>479.2</v>
      </c>
    </row>
    <row r="41" spans="1:14" ht="29.25" customHeight="1" x14ac:dyDescent="0.35">
      <c r="A41" s="1" t="s">
        <v>725</v>
      </c>
      <c r="B41" s="68" t="s">
        <v>245</v>
      </c>
      <c r="C41" s="15">
        <f t="shared" si="1"/>
        <v>0</v>
      </c>
      <c r="D41" s="15"/>
      <c r="E41" s="15">
        <v>-279.16000000000003</v>
      </c>
      <c r="F41" s="15"/>
      <c r="G41" s="15"/>
      <c r="H41" s="15"/>
      <c r="I41" s="15"/>
      <c r="J41" s="15"/>
      <c r="K41" s="15"/>
      <c r="L41" s="15"/>
      <c r="M41" s="15"/>
      <c r="N41" s="55">
        <v>-279.16000000000003</v>
      </c>
    </row>
    <row r="42" spans="1:14" ht="29.25" customHeight="1" x14ac:dyDescent="0.35">
      <c r="A42" s="1" t="s">
        <v>726</v>
      </c>
      <c r="B42" s="68" t="s">
        <v>245</v>
      </c>
      <c r="C42" s="15">
        <f t="shared" si="1"/>
        <v>-22.75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>
        <v>-22.75</v>
      </c>
    </row>
    <row r="43" spans="1:14" ht="29.25" customHeight="1" x14ac:dyDescent="0.35">
      <c r="A43" s="1" t="s">
        <v>727</v>
      </c>
      <c r="B43" s="68" t="s">
        <v>123</v>
      </c>
      <c r="C43" s="15">
        <f t="shared" si="1"/>
        <v>4221.05</v>
      </c>
      <c r="D43" s="15"/>
      <c r="E43" s="15"/>
      <c r="F43" s="15"/>
      <c r="G43" s="15"/>
      <c r="H43" s="15"/>
      <c r="I43" s="15"/>
      <c r="J43" s="15"/>
      <c r="K43" s="15"/>
      <c r="L43" s="15"/>
      <c r="M43" s="15">
        <v>211.05</v>
      </c>
      <c r="N43" s="55">
        <v>4432.1000000000004</v>
      </c>
    </row>
    <row r="44" spans="1:14" ht="29.25" customHeight="1" x14ac:dyDescent="0.35">
      <c r="A44" s="1" t="s">
        <v>728</v>
      </c>
      <c r="B44" s="68" t="s">
        <v>39</v>
      </c>
      <c r="C44" s="15">
        <f t="shared" si="1"/>
        <v>0</v>
      </c>
      <c r="D44" s="15"/>
      <c r="E44" s="15">
        <v>2827.61</v>
      </c>
      <c r="F44" s="15"/>
      <c r="G44" s="15"/>
      <c r="H44" s="15"/>
      <c r="I44" s="15"/>
      <c r="J44" s="15"/>
      <c r="K44" s="15"/>
      <c r="L44" s="15"/>
      <c r="M44" s="15"/>
      <c r="N44" s="55">
        <v>2827.61</v>
      </c>
    </row>
    <row r="45" spans="1:14" ht="29.25" customHeight="1" x14ac:dyDescent="0.35">
      <c r="A45" s="1" t="s">
        <v>82</v>
      </c>
      <c r="B45" s="68" t="s">
        <v>82</v>
      </c>
      <c r="C45" s="15">
        <f t="shared" si="1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1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1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1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si="1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si="1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1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1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1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1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2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thickBot="1" x14ac:dyDescent="0.4">
      <c r="A56" s="9" t="s">
        <v>0</v>
      </c>
      <c r="B56" s="9" t="s">
        <v>39</v>
      </c>
      <c r="C56" s="16">
        <f>C3</f>
        <v>136.54548</v>
      </c>
      <c r="D56" s="16"/>
      <c r="E56" s="16">
        <f>E3</f>
        <v>28.280340000000002</v>
      </c>
      <c r="F56" s="16"/>
      <c r="G56" s="16"/>
      <c r="H56" s="16"/>
      <c r="I56" s="16">
        <f>I3</f>
        <v>45.419940000000004</v>
      </c>
      <c r="J56" s="16">
        <f>J3</f>
        <v>34.850520000000003</v>
      </c>
      <c r="K56" s="16">
        <f t="shared" ref="K56" si="3">K3</f>
        <v>40.563719999999996</v>
      </c>
      <c r="L56" s="16"/>
      <c r="M56" s="16"/>
      <c r="N56" s="60">
        <f>SUM(C56:M56)+SUM(C118:J118)</f>
        <v>285.65999999999997</v>
      </c>
      <c r="O56" s="148" t="s">
        <v>729</v>
      </c>
    </row>
    <row r="57" spans="1:15" ht="29.25" customHeight="1" thickBot="1" x14ac:dyDescent="0.45">
      <c r="A57" s="24" t="s">
        <v>84</v>
      </c>
      <c r="B57" s="10"/>
      <c r="C57" s="61">
        <f t="shared" ref="C57:M57" si="4">SUM(C6:C56)</f>
        <v>28602.445479999998</v>
      </c>
      <c r="D57" s="61">
        <f t="shared" si="4"/>
        <v>0</v>
      </c>
      <c r="E57" s="61">
        <f t="shared" si="4"/>
        <v>6514.1803399999999</v>
      </c>
      <c r="F57" s="61">
        <f t="shared" si="4"/>
        <v>0</v>
      </c>
      <c r="G57" s="61">
        <f t="shared" si="4"/>
        <v>0</v>
      </c>
      <c r="H57" s="61">
        <f t="shared" si="4"/>
        <v>0</v>
      </c>
      <c r="I57" s="61">
        <f t="shared" si="4"/>
        <v>5840.7699399999992</v>
      </c>
      <c r="J57" s="61">
        <f t="shared" si="4"/>
        <v>34.850520000000003</v>
      </c>
      <c r="K57" s="61">
        <f t="shared" ref="K57" si="5">SUM(K6:K56)</f>
        <v>3524.2937200000001</v>
      </c>
      <c r="L57" s="61">
        <f t="shared" si="4"/>
        <v>0</v>
      </c>
      <c r="M57" s="61">
        <f t="shared" si="4"/>
        <v>537.99</v>
      </c>
      <c r="N57" s="61">
        <f>SUM(N6:N56)</f>
        <v>45054.529999999992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>900018499</v>
      </c>
      <c r="B60" s="9" t="str">
        <f>B6</f>
        <v>FREYBE GOURMET FOODS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6">A7</f>
        <v>900018500</v>
      </c>
      <c r="B61" s="9" t="str">
        <f t="shared" si="6"/>
        <v>FREYBE GOURMET FOODS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6"/>
        <v>4003825419</v>
      </c>
      <c r="B62" s="9" t="str">
        <f t="shared" si="6"/>
        <v>SAPUTO DAIRY PRODUCTS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6"/>
        <v>4003825420</v>
      </c>
      <c r="B63" s="9" t="str">
        <f t="shared" si="6"/>
        <v>SAPUTO DAIRY PRODUCTS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6"/>
        <v>4003825422</v>
      </c>
      <c r="B64" s="9" t="str">
        <f t="shared" si="6"/>
        <v>SAPUTO DAIRY PRODUCTS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6"/>
        <v>3286349</v>
      </c>
      <c r="B65" s="9" t="str">
        <f t="shared" si="6"/>
        <v>LILYDALE SOFINA FOODS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6"/>
        <v>3286350</v>
      </c>
      <c r="B66" s="9" t="str">
        <f t="shared" si="6"/>
        <v>LILYDALE SOFINA FOODS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6"/>
        <v>773686</v>
      </c>
      <c r="B67" s="9" t="str">
        <f t="shared" si="6"/>
        <v>PACIFIC FRESH FISH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6"/>
        <v>SO186928</v>
      </c>
      <c r="B68" s="9" t="str">
        <f t="shared" si="6"/>
        <v>STAR PRODUCE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6"/>
        <v>5655533</v>
      </c>
      <c r="B69" s="9" t="str">
        <f t="shared" si="6"/>
        <v>THE GROCERY PEOPLE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6"/>
        <v>5655652</v>
      </c>
      <c r="B70" s="9" t="str">
        <f t="shared" si="6"/>
        <v>THE GROCERY PEOPLE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6"/>
        <v>5656206</v>
      </c>
      <c r="B71" s="9" t="str">
        <f t="shared" si="6"/>
        <v>THE GROCERY PEOPLE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6"/>
        <v>5656304</v>
      </c>
      <c r="B72" s="9" t="str">
        <f t="shared" si="6"/>
        <v>THE GROCERY PEOPLE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6"/>
        <v>5656366</v>
      </c>
      <c r="B73" s="9" t="str">
        <f t="shared" si="6"/>
        <v>THE GROCERY PEOPLE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6"/>
        <v>5656371</v>
      </c>
      <c r="B74" s="9" t="str">
        <f t="shared" si="6"/>
        <v>THE GROCERY PEOPLE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6"/>
        <v>5656372</v>
      </c>
      <c r="B75" s="9" t="str">
        <f t="shared" si="6"/>
        <v>THE GROCERY PEOPLE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6"/>
        <v>8254324</v>
      </c>
      <c r="B76" s="9" t="str">
        <f t="shared" si="6"/>
        <v>THE GROCERY PEOPLE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7">A23</f>
        <v>8254482</v>
      </c>
      <c r="B77" s="9" t="str">
        <f t="shared" si="7"/>
        <v>THE GROCERY PEOPLE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7"/>
        <v>5655672</v>
      </c>
      <c r="B78" s="9" t="str">
        <f t="shared" si="7"/>
        <v>THE GROCERY PEOPLE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7"/>
        <v>5654413</v>
      </c>
      <c r="B79" s="9" t="str">
        <f t="shared" si="7"/>
        <v>THE GROCERY PEOPLE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7"/>
        <v>5654637</v>
      </c>
      <c r="B80" s="9" t="str">
        <f t="shared" si="7"/>
        <v>THE GROCERY PEOPLE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7"/>
        <v>5654638</v>
      </c>
      <c r="B81" s="9" t="str">
        <f t="shared" si="7"/>
        <v>THE GROCERY PEOPLE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7"/>
        <v>5655536</v>
      </c>
      <c r="B82" s="9" t="str">
        <f t="shared" si="7"/>
        <v>THE GROCERY PEOPLE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7"/>
        <v>5655673</v>
      </c>
      <c r="B83" s="9" t="str">
        <f t="shared" si="7"/>
        <v>THE GROCERY PEOPLE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7"/>
        <v>5656607</v>
      </c>
      <c r="B84" s="9" t="str">
        <f t="shared" si="7"/>
        <v>THE GROCERY PEOPLE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7"/>
        <v>5656881</v>
      </c>
      <c r="B85" s="9" t="str">
        <f t="shared" si="7"/>
        <v>THE GROCERY PEOPLE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7"/>
        <v>5656882</v>
      </c>
      <c r="B86" s="9" t="str">
        <f t="shared" si="7"/>
        <v>THE GROCERY PEOPLE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7"/>
        <v>6704569</v>
      </c>
      <c r="B87" s="9" t="str">
        <f t="shared" si="7"/>
        <v>THE GROCERY PEOPLE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7"/>
        <v>6705898</v>
      </c>
      <c r="B88" s="9" t="str">
        <f t="shared" si="7"/>
        <v>THE GROCERY PEOPLE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7"/>
        <v>6707506</v>
      </c>
      <c r="B89" s="9" t="str">
        <f t="shared" si="7"/>
        <v>THE GROCERY PEOPLE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7"/>
        <v>6707507</v>
      </c>
      <c r="B90" s="9" t="str">
        <f t="shared" si="7"/>
        <v>THE GROCERY PEOPLE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7"/>
        <v>53335286002</v>
      </c>
      <c r="B91" s="9" t="str">
        <f t="shared" si="7"/>
        <v>COCA COLA CANADA BOTTLING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7"/>
        <v>126913</v>
      </c>
      <c r="B92" s="9" t="str">
        <f t="shared" si="7"/>
        <v>ITALIAN BAKERY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8">A39</f>
        <v>2882619701</v>
      </c>
      <c r="B93" s="9" t="str">
        <f t="shared" si="8"/>
        <v>DIRECT PLUS FOOD GROUP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8"/>
        <v>2882619702</v>
      </c>
      <c r="B94" s="9" t="str">
        <f t="shared" si="8"/>
        <v>DIRECT PLUS FOOD GROUP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8"/>
        <v>2882619703</v>
      </c>
      <c r="B95" s="9" t="str">
        <f t="shared" si="8"/>
        <v>DIRECT PLUS FOOD GROUP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8"/>
        <v>2882619705</v>
      </c>
      <c r="B96" s="9" t="str">
        <f t="shared" si="8"/>
        <v>DIRECT PLUS FOOD GROUP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8"/>
        <v>95884740</v>
      </c>
      <c r="B97" s="9" t="str">
        <f t="shared" si="8"/>
        <v>FRITO LAY CANADA VENDING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8"/>
        <v>6702175</v>
      </c>
      <c r="B98" s="9" t="str">
        <f t="shared" si="8"/>
        <v>THE GROCERY PEOPLE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8"/>
        <v xml:space="preserve"> </v>
      </c>
      <c r="B99" s="9" t="str">
        <f t="shared" si="8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8"/>
        <v xml:space="preserve"> </v>
      </c>
      <c r="B100" s="9" t="str">
        <f t="shared" si="8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8"/>
        <v xml:space="preserve"> </v>
      </c>
      <c r="B101" s="9" t="str">
        <f t="shared" si="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8"/>
        <v xml:space="preserve"> </v>
      </c>
      <c r="B102" s="9" t="str">
        <f t="shared" si="8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8"/>
        <v xml:space="preserve"> </v>
      </c>
      <c r="B103" s="9" t="str">
        <f t="shared" si="8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8"/>
        <v xml:space="preserve"> </v>
      </c>
      <c r="B104" s="9" t="str">
        <f t="shared" si="8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8"/>
        <v xml:space="preserve"> </v>
      </c>
      <c r="B105" s="9" t="str">
        <f t="shared" si="8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8"/>
        <v xml:space="preserve"> </v>
      </c>
      <c r="B106" s="9" t="str">
        <f t="shared" si="8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8"/>
        <v xml:space="preserve"> </v>
      </c>
      <c r="B107" s="9" t="str">
        <f t="shared" si="8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8"/>
        <v xml:space="preserve"> </v>
      </c>
      <c r="B108" s="9" t="str">
        <f t="shared" si="8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9">A55</f>
        <v xml:space="preserve"> </v>
      </c>
      <c r="B109" s="9" t="str">
        <f t="shared" si="9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0">SUM(E60:E109)</f>
        <v>0</v>
      </c>
      <c r="F110" s="53">
        <f t="shared" si="10"/>
        <v>0</v>
      </c>
      <c r="G110" s="53">
        <f t="shared" si="10"/>
        <v>0</v>
      </c>
      <c r="H110" s="53">
        <f t="shared" si="10"/>
        <v>0</v>
      </c>
      <c r="I110" s="53">
        <f t="shared" si="10"/>
        <v>0</v>
      </c>
      <c r="J110" s="54">
        <f t="shared" si="10"/>
        <v>0</v>
      </c>
      <c r="K110" s="49">
        <f t="shared" si="10"/>
        <v>0</v>
      </c>
      <c r="L110" s="11">
        <v>0</v>
      </c>
      <c r="M110" s="14"/>
    </row>
  </sheetData>
  <hyperlinks>
    <hyperlink ref="M1" location="'Receiving Totals'!A1" display="Receiving Totals" xr:uid="{2EBC94DA-DD89-45B3-B020-9EB660A81C2B}"/>
  </hyperlinks>
  <pageMargins left="0.7" right="0.7" top="0.75" bottom="0.75" header="0.3" footer="0.3"/>
  <pageSetup scale="29" orientation="landscape" horizontalDpi="300" verticalDpi="300" r:id="rId1"/>
  <rowBreaks count="1" manualBreakCount="1">
    <brk id="57" max="14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9049-9C53-49F9-996E-B46447A2AEF5}">
  <dimension ref="A1:O110"/>
  <sheetViews>
    <sheetView zoomScale="70" zoomScaleNormal="70" workbookViewId="0">
      <pane ySplit="5" topLeftCell="A6" activePane="bottomLeft" state="frozen"/>
      <selection activeCell="N11" sqref="N11"/>
      <selection pane="bottomLeft" activeCell="N13" sqref="N13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.5703125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09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 t="s">
        <v>13</v>
      </c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14</v>
      </c>
      <c r="B4" s="64">
        <f>'Thursday WK4 (26)'!$B$4+1</f>
        <v>46220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730</v>
      </c>
      <c r="B6" s="68" t="s">
        <v>112</v>
      </c>
      <c r="C6" s="15">
        <f t="shared" ref="C6:C10" si="1">N6-D6-E6-F6-G6-H6-I6-J6-K6-L6-M6-D60-E60-F60-G60-H60-I60-J60-K60-L60-C60</f>
        <v>6070.2999999999993</v>
      </c>
      <c r="D6" s="15"/>
      <c r="E6" s="15"/>
      <c r="F6" s="15"/>
      <c r="G6" s="15"/>
      <c r="H6" s="15"/>
      <c r="I6" s="15"/>
      <c r="J6" s="15"/>
      <c r="K6" s="15"/>
      <c r="L6" s="15"/>
      <c r="M6" s="15">
        <v>290.81</v>
      </c>
      <c r="N6" s="55">
        <v>6361.11</v>
      </c>
    </row>
    <row r="7" spans="1:14" ht="29.25" customHeight="1" x14ac:dyDescent="0.35">
      <c r="A7" s="1" t="s">
        <v>731</v>
      </c>
      <c r="B7" s="68" t="s">
        <v>732</v>
      </c>
      <c r="C7" s="15">
        <f t="shared" si="1"/>
        <v>461.27000000000004</v>
      </c>
      <c r="D7" s="15"/>
      <c r="E7" s="15"/>
      <c r="F7" s="15"/>
      <c r="G7" s="15"/>
      <c r="H7" s="15"/>
      <c r="I7" s="15"/>
      <c r="J7" s="15"/>
      <c r="K7" s="15"/>
      <c r="L7" s="15"/>
      <c r="M7" s="15">
        <v>1.53</v>
      </c>
      <c r="N7" s="55">
        <v>462.8</v>
      </c>
    </row>
    <row r="8" spans="1:14" ht="29.25" customHeight="1" x14ac:dyDescent="0.35">
      <c r="A8" s="1" t="s">
        <v>733</v>
      </c>
      <c r="B8" s="68" t="s">
        <v>732</v>
      </c>
      <c r="C8" s="15">
        <f t="shared" si="1"/>
        <v>-47.58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>
        <v>-47.58</v>
      </c>
    </row>
    <row r="9" spans="1:14" ht="29.25" customHeight="1" x14ac:dyDescent="0.35">
      <c r="A9" s="1" t="s">
        <v>734</v>
      </c>
      <c r="B9" s="68" t="s">
        <v>162</v>
      </c>
      <c r="C9" s="15">
        <f t="shared" si="1"/>
        <v>439.81</v>
      </c>
      <c r="D9" s="15"/>
      <c r="E9" s="15"/>
      <c r="F9" s="15"/>
      <c r="G9" s="15"/>
      <c r="H9" s="15"/>
      <c r="I9" s="15"/>
      <c r="J9" s="15"/>
      <c r="K9" s="15"/>
      <c r="L9" s="15"/>
      <c r="M9" s="15">
        <v>21.98</v>
      </c>
      <c r="N9" s="55">
        <v>461.79</v>
      </c>
    </row>
    <row r="10" spans="1:14" ht="29.25" customHeight="1" x14ac:dyDescent="0.35">
      <c r="A10" s="1" t="s">
        <v>735</v>
      </c>
      <c r="B10" s="68" t="s">
        <v>115</v>
      </c>
      <c r="C10" s="15">
        <f t="shared" si="1"/>
        <v>791.89</v>
      </c>
      <c r="D10" s="15"/>
      <c r="E10" s="15"/>
      <c r="F10" s="15"/>
      <c r="G10" s="15"/>
      <c r="H10" s="15"/>
      <c r="I10" s="15"/>
      <c r="J10" s="15"/>
      <c r="K10" s="15"/>
      <c r="L10" s="15"/>
      <c r="M10" s="15">
        <v>39.590000000000003</v>
      </c>
      <c r="N10" s="55">
        <v>831.48</v>
      </c>
    </row>
    <row r="11" spans="1:14" ht="29.25" customHeight="1" x14ac:dyDescent="0.35">
      <c r="A11" s="1" t="s">
        <v>736</v>
      </c>
      <c r="B11" s="68" t="s">
        <v>115</v>
      </c>
      <c r="C11" s="15">
        <f t="shared" ref="C11:C14" si="2">N11-D11-E11-F11-G11-H11-I11-J11-K11-L11-M11-D65-E65-F65-G65-H65-I65-J65-K65-L65-C65</f>
        <v>-6.2</v>
      </c>
      <c r="D11" s="15"/>
      <c r="E11" s="15"/>
      <c r="F11" s="15"/>
      <c r="G11" s="15"/>
      <c r="H11" s="15"/>
      <c r="I11" s="15"/>
      <c r="J11" s="15"/>
      <c r="K11" s="15"/>
      <c r="L11" s="15"/>
      <c r="M11" s="15">
        <v>-0.31</v>
      </c>
      <c r="N11" s="55">
        <v>-6.51</v>
      </c>
    </row>
    <row r="12" spans="1:14" ht="29.25" customHeight="1" x14ac:dyDescent="0.35">
      <c r="A12" s="1" t="s">
        <v>737</v>
      </c>
      <c r="B12" s="68" t="s">
        <v>738</v>
      </c>
      <c r="C12" s="15">
        <f t="shared" si="2"/>
        <v>749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>
        <v>749</v>
      </c>
    </row>
    <row r="13" spans="1:14" ht="29.25" customHeight="1" x14ac:dyDescent="0.35">
      <c r="A13" s="1" t="s">
        <v>82</v>
      </c>
      <c r="B13" s="68" t="s">
        <v>82</v>
      </c>
      <c r="C13" s="15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82</v>
      </c>
      <c r="B14" s="68" t="s">
        <v>82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82</v>
      </c>
      <c r="B15" s="68" t="s">
        <v>82</v>
      </c>
      <c r="C15" s="15">
        <f t="shared" ref="C15:C28" si="3">N15-D15-E15-F15-G15-H15-I15-J15-K15-L15-M15-D69-E69-F69-G69-H69-I69-J69-K69-L69-C69</f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82</v>
      </c>
      <c r="B16" s="68" t="s">
        <v>82</v>
      </c>
      <c r="C16" s="15">
        <f t="shared" si="3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82</v>
      </c>
      <c r="B17" s="68" t="s">
        <v>82</v>
      </c>
      <c r="C17" s="15">
        <f t="shared" si="3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si="3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si="3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si="3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si="3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si="3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si="3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si="3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3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3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3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3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ref="C29:C44" si="4">N29-D29-E29-F29-G29-H29-I29-J29-K29-L29-M29-D83-E83-F83-G83-H83-I83-J83-K83-L83-C83</f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4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4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4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4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4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4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4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4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4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4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4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4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4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4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ref="C45:C54" si="5">N45-D45-E45-F45-G45-H45-I45-J45-K45-L45-M45-D99-E99-F99-G99-H99-I99-J99-K99-L99-C99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5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5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si="5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si="5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5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5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5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5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6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7">F3</f>
        <v>0</v>
      </c>
      <c r="G56" s="16">
        <f t="shared" si="7"/>
        <v>0</v>
      </c>
      <c r="H56" s="16">
        <f t="shared" si="7"/>
        <v>0</v>
      </c>
      <c r="I56" s="16">
        <f t="shared" si="7"/>
        <v>0</v>
      </c>
      <c r="J56" s="16">
        <f t="shared" si="7"/>
        <v>0</v>
      </c>
      <c r="K56" s="16">
        <f t="shared" si="7"/>
        <v>0</v>
      </c>
      <c r="L56" s="16">
        <f t="shared" si="7"/>
        <v>0</v>
      </c>
      <c r="M56" s="16"/>
      <c r="N56" s="60">
        <f>SUM(C56:M56)+SUM(C118:J118)</f>
        <v>0</v>
      </c>
      <c r="O56" s="150" t="s">
        <v>82</v>
      </c>
    </row>
    <row r="57" spans="1:15" ht="29.25" customHeight="1" x14ac:dyDescent="0.4">
      <c r="A57" s="24" t="s">
        <v>84</v>
      </c>
      <c r="B57" s="10"/>
      <c r="C57" s="61">
        <f>SUM(C6:C56)</f>
        <v>8458.4900000000016</v>
      </c>
      <c r="D57" s="61">
        <f t="shared" ref="D57:M57" si="8">SUM(D6:D56)</f>
        <v>0</v>
      </c>
      <c r="E57" s="61">
        <f t="shared" si="8"/>
        <v>0</v>
      </c>
      <c r="F57" s="61">
        <f t="shared" si="8"/>
        <v>0</v>
      </c>
      <c r="G57" s="61">
        <f t="shared" si="8"/>
        <v>0</v>
      </c>
      <c r="H57" s="61">
        <f t="shared" si="8"/>
        <v>0</v>
      </c>
      <c r="I57" s="61">
        <f t="shared" si="8"/>
        <v>0</v>
      </c>
      <c r="J57" s="61">
        <f t="shared" si="8"/>
        <v>0</v>
      </c>
      <c r="K57" s="61">
        <f t="shared" si="8"/>
        <v>0</v>
      </c>
      <c r="L57" s="61">
        <f t="shared" si="8"/>
        <v>0</v>
      </c>
      <c r="M57" s="61">
        <f t="shared" si="8"/>
        <v>353.59999999999997</v>
      </c>
      <c r="N57" s="61">
        <f>SUM(N6:N56)</f>
        <v>8812.09</v>
      </c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>2034298480</v>
      </c>
      <c r="B60" s="9" t="str">
        <f>B6</f>
        <v>RED BULL CANADA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9">A7</f>
        <v>226650719886</v>
      </c>
      <c r="B61" s="9" t="str">
        <f t="shared" si="9"/>
        <v>CANADA  BREAD COMPANY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9"/>
        <v>226650719887</v>
      </c>
      <c r="B62" s="9" t="str">
        <f t="shared" si="9"/>
        <v>CANADA  BREAD COMPANY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9"/>
        <v>96680315</v>
      </c>
      <c r="B63" s="9" t="str">
        <f t="shared" si="9"/>
        <v>FRITO LAY CANADA RETAIL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9"/>
        <v>82849908</v>
      </c>
      <c r="B64" s="9" t="str">
        <f t="shared" si="9"/>
        <v>OLD DUTCH FOODS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9"/>
        <v>82849909</v>
      </c>
      <c r="B65" s="9" t="str">
        <f t="shared" si="9"/>
        <v>OLD DUTCH FOODS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9"/>
        <v>2373</v>
      </c>
      <c r="B66" s="9" t="str">
        <f t="shared" si="9"/>
        <v>MARINE LINES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9"/>
        <v xml:space="preserve"> </v>
      </c>
      <c r="B67" s="9" t="str">
        <f t="shared" si="9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9"/>
        <v xml:space="preserve"> </v>
      </c>
      <c r="B68" s="9" t="str">
        <f t="shared" si="9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9"/>
        <v xml:space="preserve"> </v>
      </c>
      <c r="B69" s="9" t="str">
        <f t="shared" si="9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9"/>
        <v xml:space="preserve"> </v>
      </c>
      <c r="B70" s="9" t="str">
        <f t="shared" si="9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9"/>
        <v xml:space="preserve"> </v>
      </c>
      <c r="B71" s="9" t="str">
        <f t="shared" si="9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9"/>
        <v xml:space="preserve"> </v>
      </c>
      <c r="B72" s="9" t="str">
        <f t="shared" si="9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9"/>
        <v xml:space="preserve"> </v>
      </c>
      <c r="B73" s="9" t="str">
        <f t="shared" si="9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9"/>
        <v xml:space="preserve"> </v>
      </c>
      <c r="B74" s="9" t="str">
        <f t="shared" si="9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9"/>
        <v xml:space="preserve"> </v>
      </c>
      <c r="B75" s="9" t="str">
        <f t="shared" si="9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9"/>
        <v xml:space="preserve"> </v>
      </c>
      <c r="B76" s="9" t="str">
        <f t="shared" si="9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0">A23</f>
        <v xml:space="preserve"> </v>
      </c>
      <c r="B77" s="9" t="str">
        <f t="shared" si="10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0"/>
        <v xml:space="preserve"> </v>
      </c>
      <c r="B78" s="9" t="str">
        <f t="shared" si="10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0"/>
        <v xml:space="preserve"> </v>
      </c>
      <c r="B79" s="9" t="str">
        <f t="shared" si="10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0"/>
        <v xml:space="preserve"> </v>
      </c>
      <c r="B80" s="9" t="str">
        <f t="shared" si="10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0"/>
        <v xml:space="preserve"> </v>
      </c>
      <c r="B81" s="9" t="str">
        <f t="shared" si="10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0"/>
        <v xml:space="preserve"> </v>
      </c>
      <c r="B82" s="9" t="str">
        <f t="shared" si="10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0"/>
        <v xml:space="preserve"> </v>
      </c>
      <c r="B83" s="9" t="str">
        <f t="shared" si="10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0"/>
        <v xml:space="preserve"> </v>
      </c>
      <c r="B84" s="9" t="str">
        <f t="shared" si="10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0"/>
        <v xml:space="preserve"> </v>
      </c>
      <c r="B85" s="9" t="str">
        <f t="shared" si="10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0"/>
        <v xml:space="preserve"> </v>
      </c>
      <c r="B86" s="9" t="str">
        <f t="shared" si="10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0"/>
        <v xml:space="preserve"> </v>
      </c>
      <c r="B87" s="9" t="str">
        <f t="shared" si="10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0"/>
        <v xml:space="preserve"> </v>
      </c>
      <c r="B88" s="9" t="str">
        <f t="shared" si="10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0"/>
        <v xml:space="preserve"> </v>
      </c>
      <c r="B89" s="9" t="str">
        <f t="shared" si="10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0"/>
        <v xml:space="preserve"> </v>
      </c>
      <c r="B90" s="9" t="str">
        <f t="shared" si="10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0"/>
        <v xml:space="preserve"> </v>
      </c>
      <c r="B91" s="9" t="str">
        <f t="shared" si="10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0"/>
        <v xml:space="preserve"> </v>
      </c>
      <c r="B92" s="9" t="str">
        <f t="shared" si="10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1">A39</f>
        <v xml:space="preserve"> </v>
      </c>
      <c r="B93" s="9" t="str">
        <f t="shared" si="11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1"/>
        <v xml:space="preserve"> </v>
      </c>
      <c r="B94" s="9" t="str">
        <f t="shared" si="11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1"/>
        <v xml:space="preserve"> </v>
      </c>
      <c r="B95" s="9" t="str">
        <f t="shared" si="11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1"/>
        <v xml:space="preserve"> </v>
      </c>
      <c r="B96" s="9" t="str">
        <f t="shared" si="11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ref="A97" si="12">A43</f>
        <v xml:space="preserve"> </v>
      </c>
      <c r="B97" s="9" t="str">
        <f t="shared" si="11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ref="A98" si="13">A44</f>
        <v xml:space="preserve"> </v>
      </c>
      <c r="B98" s="9" t="str">
        <f t="shared" si="11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ref="A99" si="14">A45</f>
        <v xml:space="preserve"> </v>
      </c>
      <c r="B99" s="9" t="str">
        <f t="shared" si="11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ref="A100" si="15">A46</f>
        <v xml:space="preserve"> </v>
      </c>
      <c r="B100" s="9" t="str">
        <f t="shared" si="11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ref="A101" si="16">A47</f>
        <v xml:space="preserve"> </v>
      </c>
      <c r="B101" s="9" t="str">
        <f t="shared" si="11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ref="A102" si="17">A48</f>
        <v xml:space="preserve"> </v>
      </c>
      <c r="B102" s="9" t="str">
        <f t="shared" si="11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ref="A103" si="18">A49</f>
        <v xml:space="preserve"> </v>
      </c>
      <c r="B103" s="9" t="str">
        <f t="shared" si="11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ref="A104" si="19">A50</f>
        <v xml:space="preserve"> </v>
      </c>
      <c r="B104" s="9" t="str">
        <f t="shared" si="11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ref="A105" si="20">A51</f>
        <v xml:space="preserve"> </v>
      </c>
      <c r="B105" s="9" t="str">
        <f t="shared" si="11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ref="A106" si="21">A52</f>
        <v xml:space="preserve"> </v>
      </c>
      <c r="B106" s="9" t="str">
        <f t="shared" si="11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ref="A107" si="22">A53</f>
        <v xml:space="preserve"> </v>
      </c>
      <c r="B107" s="9" t="str">
        <f t="shared" si="11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ref="A108" si="23">A54</f>
        <v xml:space="preserve"> </v>
      </c>
      <c r="B108" s="9" t="str">
        <f t="shared" si="11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" si="24">A55</f>
        <v xml:space="preserve"> </v>
      </c>
      <c r="B109" s="9" t="str">
        <f t="shared" ref="B109" si="25">B55</f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26">SUM(E60:E109)</f>
        <v>0</v>
      </c>
      <c r="F110" s="53">
        <f t="shared" si="26"/>
        <v>0</v>
      </c>
      <c r="G110" s="53">
        <f t="shared" si="26"/>
        <v>0</v>
      </c>
      <c r="H110" s="53">
        <f t="shared" si="26"/>
        <v>0</v>
      </c>
      <c r="I110" s="53">
        <f t="shared" si="26"/>
        <v>0</v>
      </c>
      <c r="J110" s="54">
        <f t="shared" si="26"/>
        <v>0</v>
      </c>
      <c r="K110" s="49">
        <f t="shared" si="26"/>
        <v>0</v>
      </c>
      <c r="L110" s="11">
        <v>0</v>
      </c>
      <c r="M110" s="14"/>
    </row>
  </sheetData>
  <hyperlinks>
    <hyperlink ref="M1" location="'Receiving Totals'!A1" display="Receiving Totals" xr:uid="{AD67D9E2-E61D-4E63-9C96-B3A9D6448099}"/>
  </hyperlinks>
  <pageMargins left="0.25" right="0.25" top="0.75" bottom="0.75" header="0.3" footer="0.3"/>
  <pageSetup scale="29" fitToWidth="0" fitToHeight="0" orientation="landscape" horizontalDpi="4294967295" verticalDpi="4294967295" r:id="rId1"/>
  <rowBreaks count="1" manualBreakCount="1">
    <brk id="57" max="14" man="1"/>
  </row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0D0D-301C-44B1-A8B7-028C55FD0F02}">
  <dimension ref="A1:P110"/>
  <sheetViews>
    <sheetView zoomScale="60" zoomScaleNormal="60" workbookViewId="0">
      <pane xSplit="1" ySplit="5" topLeftCell="B6" activePane="bottomRight" state="frozen"/>
      <selection pane="topRight" activeCell="N11" sqref="N11"/>
      <selection pane="bottomLeft" activeCell="N11" sqref="N11"/>
      <selection pane="bottomRight" activeCell="C18" sqref="C18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5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5" ht="33" customHeight="1" x14ac:dyDescent="0.5">
      <c r="A3" s="12"/>
      <c r="B3" s="65" t="s">
        <v>13</v>
      </c>
      <c r="C3" s="22">
        <f>C2*$N$3</f>
        <v>154.60909999999998</v>
      </c>
      <c r="D3" s="22"/>
      <c r="E3" s="22">
        <f t="shared" ref="E3:L3" si="0">E2*$N$3</f>
        <v>32.021549999999998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51.428550000000001</v>
      </c>
      <c r="J3" s="22">
        <f t="shared" si="0"/>
        <v>39.460899999999995</v>
      </c>
      <c r="K3" s="22">
        <f t="shared" si="0"/>
        <v>45.929899999999996</v>
      </c>
      <c r="L3" s="22">
        <f t="shared" si="0"/>
        <v>0</v>
      </c>
      <c r="M3" s="22"/>
      <c r="N3" s="23">
        <v>323.45</v>
      </c>
    </row>
    <row r="4" spans="1:15" ht="33" customHeight="1" x14ac:dyDescent="0.35">
      <c r="A4" s="63" t="s">
        <v>14</v>
      </c>
      <c r="B4" s="64">
        <f>'Friday WK4 (27)'!$B$4+1</f>
        <v>46221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x14ac:dyDescent="0.35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33" customHeight="1" x14ac:dyDescent="0.35">
      <c r="A6" s="1" t="s">
        <v>389</v>
      </c>
      <c r="B6" s="68" t="s">
        <v>39</v>
      </c>
      <c r="C6" s="15">
        <f t="shared" ref="C6:C7" si="1">N6-D6-E6-F6-G6-H6-I6-J6-K6-L6-M6-D60-E60-F60-G60-H60-I60-J60-K60-L60-C60</f>
        <v>-3289.3500000000004</v>
      </c>
      <c r="D6" s="15"/>
      <c r="E6" s="15">
        <v>-247.95</v>
      </c>
      <c r="F6" s="15"/>
      <c r="G6" s="15"/>
      <c r="H6" s="15"/>
      <c r="I6" s="15"/>
      <c r="J6" s="15"/>
      <c r="K6" s="15">
        <v>-57.1</v>
      </c>
      <c r="L6" s="15"/>
      <c r="M6" s="15"/>
      <c r="N6" s="55">
        <v>-3594.4</v>
      </c>
      <c r="O6" s="148" t="s">
        <v>739</v>
      </c>
    </row>
    <row r="7" spans="1:15" ht="33" customHeight="1" x14ac:dyDescent="0.35">
      <c r="A7" s="1" t="s">
        <v>391</v>
      </c>
      <c r="B7" s="68" t="s">
        <v>39</v>
      </c>
      <c r="C7" s="15">
        <f t="shared" si="1"/>
        <v>-2820.5299999999997</v>
      </c>
      <c r="D7" s="15"/>
      <c r="E7" s="15">
        <v>-3127.27</v>
      </c>
      <c r="F7" s="15"/>
      <c r="G7" s="15"/>
      <c r="H7" s="15"/>
      <c r="I7" s="15"/>
      <c r="J7" s="15"/>
      <c r="K7" s="15">
        <v>-708.06</v>
      </c>
      <c r="L7" s="15"/>
      <c r="M7" s="15"/>
      <c r="N7" s="55">
        <v>-6655.86</v>
      </c>
      <c r="O7" s="148" t="s">
        <v>739</v>
      </c>
    </row>
    <row r="8" spans="1:15" ht="33" customHeight="1" x14ac:dyDescent="0.35">
      <c r="A8" s="1" t="s">
        <v>82</v>
      </c>
      <c r="B8" s="68" t="s">
        <v>82</v>
      </c>
      <c r="C8" s="15">
        <f t="shared" ref="C8:C9" si="2">N8-D8-E8-F8-G8-H8-I8-J8-K8-L8-M8-D62-E62-F62-G62-H62-I62-J62-K62-L62-C62</f>
        <v>0</v>
      </c>
      <c r="D8" s="15"/>
      <c r="E8" s="15"/>
      <c r="F8" s="15"/>
      <c r="G8" s="15"/>
      <c r="H8" s="15"/>
      <c r="I8" s="15"/>
      <c r="J8" s="15"/>
      <c r="K8" s="15">
        <v>0</v>
      </c>
      <c r="L8" s="15"/>
      <c r="M8" s="15"/>
      <c r="N8" s="55">
        <v>0</v>
      </c>
      <c r="O8" s="148" t="s">
        <v>82</v>
      </c>
    </row>
    <row r="9" spans="1:15" ht="33" customHeight="1" x14ac:dyDescent="0.35">
      <c r="A9" s="1" t="s">
        <v>82</v>
      </c>
      <c r="B9" s="68" t="s">
        <v>82</v>
      </c>
      <c r="C9" s="15">
        <f t="shared" si="2"/>
        <v>0</v>
      </c>
      <c r="D9" s="15"/>
      <c r="E9" s="15"/>
      <c r="F9" s="15"/>
      <c r="G9" s="15"/>
      <c r="H9" s="15"/>
      <c r="I9" s="15"/>
      <c r="J9" s="15"/>
      <c r="K9" s="15">
        <v>0</v>
      </c>
      <c r="L9" s="15"/>
      <c r="M9" s="15"/>
      <c r="N9" s="55">
        <v>0</v>
      </c>
      <c r="O9" s="148" t="s">
        <v>82</v>
      </c>
    </row>
    <row r="10" spans="1:15" ht="33" customHeight="1" x14ac:dyDescent="0.35">
      <c r="A10" s="1" t="s">
        <v>394</v>
      </c>
      <c r="B10" s="68" t="s">
        <v>39</v>
      </c>
      <c r="C10" s="15">
        <f t="shared" ref="C10:C26" si="3">N10-D10-E10-F10-G10-H10-I10-J10-K10-L10-M10-D64-E64-F64-G64-H64-I64-J64-K64-L64-C64</f>
        <v>0</v>
      </c>
      <c r="D10" s="15"/>
      <c r="E10" s="15"/>
      <c r="F10" s="15"/>
      <c r="G10" s="15"/>
      <c r="H10" s="15"/>
      <c r="I10" s="15">
        <v>-741.4</v>
      </c>
      <c r="J10" s="15"/>
      <c r="K10" s="15"/>
      <c r="L10" s="15"/>
      <c r="M10" s="15"/>
      <c r="N10" s="55">
        <v>-741.4</v>
      </c>
      <c r="O10" s="148" t="s">
        <v>739</v>
      </c>
    </row>
    <row r="11" spans="1:15" ht="33" customHeight="1" x14ac:dyDescent="0.35">
      <c r="A11" s="1" t="s">
        <v>82</v>
      </c>
      <c r="B11" s="68" t="s">
        <v>82</v>
      </c>
      <c r="C11" s="15">
        <f t="shared" si="3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>
        <v>0</v>
      </c>
      <c r="O11" s="148" t="s">
        <v>82</v>
      </c>
    </row>
    <row r="12" spans="1:15" ht="33" customHeight="1" x14ac:dyDescent="0.35">
      <c r="A12" s="1" t="s">
        <v>82</v>
      </c>
      <c r="B12" s="68" t="s">
        <v>82</v>
      </c>
      <c r="C12" s="15">
        <f t="shared" si="3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>
        <v>0</v>
      </c>
      <c r="O12" s="475" t="s">
        <v>82</v>
      </c>
    </row>
    <row r="13" spans="1:15" ht="33" customHeight="1" x14ac:dyDescent="0.35">
      <c r="A13" s="1" t="s">
        <v>82</v>
      </c>
      <c r="B13" s="68" t="s">
        <v>82</v>
      </c>
      <c r="C13" s="15">
        <f t="shared" si="3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>
        <v>0</v>
      </c>
      <c r="O13" s="148" t="s">
        <v>82</v>
      </c>
    </row>
    <row r="14" spans="1:15" ht="33" customHeight="1" x14ac:dyDescent="0.35">
      <c r="A14" s="1" t="s">
        <v>82</v>
      </c>
      <c r="B14" s="68" t="s">
        <v>82</v>
      </c>
      <c r="C14" s="15">
        <f t="shared" si="3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>
        <v>0</v>
      </c>
      <c r="O14" s="148" t="s">
        <v>82</v>
      </c>
    </row>
    <row r="15" spans="1:15" ht="33" customHeight="1" x14ac:dyDescent="0.35">
      <c r="A15" s="1" t="s">
        <v>82</v>
      </c>
      <c r="B15" s="482" t="s">
        <v>740</v>
      </c>
      <c r="C15" s="15">
        <f t="shared" si="3"/>
        <v>-1767.56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>
        <v>0</v>
      </c>
    </row>
    <row r="16" spans="1:15" ht="33" customHeight="1" x14ac:dyDescent="0.35">
      <c r="A16" s="1" t="s">
        <v>741</v>
      </c>
      <c r="B16" s="68" t="s">
        <v>39</v>
      </c>
      <c r="C16" s="15">
        <f t="shared" si="3"/>
        <v>0</v>
      </c>
      <c r="D16" s="15"/>
      <c r="E16" s="15"/>
      <c r="F16" s="15"/>
      <c r="G16" s="15"/>
      <c r="H16" s="15"/>
      <c r="I16" s="15"/>
      <c r="J16" s="15"/>
      <c r="K16" s="15">
        <v>-75.67</v>
      </c>
      <c r="L16" s="15"/>
      <c r="M16" s="15"/>
      <c r="N16" s="55">
        <v>-75.67</v>
      </c>
      <c r="O16" s="148" t="s">
        <v>742</v>
      </c>
    </row>
    <row r="17" spans="1:16" ht="33" customHeight="1" x14ac:dyDescent="0.35">
      <c r="A17" s="1" t="s">
        <v>743</v>
      </c>
      <c r="B17" s="68" t="s">
        <v>39</v>
      </c>
      <c r="C17" s="15">
        <f t="shared" si="3"/>
        <v>0</v>
      </c>
      <c r="D17" s="15"/>
      <c r="E17" s="15"/>
      <c r="F17" s="15"/>
      <c r="G17" s="15"/>
      <c r="H17" s="15"/>
      <c r="I17" s="15"/>
      <c r="J17" s="15"/>
      <c r="K17" s="15">
        <v>-58.25</v>
      </c>
      <c r="L17" s="15"/>
      <c r="M17" s="15"/>
      <c r="N17" s="55">
        <v>-58.25</v>
      </c>
      <c r="O17" s="148" t="s">
        <v>744</v>
      </c>
    </row>
    <row r="18" spans="1:16" ht="33" customHeight="1" x14ac:dyDescent="0.35">
      <c r="A18" s="1" t="s">
        <v>745</v>
      </c>
      <c r="B18" s="68" t="s">
        <v>39</v>
      </c>
      <c r="C18" s="15">
        <f t="shared" si="3"/>
        <v>0</v>
      </c>
      <c r="D18" s="15"/>
      <c r="E18" s="15"/>
      <c r="F18" s="15"/>
      <c r="G18" s="15"/>
      <c r="H18" s="15"/>
      <c r="I18" s="15"/>
      <c r="J18" s="15"/>
      <c r="K18" s="15">
        <v>-329.78</v>
      </c>
      <c r="L18" s="15"/>
      <c r="M18" s="15"/>
      <c r="N18" s="55">
        <v>-329.78</v>
      </c>
      <c r="O18" s="148" t="s">
        <v>746</v>
      </c>
    </row>
    <row r="19" spans="1:16" ht="29.25" customHeight="1" x14ac:dyDescent="0.35">
      <c r="A19" s="1" t="s">
        <v>747</v>
      </c>
      <c r="B19" s="68" t="s">
        <v>39</v>
      </c>
      <c r="C19" s="15">
        <f t="shared" si="3"/>
        <v>0</v>
      </c>
      <c r="D19" s="15"/>
      <c r="E19" s="15"/>
      <c r="F19" s="15"/>
      <c r="G19" s="15"/>
      <c r="H19" s="15"/>
      <c r="I19" s="15"/>
      <c r="J19" s="15"/>
      <c r="K19" s="15">
        <v>-228.77</v>
      </c>
      <c r="L19" s="15"/>
      <c r="M19" s="15"/>
      <c r="N19" s="55">
        <v>-228.77</v>
      </c>
      <c r="O19" s="148" t="s">
        <v>748</v>
      </c>
    </row>
    <row r="20" spans="1:16" ht="29.25" customHeight="1" x14ac:dyDescent="0.35">
      <c r="A20" s="1" t="s">
        <v>655</v>
      </c>
      <c r="B20" s="68" t="s">
        <v>179</v>
      </c>
      <c r="C20" s="15">
        <f t="shared" si="3"/>
        <v>-125.73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>
        <v>-125.73</v>
      </c>
    </row>
    <row r="21" spans="1:16" ht="29.25" customHeight="1" x14ac:dyDescent="0.35">
      <c r="A21" s="1" t="s">
        <v>749</v>
      </c>
      <c r="B21" s="68" t="s">
        <v>39</v>
      </c>
      <c r="C21" s="15">
        <f t="shared" si="3"/>
        <v>0</v>
      </c>
      <c r="D21" s="15"/>
      <c r="E21" s="15"/>
      <c r="F21" s="15"/>
      <c r="G21" s="15"/>
      <c r="H21" s="15"/>
      <c r="I21" s="15">
        <v>-120.95</v>
      </c>
      <c r="J21" s="15"/>
      <c r="K21" s="15"/>
      <c r="L21" s="15"/>
      <c r="M21" s="15"/>
      <c r="N21" s="55">
        <v>-120.95</v>
      </c>
      <c r="O21" s="148" t="s">
        <v>750</v>
      </c>
    </row>
    <row r="22" spans="1:16" ht="29.25" customHeight="1" x14ac:dyDescent="0.35">
      <c r="A22" s="1" t="s">
        <v>751</v>
      </c>
      <c r="B22" s="68" t="s">
        <v>39</v>
      </c>
      <c r="C22" s="15">
        <f t="shared" si="3"/>
        <v>0</v>
      </c>
      <c r="D22" s="15"/>
      <c r="E22" s="15"/>
      <c r="F22" s="15"/>
      <c r="G22" s="15"/>
      <c r="H22" s="15"/>
      <c r="I22" s="15"/>
      <c r="J22" s="15"/>
      <c r="K22" s="15">
        <v>-123.5</v>
      </c>
      <c r="L22" s="15"/>
      <c r="M22" s="15"/>
      <c r="N22" s="55">
        <v>-123.5</v>
      </c>
      <c r="O22" s="148" t="s">
        <v>752</v>
      </c>
    </row>
    <row r="23" spans="1:16" ht="29.25" customHeight="1" x14ac:dyDescent="0.35">
      <c r="A23" s="1" t="s">
        <v>753</v>
      </c>
      <c r="B23" s="68" t="s">
        <v>39</v>
      </c>
      <c r="C23" s="15">
        <f t="shared" si="3"/>
        <v>0</v>
      </c>
      <c r="D23" s="15"/>
      <c r="E23" s="15">
        <v>-0.51</v>
      </c>
      <c r="F23" s="15"/>
      <c r="G23" s="15"/>
      <c r="H23" s="15"/>
      <c r="I23" s="15"/>
      <c r="J23" s="15"/>
      <c r="K23" s="15"/>
      <c r="L23" s="15"/>
      <c r="M23" s="15"/>
      <c r="N23" s="55">
        <v>-0.51</v>
      </c>
      <c r="O23" s="148" t="s">
        <v>754</v>
      </c>
    </row>
    <row r="24" spans="1:16" ht="29.25" customHeight="1" x14ac:dyDescent="0.35">
      <c r="A24" s="1" t="s">
        <v>755</v>
      </c>
      <c r="B24" s="68" t="s">
        <v>39</v>
      </c>
      <c r="C24" s="15">
        <f t="shared" si="3"/>
        <v>0</v>
      </c>
      <c r="D24" s="15"/>
      <c r="E24" s="15">
        <v>-1.85</v>
      </c>
      <c r="F24" s="15"/>
      <c r="G24" s="15"/>
      <c r="H24" s="15"/>
      <c r="I24" s="15"/>
      <c r="J24" s="15"/>
      <c r="K24" s="15"/>
      <c r="L24" s="15"/>
      <c r="M24" s="15"/>
      <c r="N24" s="55">
        <v>-1.85</v>
      </c>
      <c r="O24" s="148" t="s">
        <v>754</v>
      </c>
    </row>
    <row r="25" spans="1:16" ht="29.25" customHeight="1" x14ac:dyDescent="0.35">
      <c r="A25" s="1" t="s">
        <v>756</v>
      </c>
      <c r="B25" s="68" t="s">
        <v>39</v>
      </c>
      <c r="C25" s="15">
        <f t="shared" si="3"/>
        <v>0</v>
      </c>
      <c r="D25" s="15"/>
      <c r="E25" s="15">
        <v>-0.5</v>
      </c>
      <c r="F25" s="15"/>
      <c r="G25" s="15"/>
      <c r="H25" s="15"/>
      <c r="I25" s="15"/>
      <c r="J25" s="15"/>
      <c r="K25" s="15"/>
      <c r="L25" s="15"/>
      <c r="M25" s="15"/>
      <c r="N25" s="55">
        <v>-0.5</v>
      </c>
      <c r="O25" s="148" t="s">
        <v>754</v>
      </c>
    </row>
    <row r="26" spans="1:16" ht="29.25" customHeight="1" x14ac:dyDescent="0.35">
      <c r="A26" s="1" t="s">
        <v>82</v>
      </c>
      <c r="B26" s="68" t="s">
        <v>82</v>
      </c>
      <c r="C26" s="15">
        <f t="shared" si="3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>
        <v>0</v>
      </c>
      <c r="O26" s="148" t="s">
        <v>82</v>
      </c>
    </row>
    <row r="27" spans="1:16" ht="29.25" customHeight="1" x14ac:dyDescent="0.35">
      <c r="A27" s="1" t="s">
        <v>82</v>
      </c>
      <c r="B27" s="68" t="s">
        <v>82</v>
      </c>
      <c r="C27" s="15">
        <f t="shared" ref="C27:C30" si="4">N27-D27-E27-F27-G27-H27-I27-J27-K27-L27-M27-D81-E81-F81-G81-H81-I81-J81-K81-L81-C81</f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>
        <v>0</v>
      </c>
      <c r="O27" s="148" t="s">
        <v>82</v>
      </c>
    </row>
    <row r="28" spans="1:16" ht="29.25" customHeight="1" x14ac:dyDescent="0.35">
      <c r="A28" s="1" t="s">
        <v>82</v>
      </c>
      <c r="B28" s="68" t="s">
        <v>82</v>
      </c>
      <c r="C28" s="15">
        <f t="shared" si="4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  <c r="O28" s="207" t="s">
        <v>993</v>
      </c>
    </row>
    <row r="29" spans="1:16" ht="29.25" customHeight="1" x14ac:dyDescent="0.35">
      <c r="A29" s="1" t="s">
        <v>82</v>
      </c>
      <c r="B29" s="68"/>
      <c r="C29" s="15">
        <f t="shared" si="4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  <c r="O29" s="483">
        <v>-175</v>
      </c>
      <c r="P29" s="13" t="s">
        <v>757</v>
      </c>
    </row>
    <row r="30" spans="1:16" ht="29.25" customHeight="1" x14ac:dyDescent="0.35">
      <c r="A30" s="1" t="s">
        <v>82</v>
      </c>
      <c r="B30" s="68"/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  <c r="O30" s="483">
        <v>-275</v>
      </c>
      <c r="P30" s="13" t="s">
        <v>758</v>
      </c>
    </row>
    <row r="31" spans="1:16" ht="29.25" customHeight="1" x14ac:dyDescent="0.35">
      <c r="A31" s="1" t="s">
        <v>82</v>
      </c>
      <c r="B31" s="68"/>
      <c r="C31" s="15">
        <f t="shared" ref="C31:C32" si="5">N31-D31-E31-F31-G31-H31-I31-J31-K31-L31-M31-D85-E85-F85-G85-H85-I85-J85-K85-L85-C85</f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  <c r="O31" s="483">
        <v>-1400</v>
      </c>
      <c r="P31" s="13" t="s">
        <v>759</v>
      </c>
    </row>
    <row r="32" spans="1:16" ht="29.25" customHeight="1" x14ac:dyDescent="0.35">
      <c r="A32" s="1" t="s">
        <v>760</v>
      </c>
      <c r="B32" s="68" t="s">
        <v>39</v>
      </c>
      <c r="C32" s="15">
        <f t="shared" si="5"/>
        <v>98.9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>
        <v>98.9</v>
      </c>
      <c r="O32" s="148" t="s">
        <v>761</v>
      </c>
    </row>
    <row r="33" spans="1:14" ht="29.25" customHeight="1" x14ac:dyDescent="0.35">
      <c r="A33" s="1" t="s">
        <v>762</v>
      </c>
      <c r="B33" s="68" t="s">
        <v>39</v>
      </c>
      <c r="C33" s="15">
        <f t="shared" ref="C33:C37" si="6">N33-D33-E33-F33-G33-H33-I33-J33-K33-L33-M33-D87-E87-F87-G87-H87-I87-J87-K87-L87-C87</f>
        <v>0</v>
      </c>
      <c r="D33" s="15"/>
      <c r="E33" s="15"/>
      <c r="F33" s="15"/>
      <c r="G33" s="15"/>
      <c r="H33" s="15"/>
      <c r="I33" s="15"/>
      <c r="J33" s="15"/>
      <c r="K33" s="15">
        <v>192</v>
      </c>
      <c r="L33" s="15"/>
      <c r="M33" s="15"/>
      <c r="N33" s="55">
        <v>192</v>
      </c>
    </row>
    <row r="34" spans="1:14" ht="29.25" customHeight="1" x14ac:dyDescent="0.35">
      <c r="A34" s="1" t="s">
        <v>82</v>
      </c>
      <c r="B34" s="68" t="s">
        <v>82</v>
      </c>
      <c r="C34" s="15">
        <f t="shared" si="6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6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6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6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ref="C38:C55" si="7">N38-D38-E38-F38-G38-H38-I38-J38-K38-L38-M38-D92-E92-F92-G92-H92-I92-J92-K92-L92-C92</f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7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7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7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7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7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7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7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7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7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7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si="7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si="7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7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si="7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39</v>
      </c>
      <c r="C56" s="16">
        <f>C3</f>
        <v>154.60909999999998</v>
      </c>
      <c r="D56" s="16"/>
      <c r="E56" s="16">
        <f t="shared" ref="E56:L56" si="8">E3</f>
        <v>32.021549999999998</v>
      </c>
      <c r="F56" s="16">
        <f t="shared" si="8"/>
        <v>0</v>
      </c>
      <c r="G56" s="16">
        <f t="shared" si="8"/>
        <v>0</v>
      </c>
      <c r="H56" s="16">
        <f t="shared" si="8"/>
        <v>0</v>
      </c>
      <c r="I56" s="16">
        <f t="shared" si="8"/>
        <v>51.428550000000001</v>
      </c>
      <c r="J56" s="16">
        <f t="shared" si="8"/>
        <v>39.460899999999995</v>
      </c>
      <c r="K56" s="16">
        <f t="shared" si="8"/>
        <v>45.929899999999996</v>
      </c>
      <c r="L56" s="16">
        <f t="shared" si="8"/>
        <v>0</v>
      </c>
      <c r="M56" s="16"/>
      <c r="N56" s="60">
        <f>SUM(C56:M56)+SUM(C118:J118)</f>
        <v>323.44999999999993</v>
      </c>
      <c r="O56" s="148" t="s">
        <v>763</v>
      </c>
    </row>
    <row r="57" spans="1:15" ht="29.25" customHeight="1" x14ac:dyDescent="0.4">
      <c r="A57" s="24" t="s">
        <v>84</v>
      </c>
      <c r="B57" s="10"/>
      <c r="C57" s="61">
        <f t="shared" ref="C57:N57" si="9">SUM(C6:C56)</f>
        <v>-7749.6609000000008</v>
      </c>
      <c r="D57" s="61">
        <f t="shared" si="9"/>
        <v>0</v>
      </c>
      <c r="E57" s="61">
        <f t="shared" si="9"/>
        <v>-3346.05845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-810.92145000000005</v>
      </c>
      <c r="J57" s="61">
        <f t="shared" si="9"/>
        <v>39.460899999999995</v>
      </c>
      <c r="K57" s="61">
        <f t="shared" si="9"/>
        <v>-1343.2000999999998</v>
      </c>
      <c r="L57" s="61">
        <f t="shared" si="9"/>
        <v>0</v>
      </c>
      <c r="M57" s="61">
        <f t="shared" si="9"/>
        <v>0</v>
      </c>
      <c r="N57" s="61">
        <f t="shared" si="9"/>
        <v>-11442.820000000002</v>
      </c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 t="shared" ref="A60:B79" si="10">A6</f>
        <v>5638048</v>
      </c>
      <c r="B60" s="9" t="str">
        <f t="shared" si="10"/>
        <v>THE GROCERY PEOPLE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si="10"/>
        <v>5638263</v>
      </c>
      <c r="B61" s="9" t="str">
        <f t="shared" si="10"/>
        <v>THE GROCERY PEOPLE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10"/>
        <v xml:space="preserve"> </v>
      </c>
      <c r="B62" s="9" t="str">
        <f t="shared" si="10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10"/>
        <v xml:space="preserve"> </v>
      </c>
      <c r="B63" s="9" t="str">
        <f t="shared" si="10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10"/>
        <v>5639458</v>
      </c>
      <c r="B64" s="9" t="str">
        <f t="shared" si="10"/>
        <v>THE GROCERY PEOPLE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10"/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10"/>
        <v xml:space="preserve"> </v>
      </c>
      <c r="B66" s="9" t="str">
        <f t="shared" si="10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10"/>
        <v xml:space="preserve"> </v>
      </c>
      <c r="B67" s="9" t="str">
        <f t="shared" si="10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10"/>
        <v xml:space="preserve"> </v>
      </c>
      <c r="B68" s="9" t="str">
        <f t="shared" si="10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10"/>
        <v xml:space="preserve"> </v>
      </c>
      <c r="B69" s="9" t="str">
        <f t="shared" si="10"/>
        <v>WRITE OFF BOOK</v>
      </c>
      <c r="C69" s="26">
        <v>1767.56</v>
      </c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10"/>
        <v>9502861</v>
      </c>
      <c r="B70" s="9" t="str">
        <f t="shared" si="10"/>
        <v>THE GROCERY PEOPLE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10"/>
        <v>9502860</v>
      </c>
      <c r="B71" s="9" t="str">
        <f t="shared" si="10"/>
        <v>THE GROCERY PEOPLE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0"/>
        <v>9502855</v>
      </c>
      <c r="B72" s="9" t="str">
        <f t="shared" si="10"/>
        <v>THE GROCERY PEOPLE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0"/>
        <v>9502859</v>
      </c>
      <c r="B73" s="9" t="str">
        <f t="shared" si="10"/>
        <v>THE GROCERY PEOPLE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0"/>
        <v>77684243</v>
      </c>
      <c r="B74" s="9" t="str">
        <f t="shared" si="10"/>
        <v>FRITO LAY CANADA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10"/>
        <v>9590246</v>
      </c>
      <c r="B75" s="9" t="str">
        <f t="shared" si="10"/>
        <v>THE GROCERY PEOPLE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0"/>
        <v>9594577</v>
      </c>
      <c r="B76" s="9" t="str">
        <f t="shared" si="10"/>
        <v>THE GROCERY PEOPLE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si="10"/>
        <v>9502118</v>
      </c>
      <c r="B77" s="9" t="str">
        <f t="shared" si="10"/>
        <v>THE GROCERY PEOPLE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0"/>
        <v>9502149</v>
      </c>
      <c r="B78" s="9" t="str">
        <f t="shared" si="10"/>
        <v>THE GROCERY PEOPLE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0"/>
        <v>9502151</v>
      </c>
      <c r="B79" s="9" t="str">
        <f t="shared" si="10"/>
        <v>THE GROCERY PEOPLE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ref="A80:B99" si="11">A26</f>
        <v xml:space="preserve"> </v>
      </c>
      <c r="B80" s="9" t="str">
        <f t="shared" si="11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1"/>
        <v xml:space="preserve"> </v>
      </c>
      <c r="B81" s="9" t="str">
        <f t="shared" si="11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1"/>
        <v xml:space="preserve"> </v>
      </c>
      <c r="B82" s="9" t="str">
        <f t="shared" si="1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1"/>
        <v xml:space="preserve"> </v>
      </c>
      <c r="B83" s="9">
        <f t="shared" si="11"/>
        <v>0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1"/>
        <v xml:space="preserve"> </v>
      </c>
      <c r="B84" s="9">
        <f t="shared" si="11"/>
        <v>0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1"/>
        <v xml:space="preserve"> </v>
      </c>
      <c r="B85" s="9">
        <f t="shared" si="11"/>
        <v>0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1"/>
        <v>6094</v>
      </c>
      <c r="B86" s="9" t="str">
        <f t="shared" si="11"/>
        <v>THE GROCERY PEOPLE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1"/>
        <v>6700286</v>
      </c>
      <c r="B87" s="9" t="str">
        <f t="shared" si="11"/>
        <v>THE GROCERY PEOPLE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1"/>
        <v xml:space="preserve"> </v>
      </c>
      <c r="B88" s="9" t="str">
        <f t="shared" si="11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1"/>
        <v xml:space="preserve"> </v>
      </c>
      <c r="B89" s="9" t="str">
        <f t="shared" si="11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1"/>
        <v xml:space="preserve"> </v>
      </c>
      <c r="B90" s="9" t="str">
        <f t="shared" si="11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1"/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si="11"/>
        <v xml:space="preserve"> </v>
      </c>
      <c r="B93" s="9" t="str">
        <f t="shared" si="11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1"/>
        <v xml:space="preserve"> </v>
      </c>
      <c r="B94" s="9" t="str">
        <f t="shared" si="11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1"/>
        <v xml:space="preserve"> </v>
      </c>
      <c r="B95" s="9" t="str">
        <f t="shared" si="11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1"/>
        <v xml:space="preserve"> </v>
      </c>
      <c r="B96" s="9" t="str">
        <f t="shared" si="11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1"/>
        <v xml:space="preserve"> </v>
      </c>
      <c r="B97" s="9" t="str">
        <f t="shared" si="11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1"/>
        <v xml:space="preserve"> </v>
      </c>
      <c r="B98" s="9" t="str">
        <f t="shared" si="11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1"/>
        <v xml:space="preserve"> </v>
      </c>
      <c r="B99" s="9" t="str">
        <f t="shared" si="11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ref="A100:B109" si="12">A46</f>
        <v xml:space="preserve"> </v>
      </c>
      <c r="B100" s="9" t="str">
        <f t="shared" si="12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2"/>
        <v xml:space="preserve"> </v>
      </c>
      <c r="B101" s="9" t="str">
        <f t="shared" si="12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2"/>
        <v xml:space="preserve"> </v>
      </c>
      <c r="B102" s="9" t="str">
        <f t="shared" si="12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2"/>
        <v xml:space="preserve"> </v>
      </c>
      <c r="B103" s="9" t="str">
        <f t="shared" si="1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2"/>
        <v xml:space="preserve"> </v>
      </c>
      <c r="B104" s="9" t="str">
        <f t="shared" si="12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2"/>
        <v xml:space="preserve"> </v>
      </c>
      <c r="B105" s="9" t="str">
        <f t="shared" si="1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2"/>
        <v xml:space="preserve"> </v>
      </c>
      <c r="B106" s="9" t="str">
        <f t="shared" si="1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2"/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si="12"/>
        <v xml:space="preserve"> </v>
      </c>
      <c r="B109" s="9" t="str">
        <f t="shared" si="12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84</v>
      </c>
      <c r="B110" s="8"/>
      <c r="C110" s="53">
        <f t="shared" ref="C110:K110" si="13">SUM(C60:C109)</f>
        <v>1767.56</v>
      </c>
      <c r="D110" s="53">
        <f t="shared" si="13"/>
        <v>0</v>
      </c>
      <c r="E110" s="53">
        <f t="shared" si="13"/>
        <v>0</v>
      </c>
      <c r="F110" s="53">
        <f t="shared" si="13"/>
        <v>0</v>
      </c>
      <c r="G110" s="53">
        <f t="shared" si="13"/>
        <v>0</v>
      </c>
      <c r="H110" s="53">
        <f t="shared" si="13"/>
        <v>0</v>
      </c>
      <c r="I110" s="53">
        <f t="shared" si="13"/>
        <v>0</v>
      </c>
      <c r="J110" s="54">
        <f t="shared" si="13"/>
        <v>0</v>
      </c>
      <c r="K110" s="49">
        <f t="shared" si="13"/>
        <v>0</v>
      </c>
      <c r="L110" s="11">
        <v>0</v>
      </c>
      <c r="M110" s="14"/>
    </row>
  </sheetData>
  <hyperlinks>
    <hyperlink ref="M1" location="'Receiving Totals'!A1" display="Receiving Totals" xr:uid="{86DA6294-F104-4CAB-A7F4-84CDEA487F15}"/>
  </hyperlinks>
  <pageMargins left="0.7" right="0.7" top="0.75" bottom="0.75" header="0.3" footer="0.3"/>
  <pageSetup scale="29" orientation="landscape" horizontalDpi="300" verticalDpi="300" r:id="rId1"/>
  <rowBreaks count="1" manualBreakCount="1">
    <brk id="57" max="14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1EBA-63AC-48DB-A4F2-2AF8FF2ACEBA}">
  <dimension ref="A1:P110"/>
  <sheetViews>
    <sheetView zoomScale="60" zoomScaleNormal="6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30.42578125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6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6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6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6" ht="21" customHeight="1" thickBot="1" x14ac:dyDescent="0.4">
      <c r="A4" s="63" t="s">
        <v>14</v>
      </c>
      <c r="B4" s="64">
        <f>'Saturday WK4 (28)'!B4+1</f>
        <v>46222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6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6" ht="29.25" customHeight="1" x14ac:dyDescent="0.35">
      <c r="A6" s="1" t="s">
        <v>82</v>
      </c>
      <c r="B6" s="68" t="s">
        <v>82</v>
      </c>
      <c r="C6" s="15">
        <f t="shared" ref="C6:C50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6" ht="29.25" customHeight="1" x14ac:dyDescent="0.35">
      <c r="A7" s="1" t="s">
        <v>82</v>
      </c>
      <c r="B7" s="68" t="s">
        <v>82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6" ht="29.25" customHeight="1" x14ac:dyDescent="0.35">
      <c r="A8" s="1" t="s">
        <v>82</v>
      </c>
      <c r="B8" s="68" t="s">
        <v>82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6" ht="29.25" customHeight="1" x14ac:dyDescent="0.35">
      <c r="A9" s="1" t="s">
        <v>82</v>
      </c>
      <c r="B9" s="68" t="s">
        <v>82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6" ht="29.25" customHeight="1" x14ac:dyDescent="0.35">
      <c r="A10" s="1" t="s">
        <v>82</v>
      </c>
      <c r="B10" s="68" t="s">
        <v>82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6" ht="29.25" customHeight="1" x14ac:dyDescent="0.35">
      <c r="A11" s="1" t="s">
        <v>82</v>
      </c>
      <c r="B11" s="68" t="s">
        <v>82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  <c r="P11" s="148"/>
    </row>
    <row r="12" spans="1:16" ht="29.25" customHeight="1" x14ac:dyDescent="0.35">
      <c r="A12" s="1" t="s">
        <v>82</v>
      </c>
      <c r="B12" s="68" t="s">
        <v>82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6" ht="29.25" customHeight="1" x14ac:dyDescent="0.35">
      <c r="A13" s="1" t="s">
        <v>82</v>
      </c>
      <c r="B13" s="68" t="s">
        <v>82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6" ht="29.25" customHeight="1" x14ac:dyDescent="0.35">
      <c r="A14" s="1" t="s">
        <v>82</v>
      </c>
      <c r="B14" s="68" t="s">
        <v>82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6" ht="29.25" customHeight="1" x14ac:dyDescent="0.35">
      <c r="A15" s="1" t="s">
        <v>82</v>
      </c>
      <c r="B15" s="68" t="s">
        <v>82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6" ht="29.25" customHeight="1" x14ac:dyDescent="0.35">
      <c r="A16" s="1" t="s">
        <v>82</v>
      </c>
      <c r="B16" s="68" t="s">
        <v>82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82</v>
      </c>
      <c r="B17" s="68" t="s">
        <v>82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1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1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1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1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1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1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82</v>
      </c>
      <c r="B49" s="68" t="s">
        <v>82</v>
      </c>
      <c r="C49" s="15">
        <f t="shared" si="1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82</v>
      </c>
      <c r="B50" s="68" t="s">
        <v>82</v>
      </c>
      <c r="C50" s="15">
        <f t="shared" si="1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82</v>
      </c>
      <c r="B51" s="68" t="s">
        <v>82</v>
      </c>
      <c r="C51" s="15">
        <f t="shared" ref="C51:C53" si="2">N51-D51-E51-F51-G51-H51-I51-J51-K51-L51-M51-D105-E105-F105-G105-H105-I105-J105-K105-L105-C105</f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82</v>
      </c>
      <c r="B52" s="68" t="s">
        <v>82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82</v>
      </c>
      <c r="B53" s="68" t="s">
        <v>82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82</v>
      </c>
      <c r="B54" s="68" t="s">
        <v>82</v>
      </c>
      <c r="C54" s="15">
        <f t="shared" ref="C54" si="3">N54-D54-E54-F54-G54-H54-I54-J54-K54-L54-M54-D108-E108-F108-G108-H108-I108-J108-K108-L108-C108</f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82</v>
      </c>
      <c r="B55" s="68" t="s">
        <v>82</v>
      </c>
      <c r="C55" s="15">
        <f t="shared" ref="C55" si="4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 x14ac:dyDescent="0.4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</row>
    <row r="57" spans="1:14" ht="29.25" customHeight="1" thickBot="1" x14ac:dyDescent="0.45">
      <c r="A57" s="24" t="s">
        <v>84</v>
      </c>
      <c r="B57" s="10"/>
      <c r="C57" s="61">
        <f t="shared" ref="C57:M57" si="6">SUM(C6:C56)</f>
        <v>0</v>
      </c>
      <c r="D57" s="61">
        <f t="shared" si="6"/>
        <v>0</v>
      </c>
      <c r="E57" s="61">
        <f t="shared" si="6"/>
        <v>0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0</v>
      </c>
      <c r="L57" s="61">
        <f t="shared" si="6"/>
        <v>0</v>
      </c>
      <c r="M57" s="61">
        <f t="shared" si="6"/>
        <v>0</v>
      </c>
      <c r="N57" s="61">
        <f>SUM(N6:N56)</f>
        <v>0</v>
      </c>
    </row>
    <row r="58" spans="1:14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4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4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76" si="7">A7</f>
        <v xml:space="preserve"> </v>
      </c>
      <c r="B61" s="9" t="str">
        <f t="shared" si="7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si="7"/>
        <v xml:space="preserve"> </v>
      </c>
      <c r="B62" s="9" t="str">
        <f t="shared" si="7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ref="A63:B63" si="8">A9</f>
        <v xml:space="preserve"> </v>
      </c>
      <c r="B63" s="9" t="str">
        <f t="shared" si="8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ref="A64:B64" si="9">A10</f>
        <v xml:space="preserve"> </v>
      </c>
      <c r="B64" s="9" t="str">
        <f t="shared" si="9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ref="A65:B65" si="10">A11</f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ref="A66:B66" si="11">A12</f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ref="A67:B67" si="12">A13</f>
        <v xml:space="preserve"> </v>
      </c>
      <c r="B67" s="9" t="str">
        <f t="shared" si="12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ref="A68:B68" si="13">A14</f>
        <v xml:space="preserve"> </v>
      </c>
      <c r="B68" s="9" t="str">
        <f t="shared" si="13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7"/>
        <v xml:space="preserve"> </v>
      </c>
      <c r="B69" s="9" t="str">
        <f t="shared" si="7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7"/>
        <v xml:space="preserve"> </v>
      </c>
      <c r="B70" s="9" t="str">
        <f t="shared" si="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7"/>
        <v xml:space="preserve"> </v>
      </c>
      <c r="B71" s="9" t="str">
        <f t="shared" si="7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7"/>
        <v xml:space="preserve"> </v>
      </c>
      <c r="B72" s="9" t="str">
        <f t="shared" si="7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7"/>
        <v xml:space="preserve"> </v>
      </c>
      <c r="B73" s="9" t="str">
        <f t="shared" si="7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7"/>
        <v xml:space="preserve"> </v>
      </c>
      <c r="B74" s="9" t="str">
        <f t="shared" si="7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7"/>
        <v xml:space="preserve"> </v>
      </c>
      <c r="B75" s="9" t="str">
        <f t="shared" si="7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7"/>
        <v xml:space="preserve"> </v>
      </c>
      <c r="B76" s="9" t="str">
        <f t="shared" si="7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4">A23</f>
        <v xml:space="preserve"> </v>
      </c>
      <c r="B77" s="9" t="str">
        <f t="shared" si="14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4"/>
        <v xml:space="preserve"> </v>
      </c>
      <c r="B78" s="9" t="str">
        <f t="shared" si="14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4"/>
        <v xml:space="preserve"> </v>
      </c>
      <c r="B79" s="9" t="str">
        <f t="shared" si="14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4"/>
        <v xml:space="preserve"> </v>
      </c>
      <c r="B80" s="9" t="str">
        <f t="shared" si="14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4"/>
        <v xml:space="preserve"> </v>
      </c>
      <c r="B81" s="9" t="str">
        <f t="shared" si="14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4"/>
        <v xml:space="preserve"> </v>
      </c>
      <c r="B82" s="9" t="str">
        <f t="shared" si="14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4"/>
        <v xml:space="preserve"> </v>
      </c>
      <c r="B83" s="9" t="str">
        <f t="shared" si="14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4"/>
        <v xml:space="preserve"> </v>
      </c>
      <c r="B84" s="9" t="str">
        <f t="shared" si="14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4"/>
        <v xml:space="preserve"> </v>
      </c>
      <c r="B85" s="9" t="str">
        <f t="shared" si="14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4"/>
        <v xml:space="preserve"> </v>
      </c>
      <c r="B86" s="9" t="str">
        <f t="shared" si="14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4"/>
        <v xml:space="preserve"> </v>
      </c>
      <c r="B87" s="9" t="str">
        <f t="shared" si="14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4"/>
        <v xml:space="preserve"> </v>
      </c>
      <c r="B88" s="9" t="str">
        <f t="shared" si="14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4"/>
        <v xml:space="preserve"> </v>
      </c>
      <c r="B89" s="9" t="str">
        <f t="shared" si="14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4"/>
        <v xml:space="preserve"> </v>
      </c>
      <c r="B90" s="9" t="str">
        <f t="shared" si="14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4"/>
        <v xml:space="preserve"> </v>
      </c>
      <c r="B91" s="9" t="str">
        <f t="shared" si="14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4"/>
        <v xml:space="preserve"> </v>
      </c>
      <c r="B92" s="9" t="str">
        <f t="shared" si="14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5">A39</f>
        <v xml:space="preserve"> </v>
      </c>
      <c r="B93" s="9" t="str">
        <f t="shared" si="15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5"/>
        <v xml:space="preserve"> </v>
      </c>
      <c r="B94" s="9" t="str">
        <f t="shared" si="15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5"/>
        <v xml:space="preserve"> </v>
      </c>
      <c r="B95" s="9" t="str">
        <f t="shared" si="15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5"/>
        <v xml:space="preserve"> </v>
      </c>
      <c r="B96" s="9" t="str">
        <f t="shared" si="15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5"/>
        <v xml:space="preserve"> </v>
      </c>
      <c r="B97" s="9" t="str">
        <f t="shared" si="15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5"/>
        <v xml:space="preserve"> </v>
      </c>
      <c r="B98" s="9" t="str">
        <f t="shared" si="15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5"/>
        <v xml:space="preserve"> </v>
      </c>
      <c r="B99" s="9" t="str">
        <f t="shared" si="15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5"/>
        <v xml:space="preserve"> </v>
      </c>
      <c r="B100" s="9" t="str">
        <f t="shared" si="15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5"/>
        <v xml:space="preserve"> </v>
      </c>
      <c r="B101" s="9" t="str">
        <f t="shared" si="15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5"/>
        <v xml:space="preserve"> </v>
      </c>
      <c r="B102" s="9" t="str">
        <f t="shared" si="15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5"/>
        <v xml:space="preserve"> </v>
      </c>
      <c r="B103" s="9" t="str">
        <f t="shared" si="15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5"/>
        <v xml:space="preserve"> </v>
      </c>
      <c r="B104" s="9" t="str">
        <f t="shared" si="15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5"/>
        <v xml:space="preserve"> </v>
      </c>
      <c r="B105" s="9" t="str">
        <f t="shared" si="15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5"/>
        <v xml:space="preserve"> </v>
      </c>
      <c r="B106" s="9" t="str">
        <f t="shared" si="15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5"/>
        <v xml:space="preserve"> </v>
      </c>
      <c r="B107" s="9" t="str">
        <f t="shared" si="15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5"/>
        <v xml:space="preserve"> </v>
      </c>
      <c r="B108" s="9" t="str">
        <f t="shared" si="15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6">A55</f>
        <v xml:space="preserve"> </v>
      </c>
      <c r="B109" s="9" t="str">
        <f t="shared" si="16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7">SUM(E60:E109)</f>
        <v>0</v>
      </c>
      <c r="F110" s="53">
        <f t="shared" si="17"/>
        <v>0</v>
      </c>
      <c r="G110" s="53">
        <f t="shared" si="17"/>
        <v>0</v>
      </c>
      <c r="H110" s="53">
        <f t="shared" si="17"/>
        <v>0</v>
      </c>
      <c r="I110" s="53">
        <f t="shared" si="17"/>
        <v>0</v>
      </c>
      <c r="J110" s="54">
        <f t="shared" si="17"/>
        <v>0</v>
      </c>
      <c r="K110" s="49">
        <f t="shared" si="17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D38DE653-B2BC-42C5-81BC-1C8B3E8C3CB0}"/>
  </hyperlinks>
  <pageMargins left="0.7" right="0.7" top="0.75" bottom="0.75" header="0.3" footer="0.3"/>
  <pageSetup scale="29" orientation="landscape" verticalDpi="1200" r:id="rId1"/>
  <rowBreaks count="1" manualBreakCount="1">
    <brk id="57" max="14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8795-119A-4EF9-981D-A4D38BA17E85}">
  <dimension ref="A1:O110"/>
  <sheetViews>
    <sheetView zoomScale="70" zoomScaleNormal="7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4">
      <c r="A4" s="63" t="s">
        <v>14</v>
      </c>
      <c r="B4" s="64">
        <f>'Saturday WK4 (28)'!B4+2</f>
        <v>46223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82</v>
      </c>
      <c r="B6" s="68" t="s">
        <v>82</v>
      </c>
      <c r="C6" s="15">
        <f t="shared" ref="C6:C15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82</v>
      </c>
      <c r="B7" s="68" t="s">
        <v>82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82</v>
      </c>
      <c r="B8" s="68" t="s">
        <v>82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82</v>
      </c>
      <c r="B9" s="68" t="s">
        <v>82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82</v>
      </c>
      <c r="B10" s="68" t="s">
        <v>82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82</v>
      </c>
      <c r="B11" s="68" t="s">
        <v>82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82</v>
      </c>
      <c r="B12" s="68" t="s">
        <v>82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82</v>
      </c>
      <c r="B13" s="68" t="s">
        <v>82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82</v>
      </c>
      <c r="B14" s="68" t="s">
        <v>82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82</v>
      </c>
      <c r="B15" s="68" t="s">
        <v>82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82</v>
      </c>
      <c r="B16" s="68" t="s">
        <v>82</v>
      </c>
      <c r="C16" s="15">
        <f t="shared" ref="C16" si="2">N16-D16-E16-F16-G16-H16-I16-J16-K16-L16-M16-D70-E70-F70-G70-H70-I70-J70-K70-L70-C70</f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82</v>
      </c>
      <c r="B17" s="68" t="s">
        <v>82</v>
      </c>
      <c r="C17" s="15">
        <f t="shared" ref="C17" si="3">N17-D17-E17-F17-G17-H17-I17-J17-K17-L17-M17-D71-E71-F71-G71-H71-I71-J71-K71-L71-C71</f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ref="C18:C21" si="4">N18-D18-E18-F18-G18-H18-I18-J18-K18-L18-M18-D72-E72-F72-G72-H72-I72-J72-K72-L72-C72</f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si="4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si="4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si="4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ref="C22:C55" si="5">N22-D22-E22-F22-G22-H22-I22-J22-K22-L22-M22-D76-E76-F76-G76-H76-I76-J76-K76-L76-C76</f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si="5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si="5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5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5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5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5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5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5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5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5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5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5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5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5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5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5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5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5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5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5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82</v>
      </c>
      <c r="B49" s="68" t="s">
        <v>82</v>
      </c>
      <c r="C49" s="15">
        <f t="shared" si="5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82</v>
      </c>
      <c r="B50" s="68" t="s">
        <v>82</v>
      </c>
      <c r="C50" s="15">
        <f t="shared" si="5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82</v>
      </c>
      <c r="B51" s="68" t="s">
        <v>82</v>
      </c>
      <c r="C51" s="15">
        <f t="shared" si="5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82</v>
      </c>
      <c r="B52" s="68" t="s">
        <v>82</v>
      </c>
      <c r="C52" s="15">
        <f t="shared" si="5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82</v>
      </c>
      <c r="B53" s="68" t="s">
        <v>82</v>
      </c>
      <c r="C53" s="15">
        <f t="shared" si="5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82</v>
      </c>
      <c r="B54" s="68" t="s">
        <v>82</v>
      </c>
      <c r="C54" s="15">
        <f t="shared" si="5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82</v>
      </c>
      <c r="B55" s="68" t="s">
        <v>82</v>
      </c>
      <c r="C55" s="15">
        <f t="shared" si="5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 x14ac:dyDescent="0.4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6">F3</f>
        <v>0</v>
      </c>
      <c r="G56" s="16">
        <f t="shared" si="6"/>
        <v>0</v>
      </c>
      <c r="H56" s="16">
        <f t="shared" si="6"/>
        <v>0</v>
      </c>
      <c r="I56" s="16">
        <f t="shared" si="6"/>
        <v>0</v>
      </c>
      <c r="J56" s="16">
        <f t="shared" si="6"/>
        <v>0</v>
      </c>
      <c r="K56" s="16">
        <f t="shared" si="6"/>
        <v>0</v>
      </c>
      <c r="L56" s="16">
        <f t="shared" si="6"/>
        <v>0</v>
      </c>
      <c r="M56" s="16"/>
      <c r="N56" s="60">
        <f>SUM(C56:M56)+SUM(C118:J118)</f>
        <v>0</v>
      </c>
    </row>
    <row r="57" spans="1:14" ht="29.25" customHeight="1" thickBot="1" x14ac:dyDescent="0.45">
      <c r="A57" s="24" t="s">
        <v>84</v>
      </c>
      <c r="B57" s="10"/>
      <c r="C57" s="61">
        <f t="shared" ref="C57:M57" si="7">SUM(C6:C56)</f>
        <v>0</v>
      </c>
      <c r="D57" s="61">
        <f t="shared" si="7"/>
        <v>0</v>
      </c>
      <c r="E57" s="61">
        <f t="shared" si="7"/>
        <v>0</v>
      </c>
      <c r="F57" s="61">
        <f t="shared" si="7"/>
        <v>0</v>
      </c>
      <c r="G57" s="61">
        <f t="shared" si="7"/>
        <v>0</v>
      </c>
      <c r="H57" s="61">
        <f t="shared" si="7"/>
        <v>0</v>
      </c>
      <c r="I57" s="61">
        <f t="shared" si="7"/>
        <v>0</v>
      </c>
      <c r="J57" s="61">
        <f t="shared" si="7"/>
        <v>0</v>
      </c>
      <c r="K57" s="61">
        <f t="shared" si="7"/>
        <v>0</v>
      </c>
      <c r="L57" s="61">
        <f t="shared" si="7"/>
        <v>0</v>
      </c>
      <c r="M57" s="61">
        <f t="shared" si="7"/>
        <v>0</v>
      </c>
      <c r="N57" s="61">
        <f>SUM(N6:N56)</f>
        <v>0</v>
      </c>
    </row>
    <row r="58" spans="1:14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4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76" si="8">A7</f>
        <v xml:space="preserve"> </v>
      </c>
      <c r="B61" s="9" t="str">
        <f t="shared" si="8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si="8"/>
        <v xml:space="preserve"> </v>
      </c>
      <c r="B62" s="9" t="str">
        <f t="shared" si="8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si="8"/>
        <v xml:space="preserve"> </v>
      </c>
      <c r="B63" s="9" t="str">
        <f t="shared" si="8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si="8"/>
        <v xml:space="preserve"> </v>
      </c>
      <c r="B64" s="9" t="str">
        <f t="shared" si="8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8"/>
        <v xml:space="preserve"> </v>
      </c>
      <c r="B65" s="9" t="str">
        <f t="shared" si="8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8"/>
        <v xml:space="preserve"> </v>
      </c>
      <c r="B66" s="9" t="str">
        <f t="shared" si="8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8"/>
        <v xml:space="preserve"> </v>
      </c>
      <c r="B67" s="9" t="str">
        <f t="shared" si="8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8"/>
        <v xml:space="preserve"> </v>
      </c>
      <c r="B68" s="9" t="str">
        <f t="shared" si="8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8"/>
        <v xml:space="preserve"> </v>
      </c>
      <c r="B69" s="9" t="str">
        <f t="shared" si="8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8"/>
        <v xml:space="preserve"> </v>
      </c>
      <c r="B70" s="9" t="str">
        <f t="shared" si="8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8"/>
        <v xml:space="preserve"> </v>
      </c>
      <c r="B71" s="9" t="str">
        <f t="shared" si="8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8"/>
        <v xml:space="preserve"> </v>
      </c>
      <c r="B72" s="9" t="str">
        <f t="shared" si="8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8"/>
        <v xml:space="preserve"> </v>
      </c>
      <c r="B73" s="9" t="str">
        <f t="shared" si="8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8"/>
        <v xml:space="preserve"> </v>
      </c>
      <c r="B74" s="9" t="str">
        <f t="shared" si="8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8"/>
        <v xml:space="preserve"> </v>
      </c>
      <c r="B75" s="9" t="str">
        <f t="shared" si="8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8"/>
        <v xml:space="preserve"> </v>
      </c>
      <c r="B76" s="9" t="str">
        <f t="shared" si="8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9">A23</f>
        <v xml:space="preserve"> </v>
      </c>
      <c r="B77" s="9" t="str">
        <f t="shared" si="9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9"/>
        <v xml:space="preserve"> </v>
      </c>
      <c r="B78" s="9" t="str">
        <f t="shared" si="9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9"/>
        <v xml:space="preserve"> </v>
      </c>
      <c r="B79" s="9" t="str">
        <f t="shared" si="9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9"/>
        <v xml:space="preserve"> </v>
      </c>
      <c r="B80" s="9" t="str">
        <f t="shared" si="9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9"/>
        <v xml:space="preserve"> </v>
      </c>
      <c r="B81" s="9" t="str">
        <f t="shared" si="9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9"/>
        <v xml:space="preserve"> </v>
      </c>
      <c r="B82" s="9" t="str">
        <f t="shared" si="9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9"/>
        <v xml:space="preserve"> </v>
      </c>
      <c r="B83" s="9" t="str">
        <f t="shared" si="9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9"/>
        <v xml:space="preserve"> </v>
      </c>
      <c r="B84" s="9" t="str">
        <f t="shared" si="9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9"/>
        <v xml:space="preserve"> </v>
      </c>
      <c r="B85" s="9" t="str">
        <f t="shared" si="9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9"/>
        <v xml:space="preserve"> </v>
      </c>
      <c r="B86" s="9" t="str">
        <f t="shared" si="9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9"/>
        <v xml:space="preserve"> </v>
      </c>
      <c r="B87" s="9" t="str">
        <f t="shared" si="9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9"/>
        <v xml:space="preserve"> </v>
      </c>
      <c r="B88" s="9" t="str">
        <f t="shared" si="9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9"/>
        <v xml:space="preserve"> </v>
      </c>
      <c r="B89" s="9" t="str">
        <f t="shared" si="9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9"/>
        <v xml:space="preserve"> </v>
      </c>
      <c r="B90" s="9" t="str">
        <f t="shared" si="9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9"/>
        <v xml:space="preserve"> </v>
      </c>
      <c r="B91" s="9" t="str">
        <f t="shared" si="9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9"/>
        <v xml:space="preserve"> </v>
      </c>
      <c r="B92" s="9" t="str">
        <f t="shared" si="9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0">A39</f>
        <v xml:space="preserve"> </v>
      </c>
      <c r="B93" s="9" t="str">
        <f t="shared" si="10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0"/>
        <v xml:space="preserve"> </v>
      </c>
      <c r="B94" s="9" t="str">
        <f t="shared" si="10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0"/>
        <v xml:space="preserve"> </v>
      </c>
      <c r="B95" s="9" t="str">
        <f t="shared" si="10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0"/>
        <v xml:space="preserve"> </v>
      </c>
      <c r="B96" s="9" t="str">
        <f t="shared" si="10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0"/>
        <v xml:space="preserve"> </v>
      </c>
      <c r="B97" s="9" t="str">
        <f t="shared" si="10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0"/>
        <v xml:space="preserve"> </v>
      </c>
      <c r="B98" s="9" t="str">
        <f t="shared" si="10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0"/>
        <v xml:space="preserve"> </v>
      </c>
      <c r="B99" s="9" t="str">
        <f t="shared" si="10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0"/>
        <v xml:space="preserve"> </v>
      </c>
      <c r="B100" s="9" t="str">
        <f t="shared" si="10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0"/>
        <v xml:space="preserve"> </v>
      </c>
      <c r="B101" s="9" t="str">
        <f t="shared" si="10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0"/>
        <v xml:space="preserve"> </v>
      </c>
      <c r="B102" s="9" t="str">
        <f t="shared" si="10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0"/>
        <v xml:space="preserve"> </v>
      </c>
      <c r="B103" s="9" t="str">
        <f t="shared" si="10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0"/>
        <v xml:space="preserve"> </v>
      </c>
      <c r="B104" s="9" t="str">
        <f t="shared" si="10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0"/>
        <v xml:space="preserve"> </v>
      </c>
      <c r="B105" s="9" t="str">
        <f t="shared" si="10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0"/>
        <v xml:space="preserve"> </v>
      </c>
      <c r="B106" s="9" t="str">
        <f t="shared" si="10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0"/>
        <v xml:space="preserve"> </v>
      </c>
      <c r="B107" s="9" t="str">
        <f t="shared" si="10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0"/>
        <v xml:space="preserve"> </v>
      </c>
      <c r="B108" s="9" t="str">
        <f t="shared" si="10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1">A55</f>
        <v xml:space="preserve"> </v>
      </c>
      <c r="B109" s="9" t="str">
        <f t="shared" si="11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2">SUM(E60:E109)</f>
        <v>0</v>
      </c>
      <c r="F110" s="53">
        <f t="shared" si="12"/>
        <v>0</v>
      </c>
      <c r="G110" s="53">
        <f t="shared" si="12"/>
        <v>0</v>
      </c>
      <c r="H110" s="53">
        <f t="shared" si="12"/>
        <v>0</v>
      </c>
      <c r="I110" s="53">
        <f t="shared" si="12"/>
        <v>0</v>
      </c>
      <c r="J110" s="54">
        <f t="shared" si="12"/>
        <v>0</v>
      </c>
      <c r="K110" s="49">
        <f t="shared" si="12"/>
        <v>0</v>
      </c>
      <c r="L110" s="11">
        <v>0</v>
      </c>
      <c r="M110" s="14"/>
    </row>
  </sheetData>
  <hyperlinks>
    <hyperlink ref="M1" location="'Receiving Totals'!A1" display="Receiving Totals" xr:uid="{648F7C9C-5D94-44BF-B449-F77B80B372EA}"/>
  </hyperlinks>
  <pageMargins left="0.7" right="0.7" top="0.75" bottom="0.75" header="0.3" footer="0.3"/>
  <pageSetup scale="29" orientation="landscape" r:id="rId1"/>
  <rowBreaks count="1" manualBreakCount="1">
    <brk id="57" max="14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26DB-7EAC-4570-942C-5A510B1E43C1}">
  <dimension ref="A1:P110"/>
  <sheetViews>
    <sheetView zoomScale="70" zoomScaleNormal="7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" width="12.42578125" style="13" customWidth="1"/>
    <col min="17" max="16384" width="9.140625" style="13"/>
  </cols>
  <sheetData>
    <row r="1" spans="1:16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6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6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6" ht="21" customHeight="1" thickBot="1" x14ac:dyDescent="0.4">
      <c r="A4" s="63" t="s">
        <v>14</v>
      </c>
      <c r="B4" s="64">
        <f>'Monday WK5 (30)'!$B$4+1</f>
        <v>46224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P4" s="174"/>
    </row>
    <row r="5" spans="1:16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  <c r="P5" s="174"/>
    </row>
    <row r="6" spans="1:16" ht="29.25" customHeight="1" x14ac:dyDescent="0.35">
      <c r="A6" s="1" t="s">
        <v>82</v>
      </c>
      <c r="B6" s="68" t="s">
        <v>82</v>
      </c>
      <c r="C6" s="15">
        <f t="shared" ref="C6:C44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  <c r="P6" s="174"/>
    </row>
    <row r="7" spans="1:16" ht="29.25" customHeight="1" x14ac:dyDescent="0.35">
      <c r="A7" s="1" t="s">
        <v>82</v>
      </c>
      <c r="B7" s="68" t="s">
        <v>82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  <c r="P7" s="174"/>
    </row>
    <row r="8" spans="1:16" ht="29.25" customHeight="1" x14ac:dyDescent="0.35">
      <c r="A8" s="1" t="s">
        <v>82</v>
      </c>
      <c r="B8" s="68" t="s">
        <v>82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  <c r="P8" s="174"/>
    </row>
    <row r="9" spans="1:16" ht="29.25" customHeight="1" x14ac:dyDescent="0.35">
      <c r="A9" s="1" t="s">
        <v>82</v>
      </c>
      <c r="B9" s="68" t="s">
        <v>82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  <c r="P9" s="174"/>
    </row>
    <row r="10" spans="1:16" ht="29.25" customHeight="1" x14ac:dyDescent="0.35">
      <c r="A10" s="1" t="s">
        <v>82</v>
      </c>
      <c r="B10" s="68" t="s">
        <v>82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  <c r="P10" s="174"/>
    </row>
    <row r="11" spans="1:16" ht="29.25" customHeight="1" x14ac:dyDescent="0.35">
      <c r="A11" s="1" t="s">
        <v>82</v>
      </c>
      <c r="B11" s="68" t="s">
        <v>82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6" ht="29.25" customHeight="1" x14ac:dyDescent="0.35">
      <c r="A12" s="1" t="s">
        <v>82</v>
      </c>
      <c r="B12" s="68" t="s">
        <v>82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6" ht="29.25" customHeight="1" x14ac:dyDescent="0.35">
      <c r="A13" s="1" t="s">
        <v>82</v>
      </c>
      <c r="B13" s="68" t="s">
        <v>82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6" ht="29.25" customHeight="1" x14ac:dyDescent="0.35">
      <c r="A14" s="1" t="s">
        <v>82</v>
      </c>
      <c r="B14" s="68" t="s">
        <v>82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6" ht="29.25" customHeight="1" x14ac:dyDescent="0.35">
      <c r="A15" s="1" t="s">
        <v>82</v>
      </c>
      <c r="B15" s="68" t="s">
        <v>82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6" ht="29.25" customHeight="1" x14ac:dyDescent="0.35">
      <c r="A16" s="1" t="s">
        <v>82</v>
      </c>
      <c r="B16" s="68" t="s">
        <v>82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82</v>
      </c>
      <c r="B17" s="68" t="s">
        <v>82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1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1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ref="C45:C49" si="2">N45-D45-E45-F45-G45-H45-I45-J45-K45-L45-M45-D99-E99-F99-G99-H99-I99-J99-K99-L99-C99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ref="C50:C54" si="3">N50-D50-E50-F50-G50-H50-I50-J50-K50-L50-M50-D104-E104-F104-G104-H104-I104-J104-K104-L104-C104</f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3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3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3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3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4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  <c r="O56" s="150"/>
    </row>
    <row r="57" spans="1:15" ht="29.25" customHeight="1" thickBot="1" x14ac:dyDescent="0.45">
      <c r="A57" s="24" t="s">
        <v>84</v>
      </c>
      <c r="B57" s="10"/>
      <c r="C57" s="61">
        <f t="shared" ref="C57:M57" si="6">SUM(C6:C56)</f>
        <v>0</v>
      </c>
      <c r="D57" s="61">
        <f t="shared" si="6"/>
        <v>0</v>
      </c>
      <c r="E57" s="61">
        <f t="shared" si="6"/>
        <v>0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0</v>
      </c>
      <c r="L57" s="61">
        <f t="shared" si="6"/>
        <v>0</v>
      </c>
      <c r="M57" s="61">
        <f t="shared" si="6"/>
        <v>0</v>
      </c>
      <c r="N57" s="61">
        <f>SUM(N6:N56)</f>
        <v>0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7">A7</f>
        <v xml:space="preserve"> </v>
      </c>
      <c r="B61" s="9" t="str">
        <f t="shared" si="7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7"/>
        <v xml:space="preserve"> </v>
      </c>
      <c r="B62" s="9" t="str">
        <f t="shared" si="7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7"/>
        <v xml:space="preserve"> </v>
      </c>
      <c r="B63" s="9" t="str">
        <f t="shared" si="7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7"/>
        <v xml:space="preserve"> </v>
      </c>
      <c r="B64" s="9" t="str">
        <f t="shared" si="7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7"/>
        <v xml:space="preserve"> </v>
      </c>
      <c r="B65" s="9" t="str">
        <f t="shared" si="7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7"/>
        <v xml:space="preserve"> </v>
      </c>
      <c r="B66" s="9" t="str">
        <f t="shared" si="7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7"/>
        <v xml:space="preserve"> </v>
      </c>
      <c r="B67" s="9" t="str">
        <f t="shared" si="7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7"/>
        <v xml:space="preserve"> </v>
      </c>
      <c r="B68" s="9" t="str">
        <f t="shared" si="7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7"/>
        <v xml:space="preserve"> </v>
      </c>
      <c r="B69" s="9" t="str">
        <f t="shared" si="7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7"/>
        <v xml:space="preserve"> </v>
      </c>
      <c r="B70" s="9" t="str">
        <f t="shared" si="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7"/>
        <v xml:space="preserve"> </v>
      </c>
      <c r="B71" s="9" t="str">
        <f t="shared" si="7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7"/>
        <v xml:space="preserve"> </v>
      </c>
      <c r="B72" s="9" t="str">
        <f t="shared" si="7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7"/>
        <v xml:space="preserve"> </v>
      </c>
      <c r="B73" s="9" t="str">
        <f t="shared" si="7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7"/>
        <v xml:space="preserve"> </v>
      </c>
      <c r="B74" s="9" t="str">
        <f t="shared" si="7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7"/>
        <v xml:space="preserve"> </v>
      </c>
      <c r="B75" s="9" t="str">
        <f t="shared" si="7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7"/>
        <v xml:space="preserve"> </v>
      </c>
      <c r="B76" s="9" t="str">
        <f t="shared" si="7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8">A23</f>
        <v xml:space="preserve"> </v>
      </c>
      <c r="B77" s="9" t="str">
        <f t="shared" si="8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8"/>
        <v xml:space="preserve"> </v>
      </c>
      <c r="B78" s="9" t="str">
        <f t="shared" si="8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8"/>
        <v xml:space="preserve"> </v>
      </c>
      <c r="B79" s="9" t="str">
        <f t="shared" si="8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8"/>
        <v xml:space="preserve"> </v>
      </c>
      <c r="B80" s="9" t="str">
        <f t="shared" si="8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8"/>
        <v xml:space="preserve"> </v>
      </c>
      <c r="B81" s="9" t="str">
        <f t="shared" si="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8"/>
        <v xml:space="preserve"> </v>
      </c>
      <c r="B82" s="9" t="str">
        <f t="shared" si="8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8"/>
        <v xml:space="preserve"> </v>
      </c>
      <c r="B83" s="9" t="str">
        <f t="shared" si="8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8"/>
        <v xml:space="preserve"> </v>
      </c>
      <c r="B84" s="9" t="str">
        <f t="shared" si="8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8"/>
        <v xml:space="preserve"> </v>
      </c>
      <c r="B85" s="9" t="str">
        <f t="shared" si="8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8"/>
        <v xml:space="preserve"> </v>
      </c>
      <c r="B86" s="9" t="str">
        <f t="shared" si="8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8"/>
        <v xml:space="preserve"> </v>
      </c>
      <c r="B87" s="9" t="str">
        <f t="shared" si="8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8"/>
        <v xml:space="preserve"> </v>
      </c>
      <c r="B88" s="9" t="str">
        <f t="shared" si="8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8"/>
        <v xml:space="preserve"> </v>
      </c>
      <c r="B89" s="9" t="str">
        <f t="shared" si="8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8"/>
        <v xml:space="preserve"> </v>
      </c>
      <c r="B90" s="9" t="str">
        <f t="shared" si="8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8"/>
        <v xml:space="preserve"> </v>
      </c>
      <c r="B91" s="9" t="str">
        <f t="shared" si="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8"/>
        <v xml:space="preserve"> </v>
      </c>
      <c r="B92" s="9" t="str">
        <f t="shared" si="8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9">A39</f>
        <v xml:space="preserve"> </v>
      </c>
      <c r="B93" s="9" t="str">
        <f t="shared" si="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9"/>
        <v xml:space="preserve"> </v>
      </c>
      <c r="B94" s="9" t="str">
        <f t="shared" si="9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9"/>
        <v xml:space="preserve"> </v>
      </c>
      <c r="B95" s="9" t="str">
        <f t="shared" si="9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9"/>
        <v xml:space="preserve"> </v>
      </c>
      <c r="B96" s="9" t="str">
        <f t="shared" si="9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9"/>
        <v xml:space="preserve"> </v>
      </c>
      <c r="B97" s="9" t="str">
        <f t="shared" si="9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9"/>
        <v xml:space="preserve"> </v>
      </c>
      <c r="B98" s="9" t="str">
        <f t="shared" si="9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9"/>
        <v xml:space="preserve"> </v>
      </c>
      <c r="B99" s="9" t="str">
        <f t="shared" si="9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9"/>
        <v xml:space="preserve"> </v>
      </c>
      <c r="B100" s="9" t="str">
        <f t="shared" si="9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9"/>
        <v xml:space="preserve"> </v>
      </c>
      <c r="B101" s="9" t="str">
        <f t="shared" si="9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9"/>
        <v xml:space="preserve"> </v>
      </c>
      <c r="B102" s="9" t="str">
        <f t="shared" si="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9"/>
        <v xml:space="preserve"> </v>
      </c>
      <c r="B103" s="9" t="str">
        <f t="shared" si="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9"/>
        <v xml:space="preserve"> </v>
      </c>
      <c r="B104" s="9" t="str">
        <f t="shared" si="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9"/>
        <v xml:space="preserve"> </v>
      </c>
      <c r="B105" s="9" t="str">
        <f t="shared" si="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9"/>
        <v xml:space="preserve"> </v>
      </c>
      <c r="B106" s="9" t="str">
        <f t="shared" si="9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9"/>
        <v xml:space="preserve"> </v>
      </c>
      <c r="B107" s="9" t="str">
        <f t="shared" si="9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9"/>
        <v xml:space="preserve"> </v>
      </c>
      <c r="B108" s="9" t="str">
        <f t="shared" si="9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0">A55</f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1">SUM(E60:E109)</f>
        <v>0</v>
      </c>
      <c r="F110" s="53">
        <f t="shared" si="11"/>
        <v>0</v>
      </c>
      <c r="G110" s="53">
        <f t="shared" si="11"/>
        <v>0</v>
      </c>
      <c r="H110" s="53">
        <f t="shared" si="11"/>
        <v>0</v>
      </c>
      <c r="I110" s="53">
        <f t="shared" si="11"/>
        <v>0</v>
      </c>
      <c r="J110" s="54">
        <f t="shared" si="11"/>
        <v>0</v>
      </c>
      <c r="K110" s="49">
        <f t="shared" si="11"/>
        <v>0</v>
      </c>
      <c r="L110" s="11">
        <v>0</v>
      </c>
      <c r="M110" s="14"/>
    </row>
  </sheetData>
  <hyperlinks>
    <hyperlink ref="M1" location="'Receiving Totals'!A1" display="Receiving Totals" xr:uid="{6C5FE2C4-E635-4827-81CF-48B9BB678483}"/>
  </hyperlinks>
  <pageMargins left="0.7" right="0.7" top="0.75" bottom="0.75" header="0.3" footer="0.3"/>
  <pageSetup scale="30" fitToWidth="0" fitToHeight="0" orientation="landscape" r:id="rId1"/>
  <rowBreaks count="1" manualBreakCount="1">
    <brk id="57" max="14" man="1"/>
  </row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6CA0-3024-4D2A-94E0-2D399EA9A90E}">
  <dimension ref="A1:O110"/>
  <sheetViews>
    <sheetView zoomScale="70" zoomScaleNormal="7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4">
      <c r="A4" s="63" t="s">
        <v>14</v>
      </c>
      <c r="B4" s="64">
        <f>'Tuesday WK5 (31)'!$B$4+1</f>
        <v>46225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82</v>
      </c>
      <c r="B6" s="68" t="s">
        <v>82</v>
      </c>
      <c r="C6" s="15">
        <f t="shared" ref="C6:C17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82</v>
      </c>
      <c r="B7" s="68" t="s">
        <v>82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82</v>
      </c>
      <c r="B8" s="68" t="s">
        <v>82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82</v>
      </c>
      <c r="B9" s="68" t="s">
        <v>82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82</v>
      </c>
      <c r="B10" s="68" t="s">
        <v>82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82</v>
      </c>
      <c r="B11" s="68" t="s">
        <v>82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82</v>
      </c>
      <c r="B12" s="68" t="s">
        <v>82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82</v>
      </c>
      <c r="B13" s="68" t="s">
        <v>82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82</v>
      </c>
      <c r="B14" s="68" t="s">
        <v>82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82</v>
      </c>
      <c r="B15" s="68" t="s">
        <v>82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82</v>
      </c>
      <c r="B16" s="68" t="s">
        <v>82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82</v>
      </c>
      <c r="B17" s="68" t="s">
        <v>82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ref="C18:C54" si="2">N18-D18-E18-F18-G18-H18-I18-J18-K18-L18-M18-D72-E72-F72-G72-H72-I72-J72-K72-L72-C72</f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3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4">F3</f>
        <v>0</v>
      </c>
      <c r="G56" s="16">
        <f t="shared" si="4"/>
        <v>0</v>
      </c>
      <c r="H56" s="16">
        <f t="shared" si="4"/>
        <v>0</v>
      </c>
      <c r="I56" s="16">
        <f t="shared" si="4"/>
        <v>0</v>
      </c>
      <c r="J56" s="16">
        <f t="shared" si="4"/>
        <v>0</v>
      </c>
      <c r="K56" s="16">
        <f t="shared" si="4"/>
        <v>0</v>
      </c>
      <c r="L56" s="16">
        <f t="shared" si="4"/>
        <v>0</v>
      </c>
      <c r="M56" s="16"/>
      <c r="N56" s="60">
        <f>SUM(C56:M56)+SUM(C118:J118)</f>
        <v>0</v>
      </c>
      <c r="O56" s="150" t="s">
        <v>764</v>
      </c>
    </row>
    <row r="57" spans="1:15" ht="29.25" customHeight="1" thickBot="1" x14ac:dyDescent="0.45">
      <c r="A57" s="24" t="s">
        <v>84</v>
      </c>
      <c r="B57" s="10"/>
      <c r="C57" s="61">
        <f t="shared" ref="C57:M57" si="5">SUM(C6:C56)</f>
        <v>0</v>
      </c>
      <c r="D57" s="61">
        <f t="shared" si="5"/>
        <v>0</v>
      </c>
      <c r="E57" s="61">
        <f t="shared" si="5"/>
        <v>0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0</v>
      </c>
      <c r="J57" s="61">
        <f t="shared" si="5"/>
        <v>0</v>
      </c>
      <c r="K57" s="61">
        <f t="shared" si="5"/>
        <v>0</v>
      </c>
      <c r="L57" s="61">
        <f t="shared" si="5"/>
        <v>0</v>
      </c>
      <c r="M57" s="61">
        <f t="shared" si="5"/>
        <v>0</v>
      </c>
      <c r="N57" s="61">
        <f>SUM(N6:N56)</f>
        <v>0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6">A7</f>
        <v xml:space="preserve"> </v>
      </c>
      <c r="B61" s="9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6"/>
        <v xml:space="preserve"> </v>
      </c>
      <c r="B62" s="9" t="str">
        <f t="shared" si="6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6"/>
        <v xml:space="preserve"> </v>
      </c>
      <c r="B63" s="9" t="str">
        <f t="shared" si="6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6"/>
        <v xml:space="preserve"> </v>
      </c>
      <c r="B64" s="9" t="str">
        <f t="shared" si="6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6"/>
        <v xml:space="preserve"> </v>
      </c>
      <c r="B65" s="9" t="str">
        <f t="shared" si="6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6"/>
        <v xml:space="preserve"> </v>
      </c>
      <c r="B66" s="9" t="str">
        <f t="shared" si="6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6"/>
        <v xml:space="preserve"> </v>
      </c>
      <c r="B67" s="9" t="str">
        <f t="shared" si="6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6"/>
        <v xml:space="preserve"> </v>
      </c>
      <c r="B68" s="9" t="str">
        <f t="shared" si="6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6"/>
        <v xml:space="preserve"> </v>
      </c>
      <c r="B69" s="9" t="str">
        <f t="shared" si="6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6"/>
        <v xml:space="preserve"> </v>
      </c>
      <c r="B70" s="9" t="str">
        <f t="shared" si="6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6"/>
        <v xml:space="preserve"> </v>
      </c>
      <c r="B71" s="9" t="str">
        <f t="shared" si="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6"/>
        <v xml:space="preserve"> </v>
      </c>
      <c r="B72" s="9" t="str">
        <f t="shared" si="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6"/>
        <v xml:space="preserve"> </v>
      </c>
      <c r="B73" s="9" t="str">
        <f t="shared" si="6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6"/>
        <v xml:space="preserve"> </v>
      </c>
      <c r="B74" s="9" t="str">
        <f t="shared" si="6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6"/>
        <v xml:space="preserve"> </v>
      </c>
      <c r="B75" s="9" t="str">
        <f t="shared" si="6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6"/>
        <v xml:space="preserve"> </v>
      </c>
      <c r="B76" s="9" t="str">
        <f t="shared" si="6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7">A23</f>
        <v xml:space="preserve"> </v>
      </c>
      <c r="B77" s="9" t="str">
        <f t="shared" si="7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7"/>
        <v xml:space="preserve"> </v>
      </c>
      <c r="B78" s="9" t="str">
        <f t="shared" si="7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7"/>
        <v xml:space="preserve"> </v>
      </c>
      <c r="B79" s="9" t="str">
        <f t="shared" si="7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7"/>
        <v xml:space="preserve"> </v>
      </c>
      <c r="B80" s="9" t="str">
        <f t="shared" si="7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7"/>
        <v xml:space="preserve"> </v>
      </c>
      <c r="B81" s="9" t="str">
        <f t="shared" si="7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7"/>
        <v xml:space="preserve"> </v>
      </c>
      <c r="B82" s="9" t="str">
        <f t="shared" si="7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7"/>
        <v xml:space="preserve"> </v>
      </c>
      <c r="B83" s="9" t="str">
        <f t="shared" si="7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7"/>
        <v xml:space="preserve"> </v>
      </c>
      <c r="B84" s="9" t="str">
        <f t="shared" si="7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7"/>
        <v xml:space="preserve"> </v>
      </c>
      <c r="B85" s="9" t="str">
        <f t="shared" si="7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7"/>
        <v xml:space="preserve"> </v>
      </c>
      <c r="B86" s="9" t="str">
        <f t="shared" si="7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7"/>
        <v xml:space="preserve"> </v>
      </c>
      <c r="B87" s="9" t="str">
        <f t="shared" si="7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7"/>
        <v xml:space="preserve"> </v>
      </c>
      <c r="B88" s="9" t="str">
        <f t="shared" si="7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7"/>
        <v xml:space="preserve"> </v>
      </c>
      <c r="B89" s="9" t="str">
        <f t="shared" si="7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7"/>
        <v xml:space="preserve"> </v>
      </c>
      <c r="B90" s="9" t="str">
        <f t="shared" si="7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7"/>
        <v xml:space="preserve"> </v>
      </c>
      <c r="B91" s="9" t="str">
        <f t="shared" si="7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7"/>
        <v xml:space="preserve"> </v>
      </c>
      <c r="B92" s="9" t="str">
        <f t="shared" si="7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8">A39</f>
        <v xml:space="preserve"> </v>
      </c>
      <c r="B93" s="9" t="str">
        <f t="shared" si="8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8"/>
        <v xml:space="preserve"> </v>
      </c>
      <c r="B94" s="9" t="str">
        <f t="shared" si="8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8"/>
        <v xml:space="preserve"> </v>
      </c>
      <c r="B95" s="9" t="str">
        <f t="shared" si="8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8"/>
        <v xml:space="preserve"> </v>
      </c>
      <c r="B96" s="9" t="str">
        <f t="shared" si="8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8"/>
        <v xml:space="preserve"> </v>
      </c>
      <c r="B97" s="9" t="str">
        <f t="shared" si="8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8"/>
        <v xml:space="preserve"> </v>
      </c>
      <c r="B98" s="9" t="str">
        <f t="shared" si="8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8"/>
        <v xml:space="preserve"> </v>
      </c>
      <c r="B99" s="9" t="str">
        <f t="shared" si="8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8"/>
        <v xml:space="preserve"> </v>
      </c>
      <c r="B100" s="9" t="str">
        <f t="shared" si="8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8"/>
        <v xml:space="preserve"> </v>
      </c>
      <c r="B101" s="9" t="str">
        <f t="shared" si="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8"/>
        <v xml:space="preserve"> </v>
      </c>
      <c r="B102" s="9" t="str">
        <f t="shared" si="8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8"/>
        <v xml:space="preserve"> </v>
      </c>
      <c r="B103" s="9" t="str">
        <f t="shared" si="8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8"/>
        <v xml:space="preserve"> </v>
      </c>
      <c r="B104" s="9" t="str">
        <f t="shared" si="8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8"/>
        <v xml:space="preserve"> </v>
      </c>
      <c r="B105" s="9" t="str">
        <f t="shared" si="8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8"/>
        <v xml:space="preserve"> </v>
      </c>
      <c r="B106" s="9" t="str">
        <f t="shared" si="8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8"/>
        <v xml:space="preserve"> </v>
      </c>
      <c r="B107" s="9" t="str">
        <f t="shared" si="8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8"/>
        <v xml:space="preserve"> </v>
      </c>
      <c r="B108" s="9" t="str">
        <f t="shared" si="8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9">A55</f>
        <v xml:space="preserve"> </v>
      </c>
      <c r="B109" s="9" t="str">
        <f t="shared" si="9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0">SUM(E60:E109)</f>
        <v>0</v>
      </c>
      <c r="F110" s="53">
        <f t="shared" si="10"/>
        <v>0</v>
      </c>
      <c r="G110" s="53">
        <f t="shared" si="10"/>
        <v>0</v>
      </c>
      <c r="H110" s="53">
        <f t="shared" si="10"/>
        <v>0</v>
      </c>
      <c r="I110" s="53">
        <f t="shared" si="10"/>
        <v>0</v>
      </c>
      <c r="J110" s="54">
        <f t="shared" si="10"/>
        <v>0</v>
      </c>
      <c r="K110" s="49">
        <f t="shared" si="10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2C3259B5-B6B0-4E90-AE3D-BFD700383C6C}"/>
  </hyperlinks>
  <pageMargins left="0.7" right="0.7" top="0.75" bottom="0.75" header="0.3" footer="0.3"/>
  <pageSetup scale="29" orientation="landscape" r:id="rId1"/>
  <rowBreaks count="1" manualBreakCount="1">
    <brk id="57" max="14" man="1"/>
  </row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E486-3D8B-445A-89DC-A135B5FCE757}">
  <dimension ref="A1:O110"/>
  <sheetViews>
    <sheetView zoomScale="70" zoomScaleNormal="7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5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  <c r="O2" s="149"/>
    </row>
    <row r="3" spans="1:15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  <c r="O3" s="206"/>
    </row>
    <row r="4" spans="1:15" ht="21" customHeight="1" thickBot="1" x14ac:dyDescent="0.4">
      <c r="A4" s="63" t="s">
        <v>14</v>
      </c>
      <c r="B4" s="64">
        <f>'Wednesday WK5 (32)'!$B$4+1</f>
        <v>46226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29.25" customHeight="1" x14ac:dyDescent="0.35">
      <c r="A6" s="1" t="s">
        <v>82</v>
      </c>
      <c r="B6" s="68" t="s">
        <v>82</v>
      </c>
      <c r="C6" s="15">
        <f t="shared" ref="C6:C42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5" ht="29.25" customHeight="1" x14ac:dyDescent="0.35">
      <c r="A7" s="1" t="s">
        <v>82</v>
      </c>
      <c r="B7" s="68" t="s">
        <v>82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5" ht="29.25" customHeight="1" x14ac:dyDescent="0.35">
      <c r="A8" s="1" t="s">
        <v>82</v>
      </c>
      <c r="B8" s="68" t="s">
        <v>82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5" ht="29.25" customHeight="1" x14ac:dyDescent="0.35">
      <c r="A9" s="1" t="s">
        <v>82</v>
      </c>
      <c r="B9" s="68" t="s">
        <v>82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5" ht="29.25" customHeight="1" x14ac:dyDescent="0.35">
      <c r="A10" s="1" t="s">
        <v>82</v>
      </c>
      <c r="B10" s="68" t="s">
        <v>82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5" ht="29.25" customHeight="1" x14ac:dyDescent="0.35">
      <c r="A11" s="1" t="s">
        <v>82</v>
      </c>
      <c r="B11" s="68" t="s">
        <v>82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5" ht="29.25" customHeight="1" x14ac:dyDescent="0.35">
      <c r="A12" s="1" t="s">
        <v>82</v>
      </c>
      <c r="B12" s="68" t="s">
        <v>82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5" ht="29.25" customHeight="1" x14ac:dyDescent="0.35">
      <c r="A13" s="1" t="s">
        <v>82</v>
      </c>
      <c r="B13" s="68" t="s">
        <v>82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5" ht="29.25" customHeight="1" x14ac:dyDescent="0.35">
      <c r="A14" s="1" t="s">
        <v>82</v>
      </c>
      <c r="B14" s="68" t="s">
        <v>82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5" ht="29.25" customHeight="1" x14ac:dyDescent="0.35">
      <c r="A15" s="1" t="s">
        <v>82</v>
      </c>
      <c r="B15" s="68" t="s">
        <v>82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5" ht="29.25" customHeight="1" x14ac:dyDescent="0.35">
      <c r="A16" s="1" t="s">
        <v>82</v>
      </c>
      <c r="B16" s="68" t="s">
        <v>82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82</v>
      </c>
      <c r="B17" s="68" t="s">
        <v>82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ref="C43:C54" si="2">N43-D43-E43-F43-G43-H43-I43-J43-K43-L43-M43-D97-E97-F97-G97-H97-I97-J97-K97-L97-C97</f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3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4">F3</f>
        <v>0</v>
      </c>
      <c r="G56" s="16">
        <f t="shared" si="4"/>
        <v>0</v>
      </c>
      <c r="H56" s="16">
        <f t="shared" si="4"/>
        <v>0</v>
      </c>
      <c r="I56" s="16">
        <f t="shared" si="4"/>
        <v>0</v>
      </c>
      <c r="J56" s="16">
        <f t="shared" si="4"/>
        <v>0</v>
      </c>
      <c r="K56" s="16">
        <f t="shared" si="4"/>
        <v>0</v>
      </c>
      <c r="L56" s="16">
        <f t="shared" si="4"/>
        <v>0</v>
      </c>
      <c r="M56" s="16"/>
      <c r="N56" s="60">
        <f>SUM(C56:M56)+SUM(C118:J118)</f>
        <v>0</v>
      </c>
      <c r="O56" s="150"/>
    </row>
    <row r="57" spans="1:15" ht="29.25" customHeight="1" thickBot="1" x14ac:dyDescent="0.45">
      <c r="A57" s="24" t="s">
        <v>84</v>
      </c>
      <c r="B57" s="10"/>
      <c r="C57" s="61">
        <f t="shared" ref="C57:M57" si="5">SUM(C6:C56)</f>
        <v>0</v>
      </c>
      <c r="D57" s="61">
        <f t="shared" si="5"/>
        <v>0</v>
      </c>
      <c r="E57" s="61">
        <f t="shared" si="5"/>
        <v>0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0</v>
      </c>
      <c r="J57" s="61">
        <f t="shared" si="5"/>
        <v>0</v>
      </c>
      <c r="K57" s="61">
        <f t="shared" si="5"/>
        <v>0</v>
      </c>
      <c r="L57" s="61">
        <f t="shared" si="5"/>
        <v>0</v>
      </c>
      <c r="M57" s="61">
        <f t="shared" si="5"/>
        <v>0</v>
      </c>
      <c r="N57" s="61">
        <f>SUM(N6:N56)</f>
        <v>0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6">A7</f>
        <v xml:space="preserve"> </v>
      </c>
      <c r="B61" s="9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6"/>
        <v xml:space="preserve"> </v>
      </c>
      <c r="B62" s="9" t="str">
        <f t="shared" si="6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6"/>
        <v xml:space="preserve"> </v>
      </c>
      <c r="B63" s="9" t="str">
        <f t="shared" si="6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6"/>
        <v xml:space="preserve"> </v>
      </c>
      <c r="B64" s="9" t="str">
        <f t="shared" si="6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6"/>
        <v xml:space="preserve"> </v>
      </c>
      <c r="B65" s="9" t="str">
        <f t="shared" si="6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6"/>
        <v xml:space="preserve"> </v>
      </c>
      <c r="B66" s="9" t="str">
        <f t="shared" si="6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6"/>
        <v xml:space="preserve"> </v>
      </c>
      <c r="B67" s="9" t="str">
        <f t="shared" si="6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6"/>
        <v xml:space="preserve"> </v>
      </c>
      <c r="B68" s="9" t="str">
        <f t="shared" si="6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6"/>
        <v xml:space="preserve"> </v>
      </c>
      <c r="B69" s="9" t="str">
        <f t="shared" si="6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6"/>
        <v xml:space="preserve"> </v>
      </c>
      <c r="B70" s="9" t="str">
        <f t="shared" si="6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6"/>
        <v xml:space="preserve"> </v>
      </c>
      <c r="B71" s="9" t="str">
        <f t="shared" si="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6"/>
        <v xml:space="preserve"> </v>
      </c>
      <c r="B72" s="9" t="str">
        <f t="shared" si="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6"/>
        <v xml:space="preserve"> </v>
      </c>
      <c r="B73" s="9" t="str">
        <f t="shared" si="6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6"/>
        <v xml:space="preserve"> </v>
      </c>
      <c r="B74" s="9" t="str">
        <f t="shared" si="6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6"/>
        <v xml:space="preserve"> </v>
      </c>
      <c r="B75" s="9" t="str">
        <f t="shared" si="6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6"/>
        <v xml:space="preserve"> </v>
      </c>
      <c r="B76" s="9" t="str">
        <f t="shared" si="6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7">A23</f>
        <v xml:space="preserve"> </v>
      </c>
      <c r="B77" s="9" t="str">
        <f t="shared" si="7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7"/>
        <v xml:space="preserve"> </v>
      </c>
      <c r="B78" s="9" t="str">
        <f t="shared" si="7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7"/>
        <v xml:space="preserve"> </v>
      </c>
      <c r="B79" s="9" t="str">
        <f t="shared" si="7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7"/>
        <v xml:space="preserve"> </v>
      </c>
      <c r="B80" s="9" t="str">
        <f t="shared" si="7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7"/>
        <v xml:space="preserve"> </v>
      </c>
      <c r="B81" s="9" t="str">
        <f t="shared" si="7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7"/>
        <v xml:space="preserve"> </v>
      </c>
      <c r="B82" s="9" t="str">
        <f t="shared" si="7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7"/>
        <v xml:space="preserve"> </v>
      </c>
      <c r="B83" s="9" t="str">
        <f t="shared" si="7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7"/>
        <v xml:space="preserve"> </v>
      </c>
      <c r="B84" s="9" t="str">
        <f t="shared" si="7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7"/>
        <v xml:space="preserve"> </v>
      </c>
      <c r="B85" s="9" t="str">
        <f t="shared" si="7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7"/>
        <v xml:space="preserve"> </v>
      </c>
      <c r="B86" s="9" t="str">
        <f t="shared" si="7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7"/>
        <v xml:space="preserve"> </v>
      </c>
      <c r="B87" s="9" t="str">
        <f t="shared" si="7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7"/>
        <v xml:space="preserve"> </v>
      </c>
      <c r="B88" s="9" t="str">
        <f t="shared" si="7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7"/>
        <v xml:space="preserve"> </v>
      </c>
      <c r="B89" s="9" t="str">
        <f t="shared" si="7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7"/>
        <v xml:space="preserve"> </v>
      </c>
      <c r="B90" s="9" t="str">
        <f t="shared" si="7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7"/>
        <v xml:space="preserve"> </v>
      </c>
      <c r="B91" s="9" t="str">
        <f t="shared" si="7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7"/>
        <v xml:space="preserve"> </v>
      </c>
      <c r="B92" s="9" t="str">
        <f t="shared" si="7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8">A39</f>
        <v xml:space="preserve"> </v>
      </c>
      <c r="B93" s="9" t="str">
        <f t="shared" si="8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8"/>
        <v xml:space="preserve"> </v>
      </c>
      <c r="B94" s="9" t="str">
        <f t="shared" si="8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8"/>
        <v xml:space="preserve"> </v>
      </c>
      <c r="B95" s="9" t="str">
        <f t="shared" si="8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8"/>
        <v xml:space="preserve"> </v>
      </c>
      <c r="B96" s="9" t="str">
        <f t="shared" si="8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8"/>
        <v xml:space="preserve"> </v>
      </c>
      <c r="B97" s="9" t="str">
        <f t="shared" si="8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8"/>
        <v xml:space="preserve"> </v>
      </c>
      <c r="B98" s="9" t="str">
        <f t="shared" si="8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8"/>
        <v xml:space="preserve"> </v>
      </c>
      <c r="B99" s="9" t="str">
        <f t="shared" si="8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8"/>
        <v xml:space="preserve"> </v>
      </c>
      <c r="B100" s="9" t="str">
        <f t="shared" si="8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8"/>
        <v xml:space="preserve"> </v>
      </c>
      <c r="B101" s="9" t="str">
        <f t="shared" si="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8"/>
        <v xml:space="preserve"> </v>
      </c>
      <c r="B102" s="9" t="str">
        <f t="shared" si="8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8"/>
        <v xml:space="preserve"> </v>
      </c>
      <c r="B103" s="9" t="str">
        <f t="shared" si="8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8"/>
        <v xml:space="preserve"> </v>
      </c>
      <c r="B104" s="9" t="str">
        <f t="shared" si="8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8"/>
        <v xml:space="preserve"> </v>
      </c>
      <c r="B105" s="9" t="str">
        <f t="shared" si="8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8"/>
        <v xml:space="preserve"> </v>
      </c>
      <c r="B106" s="9" t="str">
        <f t="shared" si="8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8"/>
        <v xml:space="preserve"> </v>
      </c>
      <c r="B107" s="9" t="str">
        <f t="shared" si="8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8"/>
        <v xml:space="preserve"> </v>
      </c>
      <c r="B108" s="9" t="str">
        <f t="shared" si="8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9">A55</f>
        <v xml:space="preserve"> </v>
      </c>
      <c r="B109" s="9" t="str">
        <f t="shared" si="9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0">SUM(E60:E109)</f>
        <v>0</v>
      </c>
      <c r="F110" s="53">
        <f t="shared" si="10"/>
        <v>0</v>
      </c>
      <c r="G110" s="53">
        <f t="shared" si="10"/>
        <v>0</v>
      </c>
      <c r="H110" s="53">
        <f t="shared" si="10"/>
        <v>0</v>
      </c>
      <c r="I110" s="53">
        <f t="shared" si="10"/>
        <v>0</v>
      </c>
      <c r="J110" s="54">
        <f t="shared" si="10"/>
        <v>0</v>
      </c>
      <c r="K110" s="49">
        <f t="shared" si="10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98FCFFD5-BEB7-403C-81A1-EB5B081E15C8}"/>
  </hyperlinks>
  <pageMargins left="0.7" right="0.7" top="0.75" bottom="0.75" header="0.3" footer="0.3"/>
  <pageSetup scale="29" orientation="landscape" horizontalDpi="1200" verticalDpi="1200" r:id="rId1"/>
  <rowBreaks count="1" manualBreakCount="1">
    <brk id="57" max="14" man="1"/>
  </row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5B42-6D98-47F5-BBF3-66849D94CBED}">
  <dimension ref="A1:O110"/>
  <sheetViews>
    <sheetView zoomScale="70" zoomScaleNormal="7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5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5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  <c r="O3" s="150"/>
    </row>
    <row r="4" spans="1:15" ht="21" customHeight="1" thickBot="1" x14ac:dyDescent="0.4">
      <c r="A4" s="63" t="s">
        <v>14</v>
      </c>
      <c r="B4" s="64">
        <f>'Thursday WK5 (33)'!$B$4+1</f>
        <v>46227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29.25" customHeight="1" x14ac:dyDescent="0.35">
      <c r="A6" s="1" t="s">
        <v>82</v>
      </c>
      <c r="B6" s="68" t="s">
        <v>82</v>
      </c>
      <c r="C6" s="15">
        <f t="shared" ref="C6:C9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5" ht="29.25" customHeight="1" x14ac:dyDescent="0.35">
      <c r="A7" s="1" t="s">
        <v>82</v>
      </c>
      <c r="B7" s="68" t="s">
        <v>82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5" ht="29.25" customHeight="1" x14ac:dyDescent="0.35">
      <c r="A8" s="1" t="s">
        <v>82</v>
      </c>
      <c r="B8" s="68" t="s">
        <v>82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5" ht="29.25" customHeight="1" x14ac:dyDescent="0.35">
      <c r="A9" s="1" t="s">
        <v>82</v>
      </c>
      <c r="B9" s="68" t="s">
        <v>82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5" ht="29.25" customHeight="1" x14ac:dyDescent="0.35">
      <c r="A10" s="1" t="s">
        <v>82</v>
      </c>
      <c r="B10" s="68" t="s">
        <v>82</v>
      </c>
      <c r="C10" s="15">
        <f t="shared" ref="C10:C37" si="2">N10-D10-E10-F10-G10-H10-I10-J10-K10-L10-M10-D64-E64-F64-G64-H64-I64-J64-K64-L64-C64</f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5" ht="29.25" customHeight="1" x14ac:dyDescent="0.35">
      <c r="A11" s="1" t="s">
        <v>82</v>
      </c>
      <c r="B11" s="68" t="s">
        <v>82</v>
      </c>
      <c r="C11" s="15">
        <f t="shared" si="2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5" ht="29.25" customHeight="1" x14ac:dyDescent="0.35">
      <c r="A12" s="1" t="s">
        <v>82</v>
      </c>
      <c r="B12" s="68" t="s">
        <v>82</v>
      </c>
      <c r="C12" s="15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5" ht="29.25" customHeight="1" x14ac:dyDescent="0.35">
      <c r="A13" s="1" t="s">
        <v>82</v>
      </c>
      <c r="B13" s="68" t="s">
        <v>82</v>
      </c>
      <c r="C13" s="15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5" ht="29.25" customHeight="1" x14ac:dyDescent="0.35">
      <c r="A14" s="1" t="s">
        <v>82</v>
      </c>
      <c r="B14" s="68" t="s">
        <v>82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5" ht="29.25" customHeight="1" x14ac:dyDescent="0.35">
      <c r="A15" s="1" t="s">
        <v>82</v>
      </c>
      <c r="B15" s="68" t="s">
        <v>82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5" ht="29.25" customHeight="1" x14ac:dyDescent="0.35">
      <c r="A16" s="1" t="s">
        <v>82</v>
      </c>
      <c r="B16" s="68" t="s">
        <v>82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82</v>
      </c>
      <c r="B17" s="68" t="s">
        <v>82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ref="C38" si="3">N38-D38-E38-F38-G38-H38-I38-J38-K38-L38-M38-D92-E92-F92-G92-H92-I92-J92-K92-L92-C92</f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ref="C39:C42" si="4">N39-D39-E39-F39-G39-H39-I39-J39-K39-L39-M39-D93-E93-F93-G93-H93-I93-J93-K93-L93-C93</f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4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4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4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ref="C43:C44" si="5">N43-D43-E43-F43-G43-H43-I43-J43-K43-L43-M43-D97-E97-F97-G97-H97-I97-J97-K97-L97-C97</f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5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ref="C45:C50" si="6">N45-D45-E45-F45-G45-H45-I45-J45-K45-L45-M45-D99-E99-F99-G99-H99-I99-J99-K99-L99-C99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6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6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6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si="6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si="6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ref="C51:C54" si="7">N51-D51-E51-F51-G51-H51-I51-J51-K51-L51-M51-D105-E105-F105-G105-H105-I105-J105-K105-L105-C105</f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8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9">F3</f>
        <v>0</v>
      </c>
      <c r="G56" s="16">
        <f t="shared" si="9"/>
        <v>0</v>
      </c>
      <c r="H56" s="16">
        <f t="shared" si="9"/>
        <v>0</v>
      </c>
      <c r="I56" s="16">
        <f t="shared" si="9"/>
        <v>0</v>
      </c>
      <c r="J56" s="16">
        <f t="shared" si="9"/>
        <v>0</v>
      </c>
      <c r="K56" s="16">
        <f t="shared" si="9"/>
        <v>0</v>
      </c>
      <c r="L56" s="16">
        <f t="shared" si="9"/>
        <v>0</v>
      </c>
      <c r="M56" s="16"/>
      <c r="N56" s="60">
        <f>SUM(C56:M56)+SUM(C118:J118)</f>
        <v>0</v>
      </c>
      <c r="O56" s="150"/>
    </row>
    <row r="57" spans="1:15" ht="29.25" customHeight="1" thickBot="1" x14ac:dyDescent="0.45">
      <c r="A57" s="24" t="s">
        <v>84</v>
      </c>
      <c r="B57" s="10"/>
      <c r="C57" s="61">
        <f t="shared" ref="C57:M57" si="10">SUM(C6:C56)</f>
        <v>0</v>
      </c>
      <c r="D57" s="61">
        <f t="shared" si="10"/>
        <v>0</v>
      </c>
      <c r="E57" s="61">
        <f t="shared" si="10"/>
        <v>0</v>
      </c>
      <c r="F57" s="61">
        <f t="shared" si="10"/>
        <v>0</v>
      </c>
      <c r="G57" s="61">
        <f t="shared" si="10"/>
        <v>0</v>
      </c>
      <c r="H57" s="61">
        <f t="shared" si="10"/>
        <v>0</v>
      </c>
      <c r="I57" s="61">
        <f t="shared" si="10"/>
        <v>0</v>
      </c>
      <c r="J57" s="61">
        <f t="shared" si="10"/>
        <v>0</v>
      </c>
      <c r="K57" s="61">
        <f t="shared" si="10"/>
        <v>0</v>
      </c>
      <c r="L57" s="61">
        <f t="shared" si="10"/>
        <v>0</v>
      </c>
      <c r="M57" s="61">
        <f t="shared" si="10"/>
        <v>0</v>
      </c>
      <c r="N57" s="61">
        <f>SUM(N6:N56)</f>
        <v>0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11">A7</f>
        <v xml:space="preserve"> </v>
      </c>
      <c r="B61" s="9" t="str">
        <f t="shared" si="11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11"/>
        <v xml:space="preserve"> </v>
      </c>
      <c r="B62" s="9" t="str">
        <f t="shared" si="11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11"/>
        <v xml:space="preserve"> </v>
      </c>
      <c r="B63" s="9" t="str">
        <f t="shared" si="11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11"/>
        <v xml:space="preserve"> </v>
      </c>
      <c r="B64" s="9" t="str">
        <f t="shared" si="11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11"/>
        <v xml:space="preserve"> </v>
      </c>
      <c r="B65" s="9" t="str">
        <f t="shared" si="11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11"/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11"/>
        <v xml:space="preserve"> </v>
      </c>
      <c r="B67" s="9" t="str">
        <f t="shared" si="11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11"/>
        <v xml:space="preserve"> </v>
      </c>
      <c r="B68" s="9" t="str">
        <f t="shared" si="11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11"/>
        <v xml:space="preserve"> </v>
      </c>
      <c r="B69" s="9" t="str">
        <f t="shared" si="11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11"/>
        <v xml:space="preserve"> </v>
      </c>
      <c r="B70" s="9" t="str">
        <f t="shared" si="11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11"/>
        <v xml:space="preserve"> </v>
      </c>
      <c r="B71" s="9" t="str">
        <f t="shared" si="11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1"/>
        <v xml:space="preserve"> </v>
      </c>
      <c r="B72" s="9" t="str">
        <f t="shared" si="11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1"/>
        <v xml:space="preserve"> </v>
      </c>
      <c r="B73" s="9" t="str">
        <f t="shared" si="11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1"/>
        <v xml:space="preserve"> </v>
      </c>
      <c r="B74" s="9" t="str">
        <f t="shared" si="11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11"/>
        <v xml:space="preserve"> </v>
      </c>
      <c r="B75" s="9" t="str">
        <f t="shared" si="11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1"/>
        <v xml:space="preserve"> </v>
      </c>
      <c r="B76" s="9" t="str">
        <f t="shared" si="11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2">A23</f>
        <v xml:space="preserve"> </v>
      </c>
      <c r="B77" s="9" t="str">
        <f t="shared" si="12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2"/>
        <v xml:space="preserve"> </v>
      </c>
      <c r="B78" s="9" t="str">
        <f t="shared" si="12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2"/>
        <v xml:space="preserve"> </v>
      </c>
      <c r="B79" s="9" t="str">
        <f t="shared" si="12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2"/>
        <v xml:space="preserve"> </v>
      </c>
      <c r="B80" s="9" t="str">
        <f t="shared" si="12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2"/>
        <v xml:space="preserve"> </v>
      </c>
      <c r="B81" s="9" t="str">
        <f t="shared" si="12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2"/>
        <v xml:space="preserve"> </v>
      </c>
      <c r="B82" s="9" t="str">
        <f t="shared" si="12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2"/>
        <v xml:space="preserve"> </v>
      </c>
      <c r="B83" s="9" t="str">
        <f t="shared" si="12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2"/>
        <v xml:space="preserve"> </v>
      </c>
      <c r="B84" s="9" t="str">
        <f t="shared" si="12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2"/>
        <v xml:space="preserve"> </v>
      </c>
      <c r="B85" s="9" t="str">
        <f t="shared" si="12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2"/>
        <v xml:space="preserve"> </v>
      </c>
      <c r="B86" s="9" t="str">
        <f t="shared" si="12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2"/>
        <v xml:space="preserve"> </v>
      </c>
      <c r="B87" s="9" t="str">
        <f t="shared" si="12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2"/>
        <v xml:space="preserve"> </v>
      </c>
      <c r="B88" s="9" t="str">
        <f t="shared" si="12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2"/>
        <v xml:space="preserve"> </v>
      </c>
      <c r="B89" s="9" t="str">
        <f t="shared" si="12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2"/>
        <v xml:space="preserve"> </v>
      </c>
      <c r="B90" s="9" t="str">
        <f t="shared" si="12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2"/>
        <v xml:space="preserve"> </v>
      </c>
      <c r="B91" s="9" t="str">
        <f t="shared" si="12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2"/>
        <v xml:space="preserve"> </v>
      </c>
      <c r="B92" s="9" t="str">
        <f t="shared" si="12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3">A39</f>
        <v xml:space="preserve"> </v>
      </c>
      <c r="B93" s="9" t="str">
        <f t="shared" si="13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3"/>
        <v xml:space="preserve"> </v>
      </c>
      <c r="B94" s="9" t="str">
        <f t="shared" si="13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3"/>
        <v xml:space="preserve"> </v>
      </c>
      <c r="B95" s="9" t="str">
        <f t="shared" si="13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3"/>
        <v xml:space="preserve"> </v>
      </c>
      <c r="B96" s="9" t="str">
        <f t="shared" si="13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3"/>
        <v xml:space="preserve"> </v>
      </c>
      <c r="B97" s="9" t="str">
        <f t="shared" si="13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3"/>
        <v xml:space="preserve"> </v>
      </c>
      <c r="B98" s="9" t="str">
        <f t="shared" si="13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3"/>
        <v xml:space="preserve"> </v>
      </c>
      <c r="B99" s="9" t="str">
        <f t="shared" si="13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3"/>
        <v xml:space="preserve"> </v>
      </c>
      <c r="B100" s="9" t="str">
        <f t="shared" si="13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3"/>
        <v xml:space="preserve"> </v>
      </c>
      <c r="B101" s="9" t="str">
        <f t="shared" si="13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3"/>
        <v xml:space="preserve"> </v>
      </c>
      <c r="B102" s="9" t="str">
        <f t="shared" si="13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3"/>
        <v xml:space="preserve"> </v>
      </c>
      <c r="B103" s="9" t="str">
        <f t="shared" si="13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3"/>
        <v xml:space="preserve"> </v>
      </c>
      <c r="B104" s="9" t="str">
        <f t="shared" si="13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3"/>
        <v xml:space="preserve"> </v>
      </c>
      <c r="B105" s="9" t="str">
        <f t="shared" si="13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3"/>
        <v xml:space="preserve"> </v>
      </c>
      <c r="B106" s="9" t="str">
        <f t="shared" si="1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3"/>
        <v xml:space="preserve"> </v>
      </c>
      <c r="B107" s="9" t="str">
        <f t="shared" si="13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3"/>
        <v xml:space="preserve"> </v>
      </c>
      <c r="B108" s="9" t="str">
        <f t="shared" si="13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4">A55</f>
        <v xml:space="preserve"> </v>
      </c>
      <c r="B109" s="9" t="str">
        <f t="shared" si="1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5">SUM(E60:E109)</f>
        <v>0</v>
      </c>
      <c r="F110" s="53">
        <f t="shared" si="15"/>
        <v>0</v>
      </c>
      <c r="G110" s="53">
        <f t="shared" si="15"/>
        <v>0</v>
      </c>
      <c r="H110" s="53">
        <f t="shared" si="15"/>
        <v>0</v>
      </c>
      <c r="I110" s="53">
        <f t="shared" si="15"/>
        <v>0</v>
      </c>
      <c r="J110" s="54">
        <f t="shared" si="15"/>
        <v>0</v>
      </c>
      <c r="K110" s="49">
        <f t="shared" si="15"/>
        <v>0</v>
      </c>
      <c r="L110" s="11">
        <v>0</v>
      </c>
      <c r="M110" s="14"/>
    </row>
  </sheetData>
  <hyperlinks>
    <hyperlink ref="M1" location="'Receiving Totals'!A1" display="Receiving Totals" xr:uid="{547F41DB-F056-4A81-ADD3-D1BF87B34512}"/>
  </hyperlinks>
  <pageMargins left="0.7" right="0.7" top="0.75" bottom="0.75" header="0.3" footer="0.3"/>
  <pageSetup scale="29" orientation="landscape" horizontalDpi="300" verticalDpi="300" r:id="rId1"/>
  <rowBreaks count="1" manualBreakCount="1">
    <brk id="57" max="16383" man="1"/>
  </row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1CF8-DA0F-4634-A74A-C7F62EE91A7E}">
  <dimension ref="A1:O110"/>
  <sheetViews>
    <sheetView zoomScale="70" zoomScaleNormal="7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4">
      <c r="A4" s="63" t="s">
        <v>14</v>
      </c>
      <c r="B4" s="64">
        <f>'Friday WK5 (34)'!$B$4+1</f>
        <v>46228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 x14ac:dyDescent="0.35">
      <c r="A6" s="1" t="s">
        <v>82</v>
      </c>
      <c r="B6" s="68" t="s">
        <v>82</v>
      </c>
      <c r="C6" s="15">
        <f t="shared" ref="C6:C9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82</v>
      </c>
      <c r="B7" s="68" t="s">
        <v>82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82</v>
      </c>
      <c r="B8" s="68" t="s">
        <v>82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82</v>
      </c>
      <c r="B9" s="68" t="s">
        <v>82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82</v>
      </c>
      <c r="B10" s="68" t="s">
        <v>82</v>
      </c>
      <c r="C10" s="15">
        <f t="shared" ref="C10:C23" si="2">N10-D10-E10-F10-G10-H10-I10-J10-K10-L10-M10-D64-E64-F64-G64-H64-I64-J64-K64-L64-C64</f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82</v>
      </c>
      <c r="B11" s="68" t="s">
        <v>82</v>
      </c>
      <c r="C11" s="15">
        <f t="shared" si="2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82</v>
      </c>
      <c r="B12" s="68" t="s">
        <v>82</v>
      </c>
      <c r="C12" s="15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82</v>
      </c>
      <c r="B13" s="68" t="s">
        <v>82</v>
      </c>
      <c r="C13" s="15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82</v>
      </c>
      <c r="B14" s="68" t="s">
        <v>82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82</v>
      </c>
      <c r="B15" s="68" t="s">
        <v>82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82</v>
      </c>
      <c r="B16" s="68" t="s">
        <v>82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82</v>
      </c>
      <c r="B17" s="68" t="s">
        <v>82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ref="C24:C54" si="3">N24-D24-E24-F24-G24-H24-I24-J24-K24-L24-M24-D78-E78-F78-G78-H78-I78-J78-K78-L78-C78</f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3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3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3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3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3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3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3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si="3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3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3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3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3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3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3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3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3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3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3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3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3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3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3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3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3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82</v>
      </c>
      <c r="B49" s="68" t="s">
        <v>82</v>
      </c>
      <c r="C49" s="15">
        <f t="shared" si="3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82</v>
      </c>
      <c r="B50" s="68" t="s">
        <v>82</v>
      </c>
      <c r="C50" s="15">
        <f t="shared" si="3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82</v>
      </c>
      <c r="B51" s="68" t="s">
        <v>82</v>
      </c>
      <c r="C51" s="15">
        <f t="shared" si="3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82</v>
      </c>
      <c r="B52" s="68" t="s">
        <v>82</v>
      </c>
      <c r="C52" s="15">
        <f t="shared" si="3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82</v>
      </c>
      <c r="B53" s="68" t="s">
        <v>82</v>
      </c>
      <c r="C53" s="15">
        <f t="shared" si="3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82</v>
      </c>
      <c r="B54" s="68" t="s">
        <v>82</v>
      </c>
      <c r="C54" s="15">
        <f t="shared" si="3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82</v>
      </c>
      <c r="B55" s="68" t="s">
        <v>82</v>
      </c>
      <c r="C55" s="15">
        <f t="shared" ref="C55" si="4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thickBot="1" x14ac:dyDescent="0.4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  <c r="O56" s="148" t="s">
        <v>765</v>
      </c>
    </row>
    <row r="57" spans="1:15" ht="29.25" customHeight="1" thickBot="1" x14ac:dyDescent="0.45">
      <c r="A57" s="24" t="s">
        <v>84</v>
      </c>
      <c r="B57" s="10"/>
      <c r="C57" s="61">
        <f t="shared" ref="C57:M57" si="6">SUM(C6:C56)</f>
        <v>0</v>
      </c>
      <c r="D57" s="61">
        <f t="shared" si="6"/>
        <v>0</v>
      </c>
      <c r="E57" s="61">
        <f t="shared" si="6"/>
        <v>0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0</v>
      </c>
      <c r="L57" s="61">
        <f t="shared" si="6"/>
        <v>0</v>
      </c>
      <c r="M57" s="61">
        <f t="shared" si="6"/>
        <v>0</v>
      </c>
      <c r="N57" s="61">
        <f>SUM(N6:N56)</f>
        <v>0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7">A7</f>
        <v xml:space="preserve"> </v>
      </c>
      <c r="B61" s="9" t="str">
        <f t="shared" si="7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7"/>
        <v xml:space="preserve"> </v>
      </c>
      <c r="B62" s="9" t="str">
        <f t="shared" si="7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7"/>
        <v xml:space="preserve"> </v>
      </c>
      <c r="B63" s="9" t="str">
        <f t="shared" si="7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7"/>
        <v xml:space="preserve"> </v>
      </c>
      <c r="B64" s="9" t="str">
        <f t="shared" si="7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7"/>
        <v xml:space="preserve"> </v>
      </c>
      <c r="B65" s="9" t="str">
        <f t="shared" si="7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7"/>
        <v xml:space="preserve"> </v>
      </c>
      <c r="B66" s="9" t="str">
        <f t="shared" si="7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7"/>
        <v xml:space="preserve"> </v>
      </c>
      <c r="B67" s="9" t="str">
        <f t="shared" si="7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7"/>
        <v xml:space="preserve"> </v>
      </c>
      <c r="B68" s="9" t="str">
        <f t="shared" si="7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7"/>
        <v xml:space="preserve"> </v>
      </c>
      <c r="B69" s="9" t="str">
        <f t="shared" si="7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7"/>
        <v xml:space="preserve"> </v>
      </c>
      <c r="B70" s="9" t="str">
        <f t="shared" si="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7"/>
        <v xml:space="preserve"> </v>
      </c>
      <c r="B71" s="9" t="str">
        <f t="shared" si="7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7"/>
        <v xml:space="preserve"> </v>
      </c>
      <c r="B72" s="9" t="str">
        <f t="shared" si="7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7"/>
        <v xml:space="preserve"> </v>
      </c>
      <c r="B73" s="9" t="str">
        <f t="shared" si="7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7"/>
        <v xml:space="preserve"> </v>
      </c>
      <c r="B74" s="9" t="str">
        <f t="shared" si="7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7"/>
        <v xml:space="preserve"> </v>
      </c>
      <c r="B75" s="9" t="str">
        <f t="shared" si="7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7"/>
        <v xml:space="preserve"> </v>
      </c>
      <c r="B76" s="9" t="str">
        <f t="shared" si="7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8">A23</f>
        <v xml:space="preserve"> </v>
      </c>
      <c r="B77" s="9" t="str">
        <f t="shared" si="8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8"/>
        <v xml:space="preserve"> </v>
      </c>
      <c r="B78" s="9" t="str">
        <f t="shared" si="8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8"/>
        <v xml:space="preserve"> </v>
      </c>
      <c r="B79" s="9" t="str">
        <f t="shared" si="8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8"/>
        <v xml:space="preserve"> </v>
      </c>
      <c r="B80" s="9" t="str">
        <f t="shared" si="8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8"/>
        <v xml:space="preserve"> </v>
      </c>
      <c r="B81" s="9" t="str">
        <f t="shared" si="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8"/>
        <v xml:space="preserve"> </v>
      </c>
      <c r="B82" s="9" t="str">
        <f t="shared" si="8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8"/>
        <v xml:space="preserve"> </v>
      </c>
      <c r="B83" s="9" t="str">
        <f t="shared" si="8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8"/>
        <v xml:space="preserve"> </v>
      </c>
      <c r="B84" s="9" t="str">
        <f t="shared" si="8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8"/>
        <v xml:space="preserve"> </v>
      </c>
      <c r="B85" s="9" t="str">
        <f t="shared" si="8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8"/>
        <v xml:space="preserve"> </v>
      </c>
      <c r="B86" s="9" t="str">
        <f t="shared" si="8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8"/>
        <v xml:space="preserve"> </v>
      </c>
      <c r="B87" s="9" t="str">
        <f t="shared" si="8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8"/>
        <v xml:space="preserve"> </v>
      </c>
      <c r="B88" s="9" t="str">
        <f t="shared" si="8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8"/>
        <v xml:space="preserve"> </v>
      </c>
      <c r="B89" s="9" t="str">
        <f t="shared" si="8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8"/>
        <v xml:space="preserve"> </v>
      </c>
      <c r="B90" s="9" t="str">
        <f t="shared" si="8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8"/>
        <v xml:space="preserve"> </v>
      </c>
      <c r="B91" s="9" t="str">
        <f t="shared" si="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8"/>
        <v xml:space="preserve"> </v>
      </c>
      <c r="B92" s="9" t="str">
        <f t="shared" si="8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9">A39</f>
        <v xml:space="preserve"> </v>
      </c>
      <c r="B93" s="9" t="str">
        <f t="shared" si="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9"/>
        <v xml:space="preserve"> </v>
      </c>
      <c r="B94" s="9" t="str">
        <f t="shared" si="9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9"/>
        <v xml:space="preserve"> </v>
      </c>
      <c r="B95" s="9" t="str">
        <f t="shared" si="9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9"/>
        <v xml:space="preserve"> </v>
      </c>
      <c r="B96" s="9" t="str">
        <f t="shared" si="9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9"/>
        <v xml:space="preserve"> </v>
      </c>
      <c r="B97" s="9" t="str">
        <f t="shared" si="9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9"/>
        <v xml:space="preserve"> </v>
      </c>
      <c r="B98" s="9" t="str">
        <f t="shared" si="9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9"/>
        <v xml:space="preserve"> </v>
      </c>
      <c r="B99" s="9" t="str">
        <f t="shared" si="9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9"/>
        <v xml:space="preserve"> </v>
      </c>
      <c r="B100" s="9" t="str">
        <f t="shared" si="9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9"/>
        <v xml:space="preserve"> </v>
      </c>
      <c r="B101" s="9" t="str">
        <f t="shared" si="9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9"/>
        <v xml:space="preserve"> </v>
      </c>
      <c r="B102" s="9" t="str">
        <f t="shared" si="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9"/>
        <v xml:space="preserve"> </v>
      </c>
      <c r="B103" s="9" t="str">
        <f t="shared" si="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9"/>
        <v xml:space="preserve"> </v>
      </c>
      <c r="B104" s="9" t="str">
        <f t="shared" si="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9"/>
        <v xml:space="preserve"> </v>
      </c>
      <c r="B105" s="9" t="str">
        <f t="shared" si="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9"/>
        <v xml:space="preserve"> </v>
      </c>
      <c r="B106" s="9" t="str">
        <f t="shared" si="9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9"/>
        <v xml:space="preserve"> </v>
      </c>
      <c r="B107" s="9" t="str">
        <f t="shared" si="9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9"/>
        <v xml:space="preserve"> </v>
      </c>
      <c r="B108" s="9" t="str">
        <f t="shared" si="9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0">A55</f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84</v>
      </c>
      <c r="B110" s="8"/>
      <c r="C110" s="53">
        <f>SUM(C60:C109)</f>
        <v>0</v>
      </c>
      <c r="D110" s="53">
        <f>SUM(D60:D109)</f>
        <v>0</v>
      </c>
      <c r="E110" s="53">
        <f t="shared" ref="E110:K110" si="11">SUM(E60:E109)</f>
        <v>0</v>
      </c>
      <c r="F110" s="53">
        <f t="shared" si="11"/>
        <v>0</v>
      </c>
      <c r="G110" s="53">
        <f t="shared" si="11"/>
        <v>0</v>
      </c>
      <c r="H110" s="53">
        <f t="shared" si="11"/>
        <v>0</v>
      </c>
      <c r="I110" s="53">
        <f t="shared" si="11"/>
        <v>0</v>
      </c>
      <c r="J110" s="54">
        <f t="shared" si="11"/>
        <v>0</v>
      </c>
      <c r="K110" s="49">
        <f t="shared" si="11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7033A13E-6482-4BE3-872D-86C0850CE7BF}"/>
  </hyperlinks>
  <pageMargins left="0.7" right="0.7" top="0.75" bottom="0.75" header="0.3" footer="0.3"/>
  <pageSetup scale="29" orientation="landscape" verticalDpi="1200" r:id="rId1"/>
  <rowBreaks count="1" manualBreakCount="1">
    <brk id="57" max="14" man="1"/>
  </row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51E8-7E88-40A2-90AA-F04E2978499E}">
  <dimension ref="A1:O110"/>
  <sheetViews>
    <sheetView zoomScale="60" zoomScaleNormal="60" workbookViewId="0">
      <pane xSplit="2" ySplit="5" topLeftCell="C6" activePane="bottomRight" state="frozen"/>
      <selection pane="topRight" activeCell="B9" sqref="B9"/>
      <selection pane="bottomLeft" activeCell="B9" sqref="B9"/>
      <selection pane="bottomRight" activeCell="B4" sqref="B4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3.42578125" style="13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5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5" ht="33" customHeight="1" x14ac:dyDescent="0.5">
      <c r="A3" s="12"/>
      <c r="B3" s="65" t="s">
        <v>1019</v>
      </c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5" ht="21" customHeight="1" thickBot="1" x14ac:dyDescent="0.4">
      <c r="A4" s="63" t="s">
        <v>766</v>
      </c>
      <c r="B4" s="64">
        <f>'Saturday WK5 (35)'!B4</f>
        <v>46228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thickBot="1" x14ac:dyDescent="0.4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29.25" customHeight="1" x14ac:dyDescent="0.35">
      <c r="A6" s="1" t="s">
        <v>994</v>
      </c>
      <c r="B6" s="68" t="s">
        <v>995</v>
      </c>
      <c r="C6" s="15">
        <v>-601.35999999999967</v>
      </c>
      <c r="D6" s="15"/>
      <c r="E6" s="15"/>
      <c r="F6" s="15"/>
      <c r="G6" s="15"/>
      <c r="H6" s="15"/>
      <c r="I6" s="15"/>
      <c r="J6" s="15"/>
      <c r="K6" s="15">
        <v>-328</v>
      </c>
      <c r="L6" s="15"/>
      <c r="M6" s="15"/>
      <c r="N6" s="55">
        <v>-929.36</v>
      </c>
      <c r="O6" s="148" t="s">
        <v>996</v>
      </c>
    </row>
    <row r="7" spans="1:15" ht="29.25" customHeight="1" x14ac:dyDescent="0.35">
      <c r="A7" s="1" t="s">
        <v>997</v>
      </c>
      <c r="B7" s="68" t="s">
        <v>995</v>
      </c>
      <c r="C7" s="15">
        <f t="shared" ref="C7:C31" si="1">N7-D7-E7-F7-G7-H7-I7-J7-K7-L7-M7-D61-E61-F61-G61-H61-I61-J61-K61-L61-C61</f>
        <v>-122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>
        <v>-122</v>
      </c>
      <c r="O7" s="148" t="s">
        <v>998</v>
      </c>
    </row>
    <row r="8" spans="1:15" ht="29.25" customHeight="1" x14ac:dyDescent="0.35">
      <c r="A8" s="1" t="s">
        <v>999</v>
      </c>
      <c r="B8" s="68" t="s">
        <v>995</v>
      </c>
      <c r="C8" s="15">
        <f t="shared" si="1"/>
        <v>-872.92000000000007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>
        <v>-1122.92</v>
      </c>
      <c r="O8" s="148" t="s">
        <v>1001</v>
      </c>
    </row>
    <row r="9" spans="1:15" ht="29.25" customHeight="1" x14ac:dyDescent="0.35">
      <c r="A9" s="1" t="s">
        <v>1002</v>
      </c>
      <c r="B9" s="68" t="s">
        <v>995</v>
      </c>
      <c r="C9" s="15">
        <f t="shared" si="1"/>
        <v>-267.16000000000003</v>
      </c>
      <c r="D9" s="15"/>
      <c r="E9" s="15">
        <v>-299.35000000000002</v>
      </c>
      <c r="F9" s="15"/>
      <c r="G9" s="15"/>
      <c r="H9" s="15"/>
      <c r="I9" s="15"/>
      <c r="J9" s="15"/>
      <c r="K9" s="15">
        <v>-36.450000000000003</v>
      </c>
      <c r="L9" s="15"/>
      <c r="M9" s="15"/>
      <c r="N9" s="55">
        <v>-602.96</v>
      </c>
      <c r="O9" s="148" t="s">
        <v>1003</v>
      </c>
    </row>
    <row r="10" spans="1:15" ht="29.25" customHeight="1" x14ac:dyDescent="0.35">
      <c r="A10" s="1" t="s">
        <v>1004</v>
      </c>
      <c r="B10" s="68" t="s">
        <v>995</v>
      </c>
      <c r="C10" s="15">
        <f t="shared" si="1"/>
        <v>-1350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>
        <v>-1350</v>
      </c>
      <c r="O10" s="148" t="s">
        <v>1005</v>
      </c>
    </row>
    <row r="11" spans="1:15" ht="29.25" customHeight="1" x14ac:dyDescent="0.35">
      <c r="A11" s="1" t="s">
        <v>1006</v>
      </c>
      <c r="B11" s="68" t="s">
        <v>995</v>
      </c>
      <c r="C11" s="15">
        <f t="shared" si="1"/>
        <v>-581.07000000000005</v>
      </c>
      <c r="D11" s="15"/>
      <c r="E11" s="15">
        <v>-213.64</v>
      </c>
      <c r="F11" s="15"/>
      <c r="G11" s="15"/>
      <c r="H11" s="15"/>
      <c r="I11" s="15"/>
      <c r="J11" s="15"/>
      <c r="K11" s="15">
        <v>-160.04</v>
      </c>
      <c r="L11" s="15"/>
      <c r="M11" s="15"/>
      <c r="N11" s="55">
        <v>-954.75</v>
      </c>
      <c r="O11" s="148" t="s">
        <v>1007</v>
      </c>
    </row>
    <row r="12" spans="1:15" ht="29.25" customHeight="1" x14ac:dyDescent="0.35">
      <c r="A12" s="1" t="s">
        <v>1009</v>
      </c>
      <c r="B12" s="68" t="s">
        <v>995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>
        <v>-614.4</v>
      </c>
      <c r="L12" s="15"/>
      <c r="M12" s="15"/>
      <c r="N12" s="55">
        <v>-614.4</v>
      </c>
      <c r="O12" s="148" t="s">
        <v>1008</v>
      </c>
    </row>
    <row r="13" spans="1:15" ht="29.25" customHeight="1" x14ac:dyDescent="0.35">
      <c r="A13" s="1" t="s">
        <v>1010</v>
      </c>
      <c r="B13" s="68" t="s">
        <v>995</v>
      </c>
      <c r="C13" s="15">
        <f t="shared" si="1"/>
        <v>-645.27999999999986</v>
      </c>
      <c r="D13" s="15"/>
      <c r="E13" s="15">
        <v>-78.209999999999994</v>
      </c>
      <c r="F13" s="15"/>
      <c r="G13" s="15"/>
      <c r="H13" s="15"/>
      <c r="I13" s="15"/>
      <c r="J13" s="15"/>
      <c r="K13" s="15">
        <v>-362.1</v>
      </c>
      <c r="L13" s="15"/>
      <c r="M13" s="15"/>
      <c r="N13" s="55">
        <v>-1085.5899999999999</v>
      </c>
      <c r="O13" s="148" t="s">
        <v>1011</v>
      </c>
    </row>
    <row r="14" spans="1:15" ht="29.25" customHeight="1" x14ac:dyDescent="0.35">
      <c r="A14" s="1" t="s">
        <v>1012</v>
      </c>
      <c r="B14" s="68" t="s">
        <v>1013</v>
      </c>
      <c r="C14" s="15">
        <f t="shared" si="1"/>
        <v>-408.57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>
        <v>-408.57</v>
      </c>
      <c r="O14" s="148" t="s">
        <v>1014</v>
      </c>
    </row>
    <row r="15" spans="1:15" ht="29.25" customHeight="1" x14ac:dyDescent="0.35">
      <c r="A15" s="1" t="s">
        <v>1015</v>
      </c>
      <c r="B15" s="68" t="s">
        <v>1013</v>
      </c>
      <c r="C15" s="15">
        <f t="shared" si="1"/>
        <v>-1621.79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>
        <v>-1621.79</v>
      </c>
      <c r="O15" s="148" t="s">
        <v>1016</v>
      </c>
    </row>
    <row r="16" spans="1:15" ht="29.25" customHeight="1" x14ac:dyDescent="0.35">
      <c r="A16" s="1" t="s">
        <v>1018</v>
      </c>
      <c r="B16" s="68" t="s">
        <v>1013</v>
      </c>
      <c r="C16" s="15">
        <f t="shared" si="1"/>
        <v>-2544.7600000000002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>
        <v>-2544.7600000000002</v>
      </c>
      <c r="O16" s="148" t="s">
        <v>1017</v>
      </c>
    </row>
    <row r="17" spans="1:14" ht="29.25" customHeight="1" x14ac:dyDescent="0.35">
      <c r="A17" s="1" t="s">
        <v>82</v>
      </c>
      <c r="B17" s="68" t="s">
        <v>82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82</v>
      </c>
      <c r="B18" s="68" t="s">
        <v>82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82</v>
      </c>
      <c r="B19" s="68" t="s">
        <v>82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82</v>
      </c>
      <c r="B20" s="68" t="s">
        <v>82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82</v>
      </c>
      <c r="B21" s="68" t="s">
        <v>82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82</v>
      </c>
      <c r="B22" s="68" t="s">
        <v>82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82</v>
      </c>
      <c r="B23" s="68" t="s">
        <v>82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82</v>
      </c>
      <c r="B24" s="68" t="s">
        <v>82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82</v>
      </c>
      <c r="B25" s="68" t="s">
        <v>82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82</v>
      </c>
      <c r="B26" s="68" t="s">
        <v>82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82</v>
      </c>
      <c r="B27" s="68" t="s">
        <v>82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82</v>
      </c>
      <c r="B28" s="68" t="s">
        <v>82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82</v>
      </c>
      <c r="B29" s="68" t="s">
        <v>82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82</v>
      </c>
      <c r="B30" s="68" t="s">
        <v>82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82</v>
      </c>
      <c r="B31" s="68" t="s">
        <v>82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82</v>
      </c>
      <c r="B32" s="68" t="s">
        <v>82</v>
      </c>
      <c r="C32" s="15">
        <f t="shared" ref="C32:C55" si="2">N32-D32-E32-F32-G32-H32-I32-J32-K32-L32-M32-D86-E86-F86-G86-H86-I86-J86-K86-L86-C86</f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82</v>
      </c>
      <c r="B33" s="68" t="s">
        <v>82</v>
      </c>
      <c r="C33" s="15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82</v>
      </c>
      <c r="B34" s="68" t="s">
        <v>82</v>
      </c>
      <c r="C34" s="15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82</v>
      </c>
      <c r="B35" s="68" t="s">
        <v>82</v>
      </c>
      <c r="C35" s="15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82</v>
      </c>
      <c r="B36" s="68" t="s">
        <v>82</v>
      </c>
      <c r="C36" s="15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82</v>
      </c>
      <c r="B37" s="68" t="s">
        <v>82</v>
      </c>
      <c r="C37" s="15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82</v>
      </c>
      <c r="B38" s="68" t="s">
        <v>82</v>
      </c>
      <c r="C38" s="15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82</v>
      </c>
      <c r="B39" s="68" t="s">
        <v>82</v>
      </c>
      <c r="C39" s="15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82</v>
      </c>
      <c r="B40" s="68" t="s">
        <v>82</v>
      </c>
      <c r="C40" s="15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82</v>
      </c>
      <c r="B41" s="68" t="s">
        <v>82</v>
      </c>
      <c r="C41" s="15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82</v>
      </c>
      <c r="B42" s="68" t="s">
        <v>82</v>
      </c>
      <c r="C42" s="15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82</v>
      </c>
      <c r="B43" s="68" t="s">
        <v>82</v>
      </c>
      <c r="C43" s="15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82</v>
      </c>
      <c r="B44" s="68" t="s">
        <v>82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82</v>
      </c>
      <c r="B45" s="68" t="s">
        <v>82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82</v>
      </c>
      <c r="B46" s="68" t="s">
        <v>82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82</v>
      </c>
      <c r="B47" s="68" t="s">
        <v>82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82</v>
      </c>
      <c r="B48" s="68" t="s">
        <v>82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82</v>
      </c>
      <c r="B49" s="68" t="s">
        <v>82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82</v>
      </c>
      <c r="B50" s="68" t="s">
        <v>82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82</v>
      </c>
      <c r="B51" s="68" t="s">
        <v>82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82</v>
      </c>
      <c r="B52" s="68" t="s">
        <v>82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82</v>
      </c>
      <c r="B53" s="68" t="s">
        <v>82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82</v>
      </c>
      <c r="B54" s="68" t="s">
        <v>82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82</v>
      </c>
      <c r="B55" s="68" t="s">
        <v>82</v>
      </c>
      <c r="C55" s="15">
        <f t="shared" si="2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 x14ac:dyDescent="0.4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3">F3</f>
        <v>0</v>
      </c>
      <c r="G56" s="16">
        <f t="shared" si="3"/>
        <v>0</v>
      </c>
      <c r="H56" s="16">
        <f t="shared" si="3"/>
        <v>0</v>
      </c>
      <c r="I56" s="16">
        <f t="shared" si="3"/>
        <v>0</v>
      </c>
      <c r="J56" s="16">
        <f t="shared" si="3"/>
        <v>0</v>
      </c>
      <c r="K56" s="16">
        <f t="shared" si="3"/>
        <v>0</v>
      </c>
      <c r="L56" s="16">
        <f t="shared" si="3"/>
        <v>0</v>
      </c>
      <c r="M56" s="16"/>
      <c r="N56" s="60">
        <f>SUM(C56:M56)+SUM(C118:J118)</f>
        <v>0</v>
      </c>
    </row>
    <row r="57" spans="1:14" ht="29.25" customHeight="1" thickBot="1" x14ac:dyDescent="0.45">
      <c r="A57" s="24" t="s">
        <v>84</v>
      </c>
      <c r="B57" s="10"/>
      <c r="C57" s="61">
        <f t="shared" ref="C57:M57" si="4">SUM(C6:C56)</f>
        <v>-9014.91</v>
      </c>
      <c r="D57" s="61">
        <f t="shared" si="4"/>
        <v>0</v>
      </c>
      <c r="E57" s="61">
        <f t="shared" si="4"/>
        <v>-591.20000000000005</v>
      </c>
      <c r="F57" s="61">
        <f t="shared" si="4"/>
        <v>0</v>
      </c>
      <c r="G57" s="61">
        <f t="shared" si="4"/>
        <v>0</v>
      </c>
      <c r="H57" s="61">
        <f t="shared" si="4"/>
        <v>0</v>
      </c>
      <c r="I57" s="61">
        <f t="shared" si="4"/>
        <v>0</v>
      </c>
      <c r="J57" s="61">
        <f t="shared" si="4"/>
        <v>0</v>
      </c>
      <c r="K57" s="61">
        <f t="shared" si="4"/>
        <v>-1500.9899999999998</v>
      </c>
      <c r="L57" s="61">
        <f t="shared" si="4"/>
        <v>0</v>
      </c>
      <c r="M57" s="61">
        <f t="shared" si="4"/>
        <v>0</v>
      </c>
      <c r="N57" s="61">
        <f>SUM(N6:N56)</f>
        <v>-11357.1</v>
      </c>
    </row>
    <row r="58" spans="1:14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4" ht="45.75" customHeight="1" x14ac:dyDescent="0.35">
      <c r="A59" s="6" t="s">
        <v>15</v>
      </c>
      <c r="B59" s="6" t="s">
        <v>16</v>
      </c>
      <c r="C59" s="50" t="s">
        <v>85</v>
      </c>
      <c r="D59" s="50" t="s">
        <v>86</v>
      </c>
      <c r="E59" s="50" t="s">
        <v>87</v>
      </c>
      <c r="F59" s="50" t="s">
        <v>88</v>
      </c>
      <c r="G59" s="50" t="s">
        <v>89</v>
      </c>
      <c r="H59" s="50" t="s">
        <v>90</v>
      </c>
      <c r="I59" s="50" t="s">
        <v>91</v>
      </c>
      <c r="J59" s="51"/>
      <c r="K59" s="47" t="s">
        <v>92</v>
      </c>
      <c r="L59" s="7" t="s">
        <v>93</v>
      </c>
      <c r="M59" s="14"/>
    </row>
    <row r="60" spans="1:14" ht="29.25" customHeight="1" x14ac:dyDescent="0.35">
      <c r="A60" s="70" t="str">
        <f t="shared" ref="A60:B60" si="5">A6</f>
        <v>9529808</v>
      </c>
      <c r="B60" s="9" t="str">
        <f t="shared" si="5"/>
        <v>TGP MARKETING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61" si="6">A7</f>
        <v>9529813</v>
      </c>
      <c r="B61" s="9" t="str">
        <f t="shared" si="6"/>
        <v>TGP MARKETING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ref="A62:B62" si="7">A8</f>
        <v>9369983</v>
      </c>
      <c r="B62" s="9" t="str">
        <f t="shared" si="7"/>
        <v>TGP MARKETING</v>
      </c>
      <c r="C62" s="26">
        <v>-250</v>
      </c>
      <c r="D62" s="26"/>
      <c r="E62" s="26"/>
      <c r="F62" s="26"/>
      <c r="G62" s="26"/>
      <c r="H62" s="26"/>
      <c r="I62" s="26"/>
      <c r="J62" s="52"/>
      <c r="K62" s="48"/>
      <c r="L62" s="2"/>
      <c r="M62" s="14" t="s">
        <v>1000</v>
      </c>
    </row>
    <row r="63" spans="1:14" ht="29.25" customHeight="1" x14ac:dyDescent="0.35">
      <c r="A63" s="70" t="str">
        <f t="shared" ref="A63:B63" si="8">A9</f>
        <v>9554054</v>
      </c>
      <c r="B63" s="9" t="str">
        <f t="shared" si="8"/>
        <v>TGP MARKETING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ref="A64:B64" si="9">A10</f>
        <v>9559485</v>
      </c>
      <c r="B64" s="9" t="str">
        <f t="shared" si="9"/>
        <v>TGP MARKETING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ref="A65:B65" si="10">A11</f>
        <v>9579772</v>
      </c>
      <c r="B65" s="9" t="str">
        <f t="shared" si="10"/>
        <v>TGP MARKETING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ref="A66:B66" si="11">A12</f>
        <v>9579837</v>
      </c>
      <c r="B66" s="9" t="str">
        <f t="shared" si="11"/>
        <v>TGP MARKETING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ref="A67:B67" si="12">A13</f>
        <v>9605178</v>
      </c>
      <c r="B67" s="9" t="str">
        <f t="shared" si="12"/>
        <v>TGP MARKETING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ref="A68:B68" si="13">A14</f>
        <v>74403</v>
      </c>
      <c r="B68" s="9" t="str">
        <f t="shared" si="13"/>
        <v>SELF INSURANCE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ref="A69:B69" si="14">A15</f>
        <v>74402</v>
      </c>
      <c r="B69" s="9" t="str">
        <f t="shared" si="14"/>
        <v>SELF INSURANCE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ref="A70:B70" si="15">A16</f>
        <v>74461</v>
      </c>
      <c r="B70" s="9" t="str">
        <f t="shared" si="15"/>
        <v>SELF INSURANCE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ref="A71:B76" si="16">A17</f>
        <v xml:space="preserve"> </v>
      </c>
      <c r="B71" s="9" t="str">
        <f t="shared" si="1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6"/>
        <v xml:space="preserve"> </v>
      </c>
      <c r="B72" s="9" t="str">
        <f t="shared" si="1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6"/>
        <v xml:space="preserve"> </v>
      </c>
      <c r="B73" s="9" t="str">
        <f t="shared" si="16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6"/>
        <v xml:space="preserve"> </v>
      </c>
      <c r="B74" s="9" t="str">
        <f t="shared" si="16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16"/>
        <v xml:space="preserve"> </v>
      </c>
      <c r="B75" s="9" t="str">
        <f t="shared" si="16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6"/>
        <v xml:space="preserve"> </v>
      </c>
      <c r="B76" s="9" t="str">
        <f t="shared" si="16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7">A23</f>
        <v xml:space="preserve"> </v>
      </c>
      <c r="B77" s="9" t="str">
        <f t="shared" si="17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7"/>
        <v xml:space="preserve"> </v>
      </c>
      <c r="B78" s="9" t="str">
        <f t="shared" si="17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7"/>
        <v xml:space="preserve"> </v>
      </c>
      <c r="B79" s="9" t="str">
        <f t="shared" si="17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7"/>
        <v xml:space="preserve"> </v>
      </c>
      <c r="B80" s="9" t="str">
        <f t="shared" si="17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7"/>
        <v xml:space="preserve"> </v>
      </c>
      <c r="B81" s="9" t="str">
        <f t="shared" si="17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7"/>
        <v xml:space="preserve"> </v>
      </c>
      <c r="B82" s="9" t="str">
        <f t="shared" si="17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7"/>
        <v xml:space="preserve"> </v>
      </c>
      <c r="B83" s="9" t="str">
        <f t="shared" si="17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7"/>
        <v xml:space="preserve"> </v>
      </c>
      <c r="B84" s="9" t="str">
        <f t="shared" si="17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7"/>
        <v xml:space="preserve"> </v>
      </c>
      <c r="B85" s="9" t="str">
        <f t="shared" si="17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7"/>
        <v xml:space="preserve"> </v>
      </c>
      <c r="B86" s="9" t="str">
        <f t="shared" si="17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7"/>
        <v xml:space="preserve"> </v>
      </c>
      <c r="B87" s="9" t="str">
        <f t="shared" si="17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7"/>
        <v xml:space="preserve"> </v>
      </c>
      <c r="B88" s="9" t="str">
        <f t="shared" si="17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7"/>
        <v xml:space="preserve"> </v>
      </c>
      <c r="B89" s="9" t="str">
        <f t="shared" si="17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7"/>
        <v xml:space="preserve"> </v>
      </c>
      <c r="B90" s="9" t="str">
        <f t="shared" si="17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7"/>
        <v xml:space="preserve"> </v>
      </c>
      <c r="B91" s="9" t="str">
        <f t="shared" si="17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7"/>
        <v xml:space="preserve"> </v>
      </c>
      <c r="B92" s="9" t="str">
        <f t="shared" si="17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8">A39</f>
        <v xml:space="preserve"> </v>
      </c>
      <c r="B93" s="9" t="str">
        <f t="shared" si="18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8"/>
        <v xml:space="preserve"> </v>
      </c>
      <c r="B94" s="9" t="str">
        <f t="shared" si="18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8"/>
        <v xml:space="preserve"> </v>
      </c>
      <c r="B95" s="9" t="str">
        <f t="shared" si="18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8"/>
        <v xml:space="preserve"> </v>
      </c>
      <c r="B96" s="9" t="str">
        <f t="shared" si="18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8"/>
        <v xml:space="preserve"> </v>
      </c>
      <c r="B97" s="9" t="str">
        <f t="shared" si="18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8"/>
        <v xml:space="preserve"> </v>
      </c>
      <c r="B98" s="9" t="str">
        <f t="shared" si="18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8"/>
        <v xml:space="preserve"> </v>
      </c>
      <c r="B99" s="9" t="str">
        <f t="shared" si="18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8"/>
        <v xml:space="preserve"> </v>
      </c>
      <c r="B100" s="9" t="str">
        <f t="shared" si="18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8"/>
        <v xml:space="preserve"> </v>
      </c>
      <c r="B101" s="9" t="str">
        <f t="shared" si="1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8"/>
        <v xml:space="preserve"> </v>
      </c>
      <c r="B102" s="9" t="str">
        <f t="shared" si="18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8"/>
        <v xml:space="preserve"> </v>
      </c>
      <c r="B103" s="9" t="str">
        <f t="shared" si="18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8"/>
        <v xml:space="preserve"> </v>
      </c>
      <c r="B104" s="9" t="str">
        <f t="shared" si="18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8"/>
        <v xml:space="preserve"> </v>
      </c>
      <c r="B105" s="9" t="str">
        <f t="shared" si="18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8"/>
        <v xml:space="preserve"> </v>
      </c>
      <c r="B106" s="9" t="str">
        <f t="shared" si="18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8"/>
        <v xml:space="preserve"> </v>
      </c>
      <c r="B107" s="9" t="str">
        <f t="shared" si="18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8"/>
        <v xml:space="preserve"> </v>
      </c>
      <c r="B108" s="9" t="str">
        <f t="shared" si="18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9">A55</f>
        <v xml:space="preserve"> </v>
      </c>
      <c r="B109" s="9" t="str">
        <f t="shared" si="19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84</v>
      </c>
      <c r="B110" s="8"/>
      <c r="C110" s="53">
        <f>SUM(C60:C109)</f>
        <v>-250</v>
      </c>
      <c r="D110" s="53">
        <f>SUM(D60:D109)</f>
        <v>0</v>
      </c>
      <c r="E110" s="53">
        <f t="shared" ref="E110:K110" si="20">SUM(E60:E109)</f>
        <v>0</v>
      </c>
      <c r="F110" s="53">
        <f t="shared" si="20"/>
        <v>0</v>
      </c>
      <c r="G110" s="53">
        <f t="shared" si="20"/>
        <v>0</v>
      </c>
      <c r="H110" s="53">
        <f t="shared" si="20"/>
        <v>0</v>
      </c>
      <c r="I110" s="53">
        <f t="shared" si="20"/>
        <v>0</v>
      </c>
      <c r="J110" s="54">
        <f t="shared" si="20"/>
        <v>0</v>
      </c>
      <c r="K110" s="49">
        <f t="shared" si="20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7E7E4335-AEC1-49F1-8FB4-CD1A8DC0075F}"/>
  </hyperlink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B8AF-E964-4EB9-ABC8-9F61782D91D2}">
  <dimension ref="A1:Z54"/>
  <sheetViews>
    <sheetView zoomScale="90" zoomScaleNormal="90" workbookViewId="0">
      <selection activeCell="D6" sqref="D6"/>
    </sheetView>
  </sheetViews>
  <sheetFormatPr defaultRowHeight="15" x14ac:dyDescent="0.25"/>
  <cols>
    <col min="2" max="2" width="18.5703125" customWidth="1"/>
    <col min="3" max="8" width="13.42578125" customWidth="1"/>
    <col min="9" max="9" width="3" customWidth="1"/>
    <col min="10" max="10" width="13.42578125" hidden="1" customWidth="1"/>
    <col min="11" max="11" width="2.42578125" customWidth="1"/>
    <col min="12" max="12" width="2.7109375" style="4" customWidth="1"/>
    <col min="13" max="13" width="10.28515625" style="4" customWidth="1"/>
    <col min="14" max="14" width="6.7109375" style="4" customWidth="1"/>
    <col min="15" max="16" width="16.42578125" style="4" customWidth="1"/>
    <col min="17" max="17" width="2.7109375" style="4" customWidth="1"/>
    <col min="18" max="23" width="16.42578125" style="4" customWidth="1"/>
    <col min="24" max="24" width="2.7109375" style="4" customWidth="1"/>
  </cols>
  <sheetData>
    <row r="1" spans="1:24" ht="15.75" thickBot="1" x14ac:dyDescent="0.3">
      <c r="A1" s="268" t="s">
        <v>767</v>
      </c>
      <c r="B1" s="266" t="s">
        <v>768</v>
      </c>
      <c r="C1" s="269">
        <f>'Receiving Totals'!A8</f>
        <v>46200</v>
      </c>
      <c r="D1" s="269">
        <f>C1+7</f>
        <v>46207</v>
      </c>
      <c r="E1" s="269">
        <f t="shared" ref="E1:G1" si="0">D1+7</f>
        <v>46214</v>
      </c>
      <c r="F1" s="269">
        <f t="shared" si="0"/>
        <v>46221</v>
      </c>
      <c r="G1" s="269">
        <f t="shared" si="0"/>
        <v>46228</v>
      </c>
      <c r="H1" s="267" t="s">
        <v>11</v>
      </c>
      <c r="I1" s="267"/>
      <c r="J1" s="267"/>
      <c r="R1" s="341" t="s">
        <v>769</v>
      </c>
      <c r="S1" s="341" t="s">
        <v>770</v>
      </c>
      <c r="T1" s="341" t="s">
        <v>771</v>
      </c>
      <c r="U1" s="341" t="s">
        <v>772</v>
      </c>
      <c r="V1" s="341" t="s">
        <v>773</v>
      </c>
    </row>
    <row r="2" spans="1:24" x14ac:dyDescent="0.25">
      <c r="A2" s="74" t="s">
        <v>774</v>
      </c>
      <c r="B2" s="73" t="s">
        <v>775</v>
      </c>
      <c r="C2" s="270">
        <v>61587.12</v>
      </c>
      <c r="D2" s="270">
        <v>61593.55</v>
      </c>
      <c r="E2" s="270">
        <v>52037.96</v>
      </c>
      <c r="F2" s="270">
        <v>81126.649999999994</v>
      </c>
      <c r="G2" s="270"/>
      <c r="H2" s="272">
        <f>SUM(C2:G2)</f>
        <v>256345.28</v>
      </c>
      <c r="I2" s="424"/>
      <c r="J2" s="424"/>
      <c r="L2" s="342"/>
      <c r="M2" s="343"/>
      <c r="N2" s="343"/>
      <c r="O2" s="344" t="s">
        <v>776</v>
      </c>
      <c r="P2" s="343" t="s">
        <v>777</v>
      </c>
      <c r="Q2" s="343"/>
      <c r="R2" s="364">
        <f>C1</f>
        <v>46200</v>
      </c>
      <c r="S2" s="364">
        <f>D1</f>
        <v>46207</v>
      </c>
      <c r="T2" s="364">
        <f>E1</f>
        <v>46214</v>
      </c>
      <c r="U2" s="364">
        <f>F1</f>
        <v>46221</v>
      </c>
      <c r="V2" s="364">
        <f>G1</f>
        <v>46228</v>
      </c>
      <c r="W2" s="343" t="s">
        <v>11</v>
      </c>
      <c r="X2" s="345"/>
    </row>
    <row r="3" spans="1:24" x14ac:dyDescent="0.25">
      <c r="A3" s="74" t="s">
        <v>778</v>
      </c>
      <c r="B3" s="73" t="s">
        <v>779</v>
      </c>
      <c r="C3" s="76">
        <v>11330.6</v>
      </c>
      <c r="D3" s="76">
        <v>7687.72</v>
      </c>
      <c r="E3" s="76">
        <v>9611.16</v>
      </c>
      <c r="F3" s="76">
        <v>12022.38</v>
      </c>
      <c r="G3" s="76"/>
      <c r="H3" s="273">
        <f t="shared" ref="H3:H31" si="1">SUM(C3:G3)</f>
        <v>40651.86</v>
      </c>
      <c r="I3" s="424"/>
      <c r="J3" s="424"/>
      <c r="L3" s="346"/>
      <c r="M3" s="4" t="s">
        <v>780</v>
      </c>
      <c r="N3" s="347"/>
      <c r="O3" s="347"/>
      <c r="P3" s="41">
        <f>O3/4</f>
        <v>0</v>
      </c>
      <c r="R3" s="41">
        <f>C2+C3+C9+C28+C29+C30</f>
        <v>104823.37000000001</v>
      </c>
      <c r="S3" s="41">
        <f>D2+D3+D9+D28+D29+D30</f>
        <v>106347.47</v>
      </c>
      <c r="T3" s="41">
        <f>E2+E3+E9+E28+E29+E30</f>
        <v>91332.119999999981</v>
      </c>
      <c r="U3" s="41">
        <f>F2+F3+F9+F28+F29+F30</f>
        <v>125122.79000000001</v>
      </c>
      <c r="V3" s="41">
        <f>G2+G3+G9+G28+G29+G30</f>
        <v>0</v>
      </c>
      <c r="W3" s="41">
        <f>SUM(R3:V3)</f>
        <v>427625.75</v>
      </c>
      <c r="X3" s="348"/>
    </row>
    <row r="4" spans="1:24" x14ac:dyDescent="0.25">
      <c r="A4" s="74" t="s">
        <v>781</v>
      </c>
      <c r="B4" s="73" t="s">
        <v>782</v>
      </c>
      <c r="C4" s="77">
        <v>2802.19</v>
      </c>
      <c r="D4" s="77">
        <v>1484.77</v>
      </c>
      <c r="E4" s="77">
        <v>3251.61</v>
      </c>
      <c r="F4" s="77">
        <v>2019.42</v>
      </c>
      <c r="G4" s="77"/>
      <c r="H4" s="273">
        <f t="shared" si="1"/>
        <v>9557.99</v>
      </c>
      <c r="I4" s="424"/>
      <c r="J4" s="424"/>
      <c r="L4" s="346"/>
      <c r="M4" s="4" t="s">
        <v>783</v>
      </c>
      <c r="N4" s="347"/>
      <c r="O4" s="347"/>
      <c r="P4" s="41">
        <f t="shared" ref="P4:P18" si="2">O4/4</f>
        <v>0</v>
      </c>
      <c r="R4" s="41">
        <f>C4</f>
        <v>2802.19</v>
      </c>
      <c r="S4" s="41">
        <f>D4</f>
        <v>1484.77</v>
      </c>
      <c r="T4" s="41">
        <f>E4</f>
        <v>3251.61</v>
      </c>
      <c r="U4" s="41">
        <f>F4</f>
        <v>2019.42</v>
      </c>
      <c r="V4" s="41">
        <f>G4</f>
        <v>0</v>
      </c>
      <c r="W4" s="41">
        <f t="shared" ref="W4:W13" si="3">SUM(R4:V4)</f>
        <v>9557.99</v>
      </c>
      <c r="X4" s="348"/>
    </row>
    <row r="5" spans="1:24" x14ac:dyDescent="0.25">
      <c r="A5" s="74" t="s">
        <v>784</v>
      </c>
      <c r="B5" s="73" t="s">
        <v>785</v>
      </c>
      <c r="C5" s="76">
        <v>11640.91</v>
      </c>
      <c r="D5" s="76">
        <v>13672.65</v>
      </c>
      <c r="E5" s="76">
        <v>13021.19</v>
      </c>
      <c r="F5" s="76">
        <v>13466.91</v>
      </c>
      <c r="G5" s="76"/>
      <c r="H5" s="273">
        <f t="shared" si="1"/>
        <v>51801.66</v>
      </c>
      <c r="I5" s="424"/>
      <c r="J5" s="424"/>
      <c r="L5" s="346"/>
      <c r="M5" s="4" t="s">
        <v>8</v>
      </c>
      <c r="N5" s="347"/>
      <c r="O5" s="347"/>
      <c r="P5" s="41">
        <f t="shared" si="2"/>
        <v>0</v>
      </c>
      <c r="R5" s="41">
        <f>C5+C25</f>
        <v>21315.25</v>
      </c>
      <c r="S5" s="41">
        <f>D5+D25</f>
        <v>23819.55</v>
      </c>
      <c r="T5" s="41">
        <f>E5+E25</f>
        <v>22644.489999999998</v>
      </c>
      <c r="U5" s="41">
        <f>F5+F25</f>
        <v>23483.690000000002</v>
      </c>
      <c r="V5" s="41">
        <f>G5+G25</f>
        <v>0</v>
      </c>
      <c r="W5" s="41">
        <f t="shared" si="3"/>
        <v>91262.98000000001</v>
      </c>
      <c r="X5" s="348"/>
    </row>
    <row r="6" spans="1:24" x14ac:dyDescent="0.25">
      <c r="A6" s="74" t="s">
        <v>786</v>
      </c>
      <c r="B6" s="73" t="s">
        <v>787</v>
      </c>
      <c r="C6" s="77">
        <v>21594.15</v>
      </c>
      <c r="D6" s="77">
        <v>30150.59</v>
      </c>
      <c r="E6" s="77">
        <v>23320.38</v>
      </c>
      <c r="F6" s="77">
        <v>24481.64</v>
      </c>
      <c r="G6" s="77"/>
      <c r="H6" s="273">
        <f t="shared" si="1"/>
        <v>99546.760000000009</v>
      </c>
      <c r="I6" s="424"/>
      <c r="J6" s="424"/>
      <c r="L6" s="346"/>
      <c r="M6" s="4" t="s">
        <v>788</v>
      </c>
      <c r="N6" s="347"/>
      <c r="O6" s="347"/>
      <c r="P6" s="41">
        <f t="shared" si="2"/>
        <v>0</v>
      </c>
      <c r="R6" s="41">
        <f>C7+C8+C26+C27</f>
        <v>3775.24</v>
      </c>
      <c r="S6" s="41">
        <f>D7+D8+D26+D27</f>
        <v>3379.8</v>
      </c>
      <c r="T6" s="41">
        <f>E7+E8+E26+E27</f>
        <v>2955.09</v>
      </c>
      <c r="U6" s="41">
        <f>F7+F8+F26+F27</f>
        <v>2292.79</v>
      </c>
      <c r="V6" s="41">
        <f>G7+G8+G26+G27</f>
        <v>0</v>
      </c>
      <c r="W6" s="41">
        <f t="shared" si="3"/>
        <v>12402.920000000002</v>
      </c>
      <c r="X6" s="348"/>
    </row>
    <row r="7" spans="1:24" x14ac:dyDescent="0.25">
      <c r="A7" s="74" t="s">
        <v>789</v>
      </c>
      <c r="B7" s="73" t="s">
        <v>790</v>
      </c>
      <c r="C7" s="76">
        <v>2348.33</v>
      </c>
      <c r="D7" s="76">
        <v>1853.6</v>
      </c>
      <c r="E7" s="76">
        <v>1496.16</v>
      </c>
      <c r="F7" s="76">
        <v>1413.76</v>
      </c>
      <c r="G7" s="76"/>
      <c r="H7" s="273">
        <f t="shared" si="1"/>
        <v>7111.85</v>
      </c>
      <c r="I7" s="424"/>
      <c r="J7" s="424"/>
      <c r="L7" s="346"/>
      <c r="M7" s="4" t="s">
        <v>791</v>
      </c>
      <c r="N7" s="347"/>
      <c r="O7" s="347"/>
      <c r="P7" s="41">
        <f t="shared" si="2"/>
        <v>0</v>
      </c>
      <c r="R7" s="41">
        <f>C10</f>
        <v>26065</v>
      </c>
      <c r="S7" s="41">
        <f>D10</f>
        <v>9365.85</v>
      </c>
      <c r="T7" s="41">
        <f>E10</f>
        <v>9940.3700000000008</v>
      </c>
      <c r="U7" s="41">
        <f>F10</f>
        <v>10947.67</v>
      </c>
      <c r="V7" s="41">
        <f>G10</f>
        <v>0</v>
      </c>
      <c r="W7" s="41">
        <f t="shared" si="3"/>
        <v>56318.89</v>
      </c>
      <c r="X7" s="348"/>
    </row>
    <row r="8" spans="1:24" x14ac:dyDescent="0.25">
      <c r="A8" s="74" t="s">
        <v>792</v>
      </c>
      <c r="B8" s="73" t="s">
        <v>793</v>
      </c>
      <c r="C8" s="77">
        <v>1426.91</v>
      </c>
      <c r="D8" s="77">
        <v>1526.2</v>
      </c>
      <c r="E8" s="77">
        <v>1458.93</v>
      </c>
      <c r="F8" s="77">
        <v>879.03</v>
      </c>
      <c r="G8" s="77"/>
      <c r="H8" s="273">
        <f t="shared" si="1"/>
        <v>5291.07</v>
      </c>
      <c r="I8" s="424"/>
      <c r="J8" s="424"/>
      <c r="L8" s="346"/>
      <c r="M8" s="4" t="s">
        <v>794</v>
      </c>
      <c r="N8" s="347"/>
      <c r="O8" s="347"/>
      <c r="P8" s="41">
        <f t="shared" si="2"/>
        <v>0</v>
      </c>
      <c r="R8" s="41">
        <f>C13+C16</f>
        <v>10905.08</v>
      </c>
      <c r="S8" s="41">
        <f>D13+D16</f>
        <v>10574.04</v>
      </c>
      <c r="T8" s="41">
        <f>E13+E16</f>
        <v>10273.14</v>
      </c>
      <c r="U8" s="41">
        <f>F13+F16</f>
        <v>10324.92</v>
      </c>
      <c r="V8" s="41">
        <f>G13+G16</f>
        <v>0</v>
      </c>
      <c r="W8" s="41">
        <f t="shared" si="3"/>
        <v>42077.18</v>
      </c>
      <c r="X8" s="348"/>
    </row>
    <row r="9" spans="1:24" x14ac:dyDescent="0.25">
      <c r="A9" s="74" t="s">
        <v>795</v>
      </c>
      <c r="B9" s="73" t="s">
        <v>796</v>
      </c>
      <c r="C9" s="76">
        <v>28945.13</v>
      </c>
      <c r="D9" s="76">
        <v>33229.1</v>
      </c>
      <c r="E9" s="76">
        <v>26590.76</v>
      </c>
      <c r="F9" s="76">
        <v>28389.85</v>
      </c>
      <c r="G9" s="76"/>
      <c r="H9" s="273">
        <f t="shared" si="1"/>
        <v>117154.84</v>
      </c>
      <c r="I9" s="424"/>
      <c r="J9" s="424"/>
      <c r="L9" s="346"/>
      <c r="M9" s="4" t="s">
        <v>797</v>
      </c>
      <c r="N9" s="347"/>
      <c r="O9" s="347"/>
      <c r="P9" s="41">
        <f t="shared" si="2"/>
        <v>0</v>
      </c>
      <c r="R9" s="41">
        <f>C15+C19+C24</f>
        <v>13974.37</v>
      </c>
      <c r="S9" s="41">
        <f>D15+D19+D24</f>
        <v>13268.689999999999</v>
      </c>
      <c r="T9" s="41">
        <f>E15+E19+E24</f>
        <v>16900.939999999999</v>
      </c>
      <c r="U9" s="41">
        <f>F15+F19+F24</f>
        <v>17361.63</v>
      </c>
      <c r="V9" s="41">
        <f>G15+G19+G24</f>
        <v>0</v>
      </c>
      <c r="W9" s="41">
        <f t="shared" si="3"/>
        <v>61505.630000000005</v>
      </c>
      <c r="X9" s="348"/>
    </row>
    <row r="10" spans="1:24" x14ac:dyDescent="0.25">
      <c r="A10" s="75">
        <v>14</v>
      </c>
      <c r="B10" s="73" t="s">
        <v>798</v>
      </c>
      <c r="C10" s="77">
        <v>26065</v>
      </c>
      <c r="D10" s="77">
        <v>9365.85</v>
      </c>
      <c r="E10" s="77">
        <v>9940.3700000000008</v>
      </c>
      <c r="F10" s="77">
        <v>10947.67</v>
      </c>
      <c r="G10" s="77"/>
      <c r="H10" s="273">
        <f t="shared" si="1"/>
        <v>56318.89</v>
      </c>
      <c r="I10" s="424"/>
      <c r="J10" s="424"/>
      <c r="L10" s="346"/>
      <c r="M10" s="349" t="s">
        <v>2</v>
      </c>
      <c r="N10" s="350"/>
      <c r="O10" s="350"/>
      <c r="P10" s="351">
        <f t="shared" si="2"/>
        <v>0</v>
      </c>
      <c r="Q10" s="349"/>
      <c r="R10" s="351">
        <f>+C6+C14+C20+C23+C22</f>
        <v>36160.590000000004</v>
      </c>
      <c r="S10" s="351">
        <f>+D6+D14+D20+D23+D22</f>
        <v>44923.6</v>
      </c>
      <c r="T10" s="351">
        <f>+E6+E14+E20+E23+E22</f>
        <v>40570.57</v>
      </c>
      <c r="U10" s="351">
        <f>+F6+F14+F20+F23+F22</f>
        <v>36796.759999999995</v>
      </c>
      <c r="V10" s="351">
        <f>+G6+G14+G20+G23+G22</f>
        <v>0</v>
      </c>
      <c r="W10" s="351">
        <f t="shared" si="3"/>
        <v>158451.52000000002</v>
      </c>
      <c r="X10" s="348"/>
    </row>
    <row r="11" spans="1:24" x14ac:dyDescent="0.25">
      <c r="A11" s="74" t="s">
        <v>799</v>
      </c>
      <c r="B11" s="73" t="s">
        <v>800</v>
      </c>
      <c r="C11" s="76">
        <v>0</v>
      </c>
      <c r="D11" s="76">
        <v>0</v>
      </c>
      <c r="E11" s="76">
        <v>0</v>
      </c>
      <c r="F11" s="76">
        <v>0</v>
      </c>
      <c r="G11" s="76"/>
      <c r="H11" s="273">
        <f t="shared" si="1"/>
        <v>0</v>
      </c>
      <c r="I11" s="424"/>
      <c r="J11" s="424"/>
      <c r="L11" s="346"/>
      <c r="M11" s="4" t="s">
        <v>801</v>
      </c>
      <c r="N11" s="347"/>
      <c r="O11" s="347"/>
      <c r="P11" s="41">
        <f t="shared" si="2"/>
        <v>0</v>
      </c>
      <c r="R11" s="41">
        <f>C11+C12</f>
        <v>188.38</v>
      </c>
      <c r="S11" s="41">
        <f>D11+D12</f>
        <v>0</v>
      </c>
      <c r="T11" s="41">
        <f>E11+E12</f>
        <v>0</v>
      </c>
      <c r="U11" s="41">
        <f>F11+F12</f>
        <v>25.99</v>
      </c>
      <c r="V11" s="41">
        <f>G11+G12</f>
        <v>0</v>
      </c>
      <c r="W11" s="41">
        <f>SUM(R11:V11)</f>
        <v>214.37</v>
      </c>
      <c r="X11" s="348"/>
    </row>
    <row r="12" spans="1:24" x14ac:dyDescent="0.25">
      <c r="A12" s="74" t="s">
        <v>802</v>
      </c>
      <c r="B12" s="73" t="s">
        <v>803</v>
      </c>
      <c r="C12" s="77">
        <v>188.38</v>
      </c>
      <c r="D12" s="77">
        <v>0</v>
      </c>
      <c r="E12" s="77">
        <v>0</v>
      </c>
      <c r="F12" s="77">
        <v>25.99</v>
      </c>
      <c r="G12" s="77"/>
      <c r="H12" s="273">
        <f t="shared" si="1"/>
        <v>214.37</v>
      </c>
      <c r="I12" s="424"/>
      <c r="J12" s="424"/>
      <c r="L12" s="346"/>
      <c r="M12" s="352" t="s">
        <v>6</v>
      </c>
      <c r="N12" s="353"/>
      <c r="O12" s="353"/>
      <c r="P12" s="354">
        <f t="shared" si="2"/>
        <v>0</v>
      </c>
      <c r="Q12" s="352"/>
      <c r="R12" s="354">
        <f>C17+C18</f>
        <v>23708.02</v>
      </c>
      <c r="S12" s="354">
        <f>D17+D18</f>
        <v>19683.57</v>
      </c>
      <c r="T12" s="354">
        <f>E17+E18</f>
        <v>20821.09</v>
      </c>
      <c r="U12" s="354">
        <f>F17+F18</f>
        <v>20829.3</v>
      </c>
      <c r="V12" s="354">
        <f>G17+G18</f>
        <v>0</v>
      </c>
      <c r="W12" s="354">
        <f t="shared" si="3"/>
        <v>85041.98</v>
      </c>
      <c r="X12" s="348"/>
    </row>
    <row r="13" spans="1:24" x14ac:dyDescent="0.25">
      <c r="A13" s="75">
        <v>18</v>
      </c>
      <c r="B13" s="73" t="s">
        <v>804</v>
      </c>
      <c r="C13" s="76">
        <v>3999.59</v>
      </c>
      <c r="D13" s="76">
        <v>4298.08</v>
      </c>
      <c r="E13" s="76">
        <v>3550.48</v>
      </c>
      <c r="F13" s="76">
        <v>4757.7</v>
      </c>
      <c r="G13" s="76"/>
      <c r="H13" s="273">
        <f t="shared" si="1"/>
        <v>16605.849999999999</v>
      </c>
      <c r="I13" s="424"/>
      <c r="J13" s="424"/>
      <c r="L13" s="346"/>
      <c r="M13" s="4" t="s">
        <v>11</v>
      </c>
      <c r="O13" s="41">
        <f>SUM(O3:O12)</f>
        <v>0</v>
      </c>
      <c r="P13" s="41">
        <f t="shared" si="2"/>
        <v>0</v>
      </c>
      <c r="R13" s="41">
        <f>SUM(R3:R12)</f>
        <v>243717.49</v>
      </c>
      <c r="S13" s="41">
        <f t="shared" ref="S13:V13" si="4">SUM(S3:S12)</f>
        <v>232847.34000000003</v>
      </c>
      <c r="T13" s="41">
        <f t="shared" si="4"/>
        <v>218689.41999999995</v>
      </c>
      <c r="U13" s="41">
        <f t="shared" si="4"/>
        <v>249204.96000000002</v>
      </c>
      <c r="V13" s="41">
        <f t="shared" si="4"/>
        <v>0</v>
      </c>
      <c r="W13" s="41">
        <f t="shared" si="3"/>
        <v>944459.21</v>
      </c>
      <c r="X13" s="348"/>
    </row>
    <row r="14" spans="1:24" x14ac:dyDescent="0.25">
      <c r="A14" s="75">
        <v>19</v>
      </c>
      <c r="B14" s="73" t="s">
        <v>805</v>
      </c>
      <c r="C14" s="77">
        <v>2179.83</v>
      </c>
      <c r="D14" s="77">
        <v>1548.29</v>
      </c>
      <c r="E14" s="77">
        <v>1351.19</v>
      </c>
      <c r="F14" s="77">
        <v>1954.16</v>
      </c>
      <c r="G14" s="77"/>
      <c r="H14" s="273">
        <f t="shared" si="1"/>
        <v>7033.4699999999993</v>
      </c>
      <c r="I14" s="424"/>
      <c r="J14" s="424"/>
      <c r="L14" s="346"/>
      <c r="P14" s="4">
        <f t="shared" si="2"/>
        <v>0</v>
      </c>
      <c r="X14" s="348"/>
    </row>
    <row r="15" spans="1:24" x14ac:dyDescent="0.25">
      <c r="A15" s="75">
        <v>20</v>
      </c>
      <c r="B15" s="73" t="s">
        <v>806</v>
      </c>
      <c r="C15" s="76">
        <v>11849.92</v>
      </c>
      <c r="D15" s="76">
        <v>10231.459999999999</v>
      </c>
      <c r="E15" s="76">
        <v>15479.65</v>
      </c>
      <c r="F15" s="76">
        <v>15693.45</v>
      </c>
      <c r="G15" s="76"/>
      <c r="H15" s="273">
        <f t="shared" si="1"/>
        <v>53254.479999999996</v>
      </c>
      <c r="I15" s="424"/>
      <c r="J15" s="424"/>
      <c r="L15" s="346"/>
      <c r="M15" s="489" t="s">
        <v>807</v>
      </c>
      <c r="N15" s="490"/>
      <c r="O15" s="355">
        <f>O3+O4+O6+O7+O8+O9</f>
        <v>0</v>
      </c>
      <c r="P15" s="355">
        <f t="shared" si="2"/>
        <v>0</v>
      </c>
      <c r="Q15" s="356"/>
      <c r="R15" s="355">
        <f>R3+R4+R6+R7+R8+R9</f>
        <v>162345.25</v>
      </c>
      <c r="S15" s="355">
        <f t="shared" ref="S15:V15" si="5">S3+S4+S6+S7+S8+S9</f>
        <v>144420.62000000002</v>
      </c>
      <c r="T15" s="355">
        <f t="shared" si="5"/>
        <v>134653.26999999996</v>
      </c>
      <c r="U15" s="355">
        <f t="shared" si="5"/>
        <v>168069.22000000003</v>
      </c>
      <c r="V15" s="355">
        <f t="shared" si="5"/>
        <v>0</v>
      </c>
      <c r="W15" s="41">
        <f t="shared" ref="W15:W18" si="6">SUM(R15:V15)</f>
        <v>609488.36</v>
      </c>
      <c r="X15" s="348"/>
    </row>
    <row r="16" spans="1:24" x14ac:dyDescent="0.25">
      <c r="A16" s="75">
        <v>21</v>
      </c>
      <c r="B16" s="73" t="s">
        <v>808</v>
      </c>
      <c r="C16" s="77">
        <v>6905.49</v>
      </c>
      <c r="D16" s="77">
        <v>6275.96</v>
      </c>
      <c r="E16" s="77">
        <v>6722.66</v>
      </c>
      <c r="F16" s="77">
        <v>5567.22</v>
      </c>
      <c r="G16" s="77"/>
      <c r="H16" s="273">
        <f t="shared" si="1"/>
        <v>25471.33</v>
      </c>
      <c r="I16" s="424"/>
      <c r="J16" s="424"/>
      <c r="L16" s="346"/>
      <c r="M16" s="489" t="s">
        <v>6</v>
      </c>
      <c r="N16" s="490"/>
      <c r="O16" s="355">
        <f>O5+O12</f>
        <v>0</v>
      </c>
      <c r="P16" s="355">
        <f t="shared" si="2"/>
        <v>0</v>
      </c>
      <c r="Q16" s="356"/>
      <c r="R16" s="355">
        <f>R5+R12</f>
        <v>45023.270000000004</v>
      </c>
      <c r="S16" s="355">
        <f t="shared" ref="S16:V16" si="7">S5+S12</f>
        <v>43503.119999999995</v>
      </c>
      <c r="T16" s="355">
        <f t="shared" si="7"/>
        <v>43465.58</v>
      </c>
      <c r="U16" s="355">
        <f t="shared" si="7"/>
        <v>44312.990000000005</v>
      </c>
      <c r="V16" s="355">
        <f t="shared" si="7"/>
        <v>0</v>
      </c>
      <c r="W16" s="41">
        <f t="shared" si="6"/>
        <v>176304.96000000002</v>
      </c>
      <c r="X16" s="348"/>
    </row>
    <row r="17" spans="1:24" x14ac:dyDescent="0.25">
      <c r="A17" s="75">
        <v>22</v>
      </c>
      <c r="B17" s="73" t="s">
        <v>809</v>
      </c>
      <c r="C17" s="76">
        <v>19391.38</v>
      </c>
      <c r="D17" s="76">
        <v>15882.18</v>
      </c>
      <c r="E17" s="76">
        <v>17288.07</v>
      </c>
      <c r="F17" s="76">
        <v>17508.939999999999</v>
      </c>
      <c r="G17" s="76"/>
      <c r="H17" s="273">
        <f t="shared" si="1"/>
        <v>70070.569999999992</v>
      </c>
      <c r="I17" s="424"/>
      <c r="J17" s="424"/>
      <c r="L17" s="346"/>
      <c r="M17" s="489" t="s">
        <v>2</v>
      </c>
      <c r="N17" s="490"/>
      <c r="O17" s="355">
        <f>O10</f>
        <v>0</v>
      </c>
      <c r="P17" s="355">
        <f t="shared" si="2"/>
        <v>0</v>
      </c>
      <c r="Q17" s="356"/>
      <c r="R17" s="355">
        <f>R10</f>
        <v>36160.590000000004</v>
      </c>
      <c r="S17" s="355">
        <f t="shared" ref="S17:V17" si="8">S10</f>
        <v>44923.6</v>
      </c>
      <c r="T17" s="355">
        <f t="shared" si="8"/>
        <v>40570.57</v>
      </c>
      <c r="U17" s="355">
        <f t="shared" si="8"/>
        <v>36796.759999999995</v>
      </c>
      <c r="V17" s="355">
        <f t="shared" si="8"/>
        <v>0</v>
      </c>
      <c r="W17" s="41">
        <f t="shared" si="6"/>
        <v>158451.52000000002</v>
      </c>
      <c r="X17" s="348"/>
    </row>
    <row r="18" spans="1:24" x14ac:dyDescent="0.25">
      <c r="A18" s="75">
        <v>23</v>
      </c>
      <c r="B18" s="73" t="s">
        <v>810</v>
      </c>
      <c r="C18" s="77">
        <v>4316.6400000000003</v>
      </c>
      <c r="D18" s="77">
        <v>3801.39</v>
      </c>
      <c r="E18" s="77">
        <v>3533.02</v>
      </c>
      <c r="F18" s="77">
        <v>3320.36</v>
      </c>
      <c r="G18" s="77"/>
      <c r="H18" s="273">
        <f t="shared" si="1"/>
        <v>14971.410000000002</v>
      </c>
      <c r="I18" s="424"/>
      <c r="J18" s="424"/>
      <c r="L18" s="346"/>
      <c r="M18" s="489" t="s">
        <v>811</v>
      </c>
      <c r="N18" s="490"/>
      <c r="O18" s="355">
        <f>O15+O17+O16</f>
        <v>0</v>
      </c>
      <c r="P18" s="355">
        <f t="shared" si="2"/>
        <v>0</v>
      </c>
      <c r="Q18" s="356"/>
      <c r="R18" s="357">
        <f>R13-R11</f>
        <v>243529.11</v>
      </c>
      <c r="S18" s="357">
        <f t="shared" ref="S18:V18" si="9">S13-S11</f>
        <v>232847.34000000003</v>
      </c>
      <c r="T18" s="357">
        <f t="shared" si="9"/>
        <v>218689.41999999995</v>
      </c>
      <c r="U18" s="357">
        <f t="shared" si="9"/>
        <v>249178.97000000003</v>
      </c>
      <c r="V18" s="357">
        <f t="shared" si="9"/>
        <v>0</v>
      </c>
      <c r="W18" s="182">
        <f t="shared" si="6"/>
        <v>944244.84000000008</v>
      </c>
      <c r="X18" s="348"/>
    </row>
    <row r="19" spans="1:24" x14ac:dyDescent="0.25">
      <c r="A19" s="75">
        <v>28</v>
      </c>
      <c r="B19" s="73" t="s">
        <v>812</v>
      </c>
      <c r="C19" s="76">
        <v>1464.21</v>
      </c>
      <c r="D19" s="76">
        <v>2722.43</v>
      </c>
      <c r="E19" s="76">
        <v>897.83</v>
      </c>
      <c r="F19" s="76">
        <v>852.61</v>
      </c>
      <c r="G19" s="76"/>
      <c r="H19" s="273">
        <f t="shared" si="1"/>
        <v>5937.079999999999</v>
      </c>
      <c r="I19" s="424"/>
      <c r="J19" s="424"/>
      <c r="L19" s="346"/>
      <c r="X19" s="348"/>
    </row>
    <row r="20" spans="1:24" x14ac:dyDescent="0.25">
      <c r="A20" s="75">
        <v>29</v>
      </c>
      <c r="B20" s="73" t="s">
        <v>813</v>
      </c>
      <c r="C20" s="77">
        <v>10922.4</v>
      </c>
      <c r="D20" s="77">
        <v>13224.72</v>
      </c>
      <c r="E20" s="77">
        <v>15899</v>
      </c>
      <c r="F20" s="77">
        <v>10360.959999999999</v>
      </c>
      <c r="G20" s="77"/>
      <c r="H20" s="273">
        <f t="shared" si="1"/>
        <v>50407.079999999994</v>
      </c>
      <c r="I20" s="424"/>
      <c r="J20" s="424"/>
      <c r="L20" s="346"/>
      <c r="M20" s="358">
        <v>0.1</v>
      </c>
      <c r="O20" s="41">
        <f>M20*O18</f>
        <v>0</v>
      </c>
      <c r="P20" s="41">
        <f>O20/4</f>
        <v>0</v>
      </c>
      <c r="X20" s="348"/>
    </row>
    <row r="21" spans="1:24" x14ac:dyDescent="0.25">
      <c r="A21" s="74" t="s">
        <v>814</v>
      </c>
      <c r="B21" s="73" t="s">
        <v>815</v>
      </c>
      <c r="C21" s="76">
        <v>638.91999999999996</v>
      </c>
      <c r="D21" s="76">
        <v>456.96</v>
      </c>
      <c r="E21" s="76">
        <v>535.9</v>
      </c>
      <c r="F21" s="76">
        <v>250</v>
      </c>
      <c r="G21" s="76"/>
      <c r="H21" s="273">
        <f t="shared" si="1"/>
        <v>1881.7799999999997</v>
      </c>
      <c r="I21" s="424"/>
      <c r="J21" s="424"/>
      <c r="L21" s="346"/>
      <c r="M21" s="4" t="s">
        <v>816</v>
      </c>
      <c r="O21" s="350"/>
      <c r="X21" s="348"/>
    </row>
    <row r="22" spans="1:24" x14ac:dyDescent="0.25">
      <c r="A22" s="75">
        <v>43</v>
      </c>
      <c r="B22" s="73" t="s">
        <v>817</v>
      </c>
      <c r="C22" s="77">
        <v>1464.21</v>
      </c>
      <c r="D22" s="77">
        <v>0</v>
      </c>
      <c r="E22" s="77">
        <v>0</v>
      </c>
      <c r="F22" s="77">
        <v>0</v>
      </c>
      <c r="G22" s="77"/>
      <c r="H22" s="273">
        <f t="shared" si="1"/>
        <v>1464.21</v>
      </c>
      <c r="I22" s="424"/>
      <c r="J22" s="424"/>
      <c r="L22" s="346"/>
      <c r="O22" s="4" t="e">
        <f>ROUND(O20/O21,0)</f>
        <v>#DIV/0!</v>
      </c>
      <c r="P22" s="4" t="e">
        <f>O22/4</f>
        <v>#DIV/0!</v>
      </c>
      <c r="X22" s="348"/>
    </row>
    <row r="23" spans="1:24" x14ac:dyDescent="0.25">
      <c r="A23" s="75">
        <v>45</v>
      </c>
      <c r="B23" s="73" t="s">
        <v>818</v>
      </c>
      <c r="C23" s="76">
        <v>0</v>
      </c>
      <c r="D23" s="76">
        <v>0</v>
      </c>
      <c r="E23" s="76">
        <v>0</v>
      </c>
      <c r="F23" s="76">
        <v>0</v>
      </c>
      <c r="G23" s="76"/>
      <c r="H23" s="273">
        <f t="shared" si="1"/>
        <v>0</v>
      </c>
      <c r="I23" s="424"/>
      <c r="J23" s="424"/>
      <c r="L23" s="346"/>
      <c r="X23" s="348"/>
    </row>
    <row r="24" spans="1:24" x14ac:dyDescent="0.25">
      <c r="A24" s="75">
        <v>47</v>
      </c>
      <c r="B24" s="73" t="s">
        <v>819</v>
      </c>
      <c r="C24" s="77">
        <v>660.24</v>
      </c>
      <c r="D24" s="77">
        <v>314.8</v>
      </c>
      <c r="E24" s="77">
        <v>523.46</v>
      </c>
      <c r="F24" s="77">
        <v>815.57</v>
      </c>
      <c r="G24" s="77"/>
      <c r="H24" s="273">
        <f t="shared" si="1"/>
        <v>2314.0700000000002</v>
      </c>
      <c r="I24" s="424"/>
      <c r="J24" s="424"/>
      <c r="L24" s="346"/>
      <c r="O24" s="4" t="s">
        <v>820</v>
      </c>
      <c r="X24" s="348"/>
    </row>
    <row r="25" spans="1:24" x14ac:dyDescent="0.25">
      <c r="A25" s="75">
        <v>53</v>
      </c>
      <c r="B25" s="73" t="s">
        <v>821</v>
      </c>
      <c r="C25" s="76">
        <v>9674.34</v>
      </c>
      <c r="D25" s="76">
        <v>10146.9</v>
      </c>
      <c r="E25" s="76">
        <v>9623.2999999999993</v>
      </c>
      <c r="F25" s="76">
        <v>10016.780000000001</v>
      </c>
      <c r="G25" s="76"/>
      <c r="H25" s="273">
        <f t="shared" si="1"/>
        <v>39461.32</v>
      </c>
      <c r="I25" s="424"/>
      <c r="J25" s="424"/>
      <c r="L25" s="346"/>
      <c r="M25" s="489" t="s">
        <v>2</v>
      </c>
      <c r="N25" s="490"/>
      <c r="O25" s="359">
        <v>640</v>
      </c>
      <c r="P25" s="360">
        <f t="shared" ref="P25:P28" si="10">O25/4</f>
        <v>160</v>
      </c>
      <c r="X25" s="348"/>
    </row>
    <row r="26" spans="1:24" x14ac:dyDescent="0.25">
      <c r="A26" s="75">
        <v>55</v>
      </c>
      <c r="B26" s="73" t="s">
        <v>822</v>
      </c>
      <c r="C26" s="77">
        <v>0</v>
      </c>
      <c r="D26" s="77">
        <v>0</v>
      </c>
      <c r="E26" s="77">
        <v>0</v>
      </c>
      <c r="F26" s="77">
        <v>0</v>
      </c>
      <c r="G26" s="77"/>
      <c r="H26" s="273">
        <f t="shared" si="1"/>
        <v>0</v>
      </c>
      <c r="I26" s="424"/>
      <c r="J26" s="424"/>
      <c r="L26" s="346"/>
      <c r="M26" s="489" t="s">
        <v>6</v>
      </c>
      <c r="N26" s="490"/>
      <c r="O26" s="359">
        <v>680</v>
      </c>
      <c r="P26" s="360">
        <f t="shared" si="10"/>
        <v>170</v>
      </c>
      <c r="X26" s="348"/>
    </row>
    <row r="27" spans="1:24" x14ac:dyDescent="0.25">
      <c r="A27" s="75">
        <v>56</v>
      </c>
      <c r="B27" s="73" t="s">
        <v>823</v>
      </c>
      <c r="C27" s="76">
        <v>0</v>
      </c>
      <c r="D27" s="76">
        <v>0</v>
      </c>
      <c r="E27" s="76">
        <v>0</v>
      </c>
      <c r="F27" s="76">
        <v>0</v>
      </c>
      <c r="G27" s="76"/>
      <c r="H27" s="273">
        <f t="shared" si="1"/>
        <v>0</v>
      </c>
      <c r="I27" s="424"/>
      <c r="J27" s="424"/>
      <c r="L27" s="346"/>
      <c r="M27" s="489" t="s">
        <v>1</v>
      </c>
      <c r="N27" s="490"/>
      <c r="O27" s="359" t="e">
        <f>O22-O25-O26-O28</f>
        <v>#DIV/0!</v>
      </c>
      <c r="P27" s="360" t="e">
        <f t="shared" si="10"/>
        <v>#DIV/0!</v>
      </c>
      <c r="X27" s="348"/>
    </row>
    <row r="28" spans="1:24" x14ac:dyDescent="0.25">
      <c r="A28" s="75">
        <v>39</v>
      </c>
      <c r="B28" s="73" t="s">
        <v>824</v>
      </c>
      <c r="C28" s="77">
        <v>2424.6999999999998</v>
      </c>
      <c r="D28" s="77">
        <v>3213.85</v>
      </c>
      <c r="E28" s="77">
        <v>2505.9</v>
      </c>
      <c r="F28" s="77">
        <v>2877.95</v>
      </c>
      <c r="G28" s="77"/>
      <c r="H28" s="273">
        <f t="shared" si="1"/>
        <v>11022.399999999998</v>
      </c>
      <c r="I28" s="424"/>
      <c r="J28" s="424"/>
      <c r="L28" s="346"/>
      <c r="M28" s="489" t="s">
        <v>825</v>
      </c>
      <c r="N28" s="490">
        <v>80</v>
      </c>
      <c r="O28" s="356">
        <v>320</v>
      </c>
      <c r="P28" s="356">
        <f t="shared" si="10"/>
        <v>80</v>
      </c>
      <c r="X28" s="348"/>
    </row>
    <row r="29" spans="1:24" x14ac:dyDescent="0.25">
      <c r="A29" s="75">
        <v>40</v>
      </c>
      <c r="B29" s="4" t="s">
        <v>826</v>
      </c>
      <c r="C29" s="76">
        <v>526.82000000000005</v>
      </c>
      <c r="D29" s="76">
        <v>611.25</v>
      </c>
      <c r="E29" s="76">
        <v>577.34</v>
      </c>
      <c r="F29" s="76">
        <v>690.96</v>
      </c>
      <c r="G29" s="76"/>
      <c r="H29" s="273">
        <f t="shared" si="1"/>
        <v>2406.3700000000003</v>
      </c>
      <c r="I29" s="424"/>
      <c r="J29" s="424"/>
      <c r="L29" s="346"/>
      <c r="X29" s="348"/>
    </row>
    <row r="30" spans="1:24" ht="15.75" thickBot="1" x14ac:dyDescent="0.3">
      <c r="A30" s="75"/>
      <c r="B30" s="4" t="s">
        <v>827</v>
      </c>
      <c r="C30" s="77">
        <v>9</v>
      </c>
      <c r="D30" s="77">
        <v>12</v>
      </c>
      <c r="E30" s="77">
        <v>9</v>
      </c>
      <c r="F30" s="77">
        <v>15</v>
      </c>
      <c r="G30" s="77"/>
      <c r="H30" s="273">
        <f t="shared" si="1"/>
        <v>45</v>
      </c>
      <c r="I30" s="424"/>
      <c r="J30" s="424"/>
      <c r="L30" s="346"/>
      <c r="X30" s="348"/>
    </row>
    <row r="31" spans="1:24" ht="15.75" thickBot="1" x14ac:dyDescent="0.3">
      <c r="B31" s="4" t="s">
        <v>828</v>
      </c>
      <c r="C31" s="271">
        <v>3102</v>
      </c>
      <c r="D31" s="271">
        <v>2958</v>
      </c>
      <c r="E31" s="271">
        <v>3008</v>
      </c>
      <c r="F31" s="271">
        <v>3228</v>
      </c>
      <c r="G31" s="271"/>
      <c r="H31" s="274">
        <f t="shared" si="1"/>
        <v>12296</v>
      </c>
      <c r="I31" s="425"/>
      <c r="J31" s="425"/>
      <c r="L31" s="346"/>
      <c r="X31" s="348"/>
    </row>
    <row r="32" spans="1:24" ht="15.75" thickBot="1" x14ac:dyDescent="0.3">
      <c r="L32" s="361"/>
      <c r="M32" s="362"/>
      <c r="N32" s="362"/>
      <c r="O32" s="362"/>
      <c r="P32" s="362"/>
      <c r="Q32" s="362"/>
      <c r="R32" s="362"/>
      <c r="S32" s="362"/>
      <c r="T32" s="362"/>
      <c r="U32" s="362"/>
      <c r="V32" s="362"/>
      <c r="W32" s="362"/>
      <c r="X32" s="363"/>
    </row>
    <row r="33" spans="2:26" x14ac:dyDescent="0.25">
      <c r="C33" s="71">
        <f>C1</f>
        <v>46200</v>
      </c>
      <c r="D33" s="71">
        <f>D1</f>
        <v>46207</v>
      </c>
      <c r="E33" s="71">
        <f>E1</f>
        <v>46214</v>
      </c>
      <c r="F33" s="71">
        <f>F1</f>
        <v>46221</v>
      </c>
      <c r="G33" s="71">
        <f>G1</f>
        <v>46228</v>
      </c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2:26" x14ac:dyDescent="0.25">
      <c r="B34" s="73" t="s">
        <v>801</v>
      </c>
      <c r="C34" s="78">
        <f>C11+C12</f>
        <v>188.38</v>
      </c>
      <c r="D34" s="78">
        <f t="shared" ref="D34:G34" si="11">D11+D12</f>
        <v>0</v>
      </c>
      <c r="E34" s="78">
        <f t="shared" si="11"/>
        <v>0</v>
      </c>
      <c r="F34" s="78">
        <f t="shared" si="11"/>
        <v>25.99</v>
      </c>
      <c r="G34" s="78">
        <f t="shared" si="11"/>
        <v>0</v>
      </c>
      <c r="H34" s="142">
        <f t="shared" ref="H34:H41" si="12">SUM(C34:G34)</f>
        <v>214.37</v>
      </c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 spans="2:26" x14ac:dyDescent="0.25">
      <c r="B35" s="73" t="s">
        <v>2</v>
      </c>
      <c r="C35" s="78">
        <f>C6+C14+C20+C22+C23</f>
        <v>36160.590000000004</v>
      </c>
      <c r="D35" s="78">
        <f t="shared" ref="D35:G35" si="13">D6+D14+D20+D22+D23</f>
        <v>44923.6</v>
      </c>
      <c r="E35" s="78">
        <f t="shared" si="13"/>
        <v>40570.57</v>
      </c>
      <c r="F35" s="78">
        <f t="shared" si="13"/>
        <v>36796.759999999995</v>
      </c>
      <c r="G35" s="78">
        <f t="shared" si="13"/>
        <v>0</v>
      </c>
      <c r="H35" s="142">
        <f t="shared" si="12"/>
        <v>158451.52000000002</v>
      </c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 spans="2:26" x14ac:dyDescent="0.25">
      <c r="B36" s="73" t="s">
        <v>829</v>
      </c>
      <c r="C36" s="78">
        <f>C17+C18</f>
        <v>23708.02</v>
      </c>
      <c r="D36" s="78">
        <f t="shared" ref="D36:G36" si="14">D17+D18</f>
        <v>19683.57</v>
      </c>
      <c r="E36" s="78">
        <f t="shared" si="14"/>
        <v>20821.09</v>
      </c>
      <c r="F36" s="78">
        <f t="shared" si="14"/>
        <v>20829.3</v>
      </c>
      <c r="G36" s="78">
        <f t="shared" si="14"/>
        <v>0</v>
      </c>
      <c r="H36" s="142">
        <f t="shared" si="12"/>
        <v>85041.98</v>
      </c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 spans="2:26" x14ac:dyDescent="0.25">
      <c r="B37" s="73" t="s">
        <v>1</v>
      </c>
      <c r="C37" s="78">
        <f>C2+C3+C4+C5+C7+C8+C9+C10+C13+C15+C16+C19+C24+C25+C26+C27+C28+C29+C30</f>
        <v>183660.5</v>
      </c>
      <c r="D37" s="78">
        <f t="shared" ref="D37:G37" si="15">D2+D3+D4+D5+D7+D8+D9+D10+D13+D15+D16+D19+D24+D25+D26+D27+D28+D29+D30</f>
        <v>168240.16999999995</v>
      </c>
      <c r="E37" s="78">
        <f>E2+E3+E4+E5+E7+E8+E9+E10+E13+E15+E16+E19+E24+E25+E26+E27+E28+E29+E30</f>
        <v>157297.75999999995</v>
      </c>
      <c r="F37" s="78">
        <f>F2+F3+F4+F5+F7+F8+F9+F10+F13+F15+F16+F19+F24+F25+F26+F27+F28+F29+F30</f>
        <v>191552.91000000003</v>
      </c>
      <c r="G37" s="78">
        <f t="shared" si="15"/>
        <v>0</v>
      </c>
      <c r="H37" s="142">
        <f t="shared" si="12"/>
        <v>700751.33999999985</v>
      </c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 spans="2:26" x14ac:dyDescent="0.25">
      <c r="B38" s="73"/>
      <c r="C38" s="78">
        <f>SUM(C34:C37)</f>
        <v>243717.49</v>
      </c>
      <c r="D38" s="78">
        <f t="shared" ref="D38:G38" si="16">SUM(D34:D37)</f>
        <v>232847.33999999997</v>
      </c>
      <c r="E38" s="78">
        <f t="shared" si="16"/>
        <v>218689.41999999995</v>
      </c>
      <c r="F38" s="78">
        <f t="shared" si="16"/>
        <v>249204.96000000002</v>
      </c>
      <c r="G38" s="78">
        <f t="shared" si="16"/>
        <v>0</v>
      </c>
      <c r="H38" s="142">
        <f t="shared" si="12"/>
        <v>944459.21</v>
      </c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 spans="2:26" x14ac:dyDescent="0.25">
      <c r="B39" s="73"/>
      <c r="C39" s="78"/>
      <c r="L39"/>
      <c r="M39" s="78"/>
      <c r="N39"/>
      <c r="O39"/>
      <c r="P39"/>
      <c r="Q39"/>
      <c r="R39"/>
      <c r="S39"/>
      <c r="T39"/>
      <c r="U39"/>
      <c r="V39"/>
      <c r="W39"/>
      <c r="X39"/>
    </row>
    <row r="40" spans="2:26" x14ac:dyDescent="0.25">
      <c r="B40" s="73" t="s">
        <v>830</v>
      </c>
      <c r="C40" s="78">
        <f>C36+C5+C25</f>
        <v>45023.270000000004</v>
      </c>
      <c r="D40" s="78">
        <f t="shared" ref="D40:G40" si="17">D36+D5+D25</f>
        <v>43503.12</v>
      </c>
      <c r="E40" s="78">
        <f t="shared" si="17"/>
        <v>43465.58</v>
      </c>
      <c r="F40" s="78">
        <f t="shared" si="17"/>
        <v>44312.99</v>
      </c>
      <c r="G40" s="78">
        <f t="shared" si="17"/>
        <v>0</v>
      </c>
      <c r="H40" s="142">
        <f t="shared" si="12"/>
        <v>176304.96000000002</v>
      </c>
      <c r="I40" s="142"/>
      <c r="J40" s="142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2:26" x14ac:dyDescent="0.25">
      <c r="B41" s="73" t="s">
        <v>807</v>
      </c>
      <c r="C41" s="78">
        <f>C37-C5-C25</f>
        <v>162345.25</v>
      </c>
      <c r="D41" s="78">
        <f t="shared" ref="D41:G41" si="18">D37-D5-D25</f>
        <v>144420.61999999997</v>
      </c>
      <c r="E41" s="78">
        <f t="shared" si="18"/>
        <v>134653.26999999996</v>
      </c>
      <c r="F41" s="78">
        <f t="shared" si="18"/>
        <v>168069.22000000003</v>
      </c>
      <c r="G41" s="78">
        <f t="shared" si="18"/>
        <v>0</v>
      </c>
      <c r="H41" s="142">
        <f t="shared" si="12"/>
        <v>609488.36</v>
      </c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2:26" x14ac:dyDescent="0.25"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2:26" x14ac:dyDescent="0.25"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 spans="2:26" x14ac:dyDescent="0.25">
      <c r="G44" s="78"/>
      <c r="L44"/>
      <c r="M44"/>
      <c r="N44"/>
      <c r="O44"/>
      <c r="P44"/>
      <c r="Q44"/>
      <c r="R44"/>
      <c r="S44"/>
      <c r="T44"/>
      <c r="U44"/>
      <c r="V44"/>
      <c r="W44"/>
      <c r="X44"/>
    </row>
    <row r="45" spans="2:26" x14ac:dyDescent="0.25">
      <c r="L45"/>
      <c r="M45"/>
      <c r="N45"/>
      <c r="O45"/>
      <c r="P45"/>
      <c r="Q45"/>
      <c r="R45"/>
      <c r="S45"/>
      <c r="T45"/>
      <c r="U45"/>
      <c r="V45"/>
      <c r="W45"/>
      <c r="X45"/>
    </row>
    <row r="46" spans="2:26" x14ac:dyDescent="0.25">
      <c r="L46"/>
      <c r="M46"/>
      <c r="N46"/>
      <c r="O46"/>
      <c r="P46"/>
      <c r="Q46"/>
      <c r="R46"/>
      <c r="S46"/>
      <c r="T46"/>
      <c r="U46"/>
      <c r="V46"/>
      <c r="W46"/>
      <c r="X46"/>
    </row>
    <row r="47" spans="2:26" x14ac:dyDescent="0.25"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2:26" x14ac:dyDescent="0.25">
      <c r="L48"/>
      <c r="M48"/>
      <c r="N48"/>
      <c r="O48"/>
      <c r="P48"/>
      <c r="Q48"/>
      <c r="R48"/>
      <c r="S48"/>
      <c r="T48"/>
      <c r="U48"/>
      <c r="V48"/>
      <c r="W48"/>
      <c r="X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</sheetData>
  <mergeCells count="8">
    <mergeCell ref="M28:N28"/>
    <mergeCell ref="M26:N26"/>
    <mergeCell ref="M27:N27"/>
    <mergeCell ref="M15:N15"/>
    <mergeCell ref="M16:N16"/>
    <mergeCell ref="M17:N17"/>
    <mergeCell ref="M18:N18"/>
    <mergeCell ref="M25:N25"/>
  </mergeCells>
  <phoneticPr fontId="11" type="noConversion"/>
  <pageMargins left="0.7" right="0.7" top="0.75" bottom="0.75" header="0.3" footer="0.3"/>
  <pageSetup orientation="portrait" verticalDpi="1200"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0B67-FA43-4239-89E8-5A26F839658B}">
  <dimension ref="B1:BH151"/>
  <sheetViews>
    <sheetView workbookViewId="0">
      <pane xSplit="3" ySplit="1" topLeftCell="AE2" activePane="bottomRight" state="frozen"/>
      <selection pane="topRight" activeCell="D1" sqref="D1"/>
      <selection pane="bottomLeft" activeCell="A2" sqref="A2"/>
      <selection pane="bottomRight" activeCell="AQ123" sqref="AQ123"/>
    </sheetView>
  </sheetViews>
  <sheetFormatPr defaultRowHeight="15" x14ac:dyDescent="0.25"/>
  <cols>
    <col min="2" max="2" width="17.85546875" customWidth="1"/>
    <col min="3" max="3" width="9.140625" style="79"/>
    <col min="4" max="10" width="13.140625" customWidth="1"/>
    <col min="11" max="35" width="12.7109375" customWidth="1"/>
    <col min="36" max="37" width="12.5703125" customWidth="1"/>
    <col min="38" max="39" width="12.7109375" customWidth="1"/>
    <col min="40" max="41" width="12.5703125" customWidth="1"/>
    <col min="42" max="48" width="12.7109375" customWidth="1"/>
    <col min="49" max="53" width="12.5703125" customWidth="1"/>
    <col min="54" max="55" width="12.5703125" bestFit="1" customWidth="1"/>
  </cols>
  <sheetData>
    <row r="1" spans="2:60" x14ac:dyDescent="0.25">
      <c r="D1" s="275">
        <v>45955</v>
      </c>
      <c r="E1" s="276">
        <f t="shared" ref="E1:BC1" si="0">D1+7</f>
        <v>45962</v>
      </c>
      <c r="F1" s="276">
        <f t="shared" si="0"/>
        <v>45969</v>
      </c>
      <c r="G1" s="276">
        <f t="shared" si="0"/>
        <v>45976</v>
      </c>
      <c r="H1" s="277">
        <f t="shared" si="0"/>
        <v>45983</v>
      </c>
      <c r="I1" s="278">
        <f t="shared" si="0"/>
        <v>45990</v>
      </c>
      <c r="J1" s="278">
        <f t="shared" si="0"/>
        <v>45997</v>
      </c>
      <c r="K1" s="278">
        <f t="shared" si="0"/>
        <v>46004</v>
      </c>
      <c r="L1" s="278">
        <f t="shared" si="0"/>
        <v>46011</v>
      </c>
      <c r="M1" s="275">
        <f t="shared" si="0"/>
        <v>46018</v>
      </c>
      <c r="N1" s="276">
        <f t="shared" si="0"/>
        <v>46025</v>
      </c>
      <c r="O1" s="276">
        <f t="shared" si="0"/>
        <v>46032</v>
      </c>
      <c r="P1" s="278">
        <f t="shared" si="0"/>
        <v>46039</v>
      </c>
      <c r="Q1" s="275">
        <f t="shared" si="0"/>
        <v>46046</v>
      </c>
      <c r="R1" s="276">
        <f t="shared" si="0"/>
        <v>46053</v>
      </c>
      <c r="S1" s="276">
        <f t="shared" si="0"/>
        <v>46060</v>
      </c>
      <c r="T1" s="276">
        <f t="shared" si="0"/>
        <v>46067</v>
      </c>
      <c r="U1" s="278">
        <f t="shared" si="0"/>
        <v>46074</v>
      </c>
      <c r="V1" s="275">
        <f t="shared" si="0"/>
        <v>46081</v>
      </c>
      <c r="W1" s="276">
        <f t="shared" si="0"/>
        <v>46088</v>
      </c>
      <c r="X1" s="278">
        <f t="shared" si="0"/>
        <v>46095</v>
      </c>
      <c r="Y1" s="276">
        <f t="shared" si="0"/>
        <v>46102</v>
      </c>
      <c r="Z1" s="275">
        <f t="shared" si="0"/>
        <v>46109</v>
      </c>
      <c r="AA1" s="276">
        <f t="shared" si="0"/>
        <v>46116</v>
      </c>
      <c r="AB1" s="276">
        <f t="shared" si="0"/>
        <v>46123</v>
      </c>
      <c r="AC1" s="277">
        <f t="shared" si="0"/>
        <v>46130</v>
      </c>
      <c r="AD1" s="275">
        <f t="shared" si="0"/>
        <v>46137</v>
      </c>
      <c r="AE1" s="276">
        <f t="shared" si="0"/>
        <v>46144</v>
      </c>
      <c r="AF1" s="276">
        <f t="shared" si="0"/>
        <v>46151</v>
      </c>
      <c r="AG1" s="276">
        <f t="shared" si="0"/>
        <v>46158</v>
      </c>
      <c r="AH1" s="278">
        <f t="shared" si="0"/>
        <v>46165</v>
      </c>
      <c r="AI1" s="275">
        <f t="shared" si="0"/>
        <v>46172</v>
      </c>
      <c r="AJ1" s="276">
        <f t="shared" si="0"/>
        <v>46179</v>
      </c>
      <c r="AK1" s="276">
        <f t="shared" si="0"/>
        <v>46186</v>
      </c>
      <c r="AL1" s="278">
        <f t="shared" si="0"/>
        <v>46193</v>
      </c>
      <c r="AM1" s="275">
        <f t="shared" si="0"/>
        <v>46200</v>
      </c>
      <c r="AN1" s="278">
        <f t="shared" si="0"/>
        <v>46207</v>
      </c>
      <c r="AO1" s="278">
        <f t="shared" si="0"/>
        <v>46214</v>
      </c>
      <c r="AP1" s="278">
        <f t="shared" si="0"/>
        <v>46221</v>
      </c>
      <c r="AQ1" s="275">
        <f t="shared" si="0"/>
        <v>46228</v>
      </c>
      <c r="AR1" s="276">
        <f t="shared" si="0"/>
        <v>46235</v>
      </c>
      <c r="AS1" s="276">
        <f t="shared" si="0"/>
        <v>46242</v>
      </c>
      <c r="AT1" s="276">
        <f t="shared" si="0"/>
        <v>46249</v>
      </c>
      <c r="AU1" s="278">
        <f t="shared" si="0"/>
        <v>46256</v>
      </c>
      <c r="AV1" s="275">
        <f t="shared" si="0"/>
        <v>46263</v>
      </c>
      <c r="AW1" s="278">
        <f t="shared" si="0"/>
        <v>46270</v>
      </c>
      <c r="AX1" s="278">
        <f t="shared" si="0"/>
        <v>46277</v>
      </c>
      <c r="AY1" s="278">
        <f t="shared" si="0"/>
        <v>46284</v>
      </c>
      <c r="AZ1" s="278">
        <f t="shared" si="0"/>
        <v>46291</v>
      </c>
      <c r="BA1" s="278">
        <f t="shared" si="0"/>
        <v>46298</v>
      </c>
      <c r="BB1" s="278">
        <f t="shared" si="0"/>
        <v>46305</v>
      </c>
      <c r="BC1" s="278">
        <f t="shared" si="0"/>
        <v>46312</v>
      </c>
      <c r="BD1" s="278"/>
      <c r="BE1" s="278"/>
      <c r="BF1" s="278"/>
      <c r="BG1" s="278"/>
      <c r="BH1" s="278"/>
    </row>
    <row r="2" spans="2:60" x14ac:dyDescent="0.25">
      <c r="B2" t="s">
        <v>775</v>
      </c>
      <c r="C2" s="79" t="s">
        <v>774</v>
      </c>
      <c r="D2" s="279">
        <v>70203.59</v>
      </c>
      <c r="E2" s="147">
        <v>62143.24</v>
      </c>
      <c r="F2" s="147">
        <v>73890.710000000006</v>
      </c>
      <c r="G2" s="147">
        <v>55186.01</v>
      </c>
      <c r="H2" s="280">
        <v>61716.23</v>
      </c>
      <c r="I2" s="142">
        <v>67699.039999999994</v>
      </c>
      <c r="J2" s="142">
        <v>69730.820000000007</v>
      </c>
      <c r="K2" s="142">
        <v>67906.759999999995</v>
      </c>
      <c r="L2" s="142">
        <v>66797.95</v>
      </c>
      <c r="M2" s="279">
        <v>37659.32</v>
      </c>
      <c r="N2" s="147">
        <v>39334.629999999997</v>
      </c>
      <c r="O2" s="147">
        <v>55832.3</v>
      </c>
      <c r="P2" s="142">
        <v>65943.149999999994</v>
      </c>
      <c r="Q2" s="279">
        <v>55841.78</v>
      </c>
      <c r="R2" s="147">
        <v>55213.84</v>
      </c>
      <c r="S2" s="147">
        <v>52795.54</v>
      </c>
      <c r="T2" s="147">
        <v>49787.61</v>
      </c>
      <c r="U2" s="142">
        <v>47824.85</v>
      </c>
      <c r="V2" s="279">
        <v>50355.73</v>
      </c>
      <c r="W2" s="147">
        <v>88336.09</v>
      </c>
      <c r="X2" s="142">
        <v>53886.84</v>
      </c>
      <c r="Y2" s="147">
        <v>52095.56</v>
      </c>
      <c r="Z2" s="279">
        <v>61686.239999999998</v>
      </c>
      <c r="AA2" s="147">
        <v>49589.26</v>
      </c>
      <c r="AB2" s="147">
        <v>49751.45</v>
      </c>
      <c r="AC2" s="280">
        <v>57466.45</v>
      </c>
      <c r="AD2" s="279">
        <v>53875.02</v>
      </c>
      <c r="AE2" s="142">
        <v>54118.18</v>
      </c>
      <c r="AF2" s="142">
        <v>61970.93</v>
      </c>
      <c r="AG2" s="142">
        <v>56711.8</v>
      </c>
      <c r="AH2" s="142">
        <v>49575.82</v>
      </c>
      <c r="AI2" s="279">
        <v>58226.77</v>
      </c>
      <c r="AJ2" s="147">
        <v>59283.3</v>
      </c>
      <c r="AK2" s="147">
        <v>78106.789999999994</v>
      </c>
      <c r="AL2" s="142">
        <v>95096.75</v>
      </c>
      <c r="AM2" s="279">
        <v>61587.12</v>
      </c>
      <c r="AN2" s="147">
        <v>61593.55</v>
      </c>
      <c r="AO2" s="147">
        <v>52037.96</v>
      </c>
      <c r="AP2" s="142">
        <v>81126.649999999994</v>
      </c>
      <c r="AQ2" s="279"/>
      <c r="AR2" s="147"/>
      <c r="AS2" s="147"/>
      <c r="AT2" s="147"/>
      <c r="AU2" s="142"/>
      <c r="AV2" s="279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</row>
    <row r="3" spans="2:60" x14ac:dyDescent="0.25">
      <c r="B3" t="s">
        <v>779</v>
      </c>
      <c r="C3" s="79" t="s">
        <v>778</v>
      </c>
      <c r="D3" s="279">
        <v>7634.13</v>
      </c>
      <c r="E3" s="147">
        <v>8502.56</v>
      </c>
      <c r="F3" s="147">
        <v>7491.02</v>
      </c>
      <c r="G3" s="147">
        <v>6422.35</v>
      </c>
      <c r="H3" s="280">
        <v>9327.32</v>
      </c>
      <c r="I3" s="142">
        <v>7204.04</v>
      </c>
      <c r="J3" s="142">
        <v>8584.6200000000008</v>
      </c>
      <c r="K3" s="142">
        <v>8143.2</v>
      </c>
      <c r="L3" s="142">
        <v>8096.63</v>
      </c>
      <c r="M3" s="279">
        <v>5217.3100000000004</v>
      </c>
      <c r="N3" s="147">
        <v>4520.37</v>
      </c>
      <c r="O3" s="147">
        <v>6911.53</v>
      </c>
      <c r="P3" s="142">
        <v>9713.24</v>
      </c>
      <c r="Q3" s="279">
        <v>6795.22</v>
      </c>
      <c r="R3" s="147">
        <v>8352.8700000000008</v>
      </c>
      <c r="S3" s="147">
        <v>8524.81</v>
      </c>
      <c r="T3" s="147">
        <v>10751.11</v>
      </c>
      <c r="U3" s="142">
        <v>5588.17</v>
      </c>
      <c r="V3" s="279">
        <v>8074.23</v>
      </c>
      <c r="W3" s="147">
        <v>8238.58</v>
      </c>
      <c r="X3" s="142">
        <v>8001.21</v>
      </c>
      <c r="Y3" s="147">
        <v>8389.19</v>
      </c>
      <c r="Z3" s="279">
        <v>8364.3799999999992</v>
      </c>
      <c r="AA3" s="147">
        <v>5380.85</v>
      </c>
      <c r="AB3" s="147">
        <v>6109.01</v>
      </c>
      <c r="AC3" s="280">
        <v>8444.73</v>
      </c>
      <c r="AD3" s="279">
        <v>7126.97</v>
      </c>
      <c r="AE3" s="142">
        <v>9762.94</v>
      </c>
      <c r="AF3" s="142">
        <v>10211.299999999999</v>
      </c>
      <c r="AG3" s="142">
        <v>9995.2999999999993</v>
      </c>
      <c r="AH3" s="142">
        <v>8720.76</v>
      </c>
      <c r="AI3" s="279">
        <v>9466.2800000000007</v>
      </c>
      <c r="AJ3" s="147">
        <v>8713.8700000000008</v>
      </c>
      <c r="AK3" s="147">
        <v>10209.219999999999</v>
      </c>
      <c r="AL3" s="142">
        <v>10077.76</v>
      </c>
      <c r="AM3" s="279">
        <v>11330.6</v>
      </c>
      <c r="AN3" s="147">
        <v>7687.72</v>
      </c>
      <c r="AO3" s="147">
        <v>9611.16</v>
      </c>
      <c r="AP3" s="142">
        <v>12022.38</v>
      </c>
      <c r="AQ3" s="279"/>
      <c r="AR3" s="147"/>
      <c r="AS3" s="147"/>
      <c r="AT3" s="147"/>
      <c r="AU3" s="142"/>
      <c r="AV3" s="279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</row>
    <row r="4" spans="2:60" x14ac:dyDescent="0.25">
      <c r="B4" t="s">
        <v>782</v>
      </c>
      <c r="C4" s="79" t="s">
        <v>781</v>
      </c>
      <c r="D4" s="279">
        <v>1843.78</v>
      </c>
      <c r="E4" s="147">
        <v>5550.92</v>
      </c>
      <c r="F4" s="147">
        <v>2053.64</v>
      </c>
      <c r="G4" s="147">
        <v>2267.37</v>
      </c>
      <c r="H4" s="280">
        <v>1675.55</v>
      </c>
      <c r="I4" s="142">
        <v>1825.48</v>
      </c>
      <c r="J4" s="142">
        <v>1919.05</v>
      </c>
      <c r="K4" s="142">
        <v>2111.09</v>
      </c>
      <c r="L4" s="142">
        <v>1971.52</v>
      </c>
      <c r="M4" s="279">
        <v>1326.75</v>
      </c>
      <c r="N4" s="147">
        <v>1429.64</v>
      </c>
      <c r="O4" s="147">
        <v>2415.9699999999998</v>
      </c>
      <c r="P4" s="142">
        <v>2281.6</v>
      </c>
      <c r="Q4" s="279">
        <v>1697.88</v>
      </c>
      <c r="R4" s="147">
        <v>2092.66</v>
      </c>
      <c r="S4" s="147">
        <v>2331.9</v>
      </c>
      <c r="T4" s="147">
        <v>3014.86</v>
      </c>
      <c r="U4" s="142">
        <v>1536.14</v>
      </c>
      <c r="V4" s="279">
        <v>1548.42</v>
      </c>
      <c r="W4" s="147">
        <v>2224.2399999999998</v>
      </c>
      <c r="X4" s="142">
        <v>1552.42</v>
      </c>
      <c r="Y4" s="147">
        <v>1783.64</v>
      </c>
      <c r="Z4" s="279">
        <v>1535.92</v>
      </c>
      <c r="AA4" s="147">
        <v>1577.1</v>
      </c>
      <c r="AB4" s="147">
        <v>2515.02</v>
      </c>
      <c r="AC4" s="280">
        <v>1640.08</v>
      </c>
      <c r="AD4" s="279">
        <v>1882.98</v>
      </c>
      <c r="AE4" s="142">
        <v>1760.17</v>
      </c>
      <c r="AF4" s="142">
        <v>1959.54</v>
      </c>
      <c r="AG4" s="142">
        <v>1964.28</v>
      </c>
      <c r="AH4" s="142">
        <v>1440.72</v>
      </c>
      <c r="AI4" s="279">
        <v>4154.12</v>
      </c>
      <c r="AJ4" s="147">
        <v>2113.31</v>
      </c>
      <c r="AK4" s="147">
        <v>1803.84</v>
      </c>
      <c r="AL4" s="142">
        <v>1939.16</v>
      </c>
      <c r="AM4" s="279">
        <v>2802.19</v>
      </c>
      <c r="AN4" s="147">
        <v>1484.77</v>
      </c>
      <c r="AO4" s="147">
        <v>3251.61</v>
      </c>
      <c r="AP4" s="142">
        <v>2019.42</v>
      </c>
      <c r="AQ4" s="279"/>
      <c r="AR4" s="147"/>
      <c r="AS4" s="147"/>
      <c r="AT4" s="147"/>
      <c r="AU4" s="142"/>
      <c r="AV4" s="279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</row>
    <row r="5" spans="2:60" x14ac:dyDescent="0.25">
      <c r="B5" t="s">
        <v>785</v>
      </c>
      <c r="C5" s="79" t="s">
        <v>784</v>
      </c>
      <c r="D5" s="279">
        <v>12838.39</v>
      </c>
      <c r="E5" s="147">
        <v>13441.41</v>
      </c>
      <c r="F5" s="147">
        <v>12225.48</v>
      </c>
      <c r="G5" s="147">
        <v>11803.92</v>
      </c>
      <c r="H5" s="280">
        <v>16918.29</v>
      </c>
      <c r="I5" s="142">
        <v>14443.11</v>
      </c>
      <c r="J5" s="142">
        <v>13303.11</v>
      </c>
      <c r="K5" s="142">
        <v>13230.67</v>
      </c>
      <c r="L5" s="142">
        <v>14790.69</v>
      </c>
      <c r="M5" s="279">
        <v>10021.42</v>
      </c>
      <c r="N5" s="147">
        <v>10700.61</v>
      </c>
      <c r="O5" s="147">
        <v>14172.21</v>
      </c>
      <c r="P5" s="142">
        <v>14794.45</v>
      </c>
      <c r="Q5" s="279">
        <v>12358.44</v>
      </c>
      <c r="R5" s="147">
        <v>13795.73</v>
      </c>
      <c r="S5" s="147">
        <v>13896.96</v>
      </c>
      <c r="T5" s="147">
        <v>13869.21</v>
      </c>
      <c r="U5" s="142">
        <v>11653.92</v>
      </c>
      <c r="V5" s="279">
        <v>13581.77</v>
      </c>
      <c r="W5" s="147">
        <v>12596.32</v>
      </c>
      <c r="X5" s="142">
        <v>13608.44</v>
      </c>
      <c r="Y5" s="147">
        <v>10882.77</v>
      </c>
      <c r="Z5" s="279">
        <v>14670.55</v>
      </c>
      <c r="AA5" s="147">
        <v>13801.96</v>
      </c>
      <c r="AB5" s="147">
        <v>11532.71</v>
      </c>
      <c r="AC5" s="280">
        <v>13203.34</v>
      </c>
      <c r="AD5" s="279">
        <v>13788.96</v>
      </c>
      <c r="AE5" s="142">
        <v>14170.21</v>
      </c>
      <c r="AF5" s="142">
        <v>13911.45</v>
      </c>
      <c r="AG5" s="142">
        <v>13835.41</v>
      </c>
      <c r="AH5" s="142">
        <v>13275</v>
      </c>
      <c r="AI5" s="279">
        <v>12377.11</v>
      </c>
      <c r="AJ5" s="147">
        <v>13015.3</v>
      </c>
      <c r="AK5" s="147">
        <v>13882.59</v>
      </c>
      <c r="AL5" s="142">
        <v>14942.18</v>
      </c>
      <c r="AM5" s="279">
        <v>11640.91</v>
      </c>
      <c r="AN5" s="147">
        <v>13672.65</v>
      </c>
      <c r="AO5" s="147">
        <v>13021.19</v>
      </c>
      <c r="AP5" s="142">
        <v>13466.91</v>
      </c>
      <c r="AQ5" s="279"/>
      <c r="AR5" s="147"/>
      <c r="AS5" s="147"/>
      <c r="AT5" s="147"/>
      <c r="AU5" s="142"/>
      <c r="AV5" s="279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</row>
    <row r="6" spans="2:60" x14ac:dyDescent="0.25">
      <c r="B6" t="s">
        <v>787</v>
      </c>
      <c r="C6" s="79" t="s">
        <v>786</v>
      </c>
      <c r="D6" s="279">
        <v>26251.53</v>
      </c>
      <c r="E6" s="147">
        <v>28304.39</v>
      </c>
      <c r="F6" s="147">
        <v>37664.519999999997</v>
      </c>
      <c r="G6" s="147">
        <v>28083.279999999999</v>
      </c>
      <c r="H6" s="280">
        <v>43665.15</v>
      </c>
      <c r="I6" s="142">
        <v>34915.360000000001</v>
      </c>
      <c r="J6" s="142">
        <v>23282.82</v>
      </c>
      <c r="K6" s="142">
        <v>35126.730000000003</v>
      </c>
      <c r="L6" s="142">
        <v>42697.41</v>
      </c>
      <c r="M6" s="279">
        <v>24252.22</v>
      </c>
      <c r="N6" s="147">
        <v>15636.19</v>
      </c>
      <c r="O6" s="147">
        <v>19716.669999999998</v>
      </c>
      <c r="P6" s="142">
        <v>28006.080000000002</v>
      </c>
      <c r="Q6" s="279">
        <v>36430.75</v>
      </c>
      <c r="R6" s="147">
        <v>30609.65</v>
      </c>
      <c r="S6" s="147">
        <v>21347.94</v>
      </c>
      <c r="T6" s="147">
        <v>21544.76</v>
      </c>
      <c r="U6" s="142">
        <v>28890.83</v>
      </c>
      <c r="V6" s="279">
        <v>31694.06</v>
      </c>
      <c r="W6" s="147">
        <v>28647.119999999999</v>
      </c>
      <c r="X6" s="142">
        <v>24823.18</v>
      </c>
      <c r="Y6" s="147">
        <v>28268.97</v>
      </c>
      <c r="Z6" s="279">
        <v>21244.16</v>
      </c>
      <c r="AA6" s="147">
        <v>25479.31</v>
      </c>
      <c r="AB6" s="147">
        <v>95599.2</v>
      </c>
      <c r="AC6" s="280">
        <v>31838.42</v>
      </c>
      <c r="AD6" s="279">
        <v>36945.33</v>
      </c>
      <c r="AE6" s="142">
        <v>23841.47</v>
      </c>
      <c r="AF6" s="142">
        <v>23619.8</v>
      </c>
      <c r="AG6" s="142">
        <v>26927.57</v>
      </c>
      <c r="AH6" s="142">
        <v>29406.76</v>
      </c>
      <c r="AI6" s="279">
        <v>23030.35</v>
      </c>
      <c r="AJ6" s="147">
        <v>27131.11</v>
      </c>
      <c r="AK6" s="147">
        <v>34787.26</v>
      </c>
      <c r="AL6" s="142">
        <v>37242.11</v>
      </c>
      <c r="AM6" s="279">
        <v>21594.15</v>
      </c>
      <c r="AN6" s="147">
        <v>30150.59</v>
      </c>
      <c r="AO6" s="147">
        <v>23320.38</v>
      </c>
      <c r="AP6" s="142">
        <v>24481.64</v>
      </c>
      <c r="AQ6" s="279"/>
      <c r="AR6" s="147"/>
      <c r="AS6" s="147"/>
      <c r="AT6" s="147"/>
      <c r="AU6" s="142"/>
      <c r="AV6" s="279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</row>
    <row r="7" spans="2:60" x14ac:dyDescent="0.25">
      <c r="B7" t="s">
        <v>790</v>
      </c>
      <c r="C7" s="79" t="s">
        <v>789</v>
      </c>
      <c r="D7" s="279">
        <v>2326.5300000000002</v>
      </c>
      <c r="E7" s="147">
        <v>1793.26</v>
      </c>
      <c r="F7" s="147">
        <v>2098.3000000000002</v>
      </c>
      <c r="G7" s="147">
        <v>2141.98</v>
      </c>
      <c r="H7" s="280">
        <v>3309.16</v>
      </c>
      <c r="I7" s="142">
        <v>5284.79</v>
      </c>
      <c r="J7" s="142">
        <v>3613.23</v>
      </c>
      <c r="K7" s="142">
        <v>3624.58</v>
      </c>
      <c r="L7" s="142">
        <v>4075.9</v>
      </c>
      <c r="M7" s="279">
        <v>2479.1</v>
      </c>
      <c r="N7" s="147">
        <v>2671.25</v>
      </c>
      <c r="O7" s="147">
        <v>2927.46</v>
      </c>
      <c r="P7" s="142">
        <v>3764.01</v>
      </c>
      <c r="Q7" s="279">
        <v>1868.24</v>
      </c>
      <c r="R7" s="147">
        <v>1994.47</v>
      </c>
      <c r="S7" s="147">
        <v>2127.08</v>
      </c>
      <c r="T7" s="147">
        <v>2372.3000000000002</v>
      </c>
      <c r="U7" s="142">
        <v>2354.54</v>
      </c>
      <c r="V7" s="279">
        <v>1812.06</v>
      </c>
      <c r="W7" s="147">
        <v>1885.01</v>
      </c>
      <c r="X7" s="142">
        <v>1991.02</v>
      </c>
      <c r="Y7" s="147">
        <v>1887.22</v>
      </c>
      <c r="Z7" s="279">
        <v>2241.33</v>
      </c>
      <c r="AA7" s="147">
        <v>1400.84</v>
      </c>
      <c r="AB7" s="147">
        <v>1822.84</v>
      </c>
      <c r="AC7" s="280">
        <v>2655.07</v>
      </c>
      <c r="AD7" s="279">
        <v>1673.05</v>
      </c>
      <c r="AE7" s="142">
        <v>1758.87</v>
      </c>
      <c r="AF7" s="142">
        <v>2219.91</v>
      </c>
      <c r="AG7" s="142">
        <v>1765.11</v>
      </c>
      <c r="AH7" s="142">
        <v>1355.13</v>
      </c>
      <c r="AI7" s="279">
        <v>1540.93</v>
      </c>
      <c r="AJ7" s="147">
        <v>2130.29</v>
      </c>
      <c r="AK7" s="147">
        <v>1655.98</v>
      </c>
      <c r="AL7" s="142">
        <v>2042.97</v>
      </c>
      <c r="AM7" s="279">
        <v>2348.33</v>
      </c>
      <c r="AN7" s="147">
        <v>1853.6</v>
      </c>
      <c r="AO7" s="147">
        <v>1496.16</v>
      </c>
      <c r="AP7" s="142">
        <v>1413.76</v>
      </c>
      <c r="AQ7" s="279"/>
      <c r="AR7" s="147"/>
      <c r="AS7" s="147"/>
      <c r="AT7" s="147"/>
      <c r="AU7" s="142"/>
      <c r="AV7" s="279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</row>
    <row r="8" spans="2:60" x14ac:dyDescent="0.25">
      <c r="B8" t="s">
        <v>793</v>
      </c>
      <c r="C8" s="79" t="s">
        <v>792</v>
      </c>
      <c r="D8" s="279">
        <v>1517.11</v>
      </c>
      <c r="E8" s="147">
        <v>1116.79</v>
      </c>
      <c r="F8" s="147">
        <v>1138.1600000000001</v>
      </c>
      <c r="G8" s="147">
        <v>1536.11</v>
      </c>
      <c r="H8" s="280">
        <v>1204.0899999999999</v>
      </c>
      <c r="I8" s="142">
        <v>1732.22</v>
      </c>
      <c r="J8" s="142">
        <v>1154.03</v>
      </c>
      <c r="K8" s="142">
        <v>1258.17</v>
      </c>
      <c r="L8" s="142">
        <v>1547.16</v>
      </c>
      <c r="M8" s="279">
        <v>988.23</v>
      </c>
      <c r="N8" s="147">
        <v>496.37</v>
      </c>
      <c r="O8" s="147">
        <v>942.57</v>
      </c>
      <c r="P8" s="142">
        <v>1591.16</v>
      </c>
      <c r="Q8" s="279">
        <v>727.6</v>
      </c>
      <c r="R8" s="147">
        <v>846.96</v>
      </c>
      <c r="S8" s="147">
        <v>1836.95</v>
      </c>
      <c r="T8" s="147">
        <v>867.02</v>
      </c>
      <c r="U8" s="142">
        <v>808.54</v>
      </c>
      <c r="V8" s="279">
        <v>896.72</v>
      </c>
      <c r="W8" s="147">
        <v>1692.77</v>
      </c>
      <c r="X8" s="142">
        <v>1448.84</v>
      </c>
      <c r="Y8" s="147">
        <v>1389.76</v>
      </c>
      <c r="Z8" s="279">
        <v>804.33</v>
      </c>
      <c r="AA8" s="147">
        <v>850.41</v>
      </c>
      <c r="AB8" s="147">
        <v>1228.21</v>
      </c>
      <c r="AC8" s="280">
        <v>854.73</v>
      </c>
      <c r="AD8" s="279">
        <v>1103.68</v>
      </c>
      <c r="AE8" s="142">
        <v>1126.44</v>
      </c>
      <c r="AF8" s="142">
        <v>1834.92</v>
      </c>
      <c r="AG8" s="142">
        <v>936.16</v>
      </c>
      <c r="AH8" s="142">
        <v>2370.62</v>
      </c>
      <c r="AI8" s="279">
        <v>831.72</v>
      </c>
      <c r="AJ8" s="147">
        <v>1323.85</v>
      </c>
      <c r="AK8" s="147">
        <v>1362.2</v>
      </c>
      <c r="AL8" s="142">
        <v>4443.42</v>
      </c>
      <c r="AM8" s="279">
        <v>1426.91</v>
      </c>
      <c r="AN8" s="147">
        <v>1526.2</v>
      </c>
      <c r="AO8" s="147">
        <v>1458.93</v>
      </c>
      <c r="AP8" s="142">
        <v>879.03</v>
      </c>
      <c r="AQ8" s="279"/>
      <c r="AR8" s="147"/>
      <c r="AS8" s="147"/>
      <c r="AT8" s="147"/>
      <c r="AU8" s="142"/>
      <c r="AV8" s="279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</row>
    <row r="9" spans="2:60" x14ac:dyDescent="0.25">
      <c r="B9" t="s">
        <v>796</v>
      </c>
      <c r="C9" s="79" t="s">
        <v>795</v>
      </c>
      <c r="D9" s="279">
        <v>29061.1</v>
      </c>
      <c r="E9" s="147">
        <v>29808.15</v>
      </c>
      <c r="F9" s="147">
        <v>24244.47</v>
      </c>
      <c r="G9" s="147">
        <v>24415.57</v>
      </c>
      <c r="H9" s="280">
        <v>25912.29</v>
      </c>
      <c r="I9" s="142">
        <v>26907.83</v>
      </c>
      <c r="J9" s="142">
        <v>25822.14</v>
      </c>
      <c r="K9" s="142">
        <v>30557.45</v>
      </c>
      <c r="L9" s="142">
        <v>20879.46</v>
      </c>
      <c r="M9" s="279">
        <v>17296.150000000001</v>
      </c>
      <c r="N9" s="147">
        <v>21371.97</v>
      </c>
      <c r="O9" s="147">
        <v>28659.8</v>
      </c>
      <c r="P9" s="142">
        <v>26718.54</v>
      </c>
      <c r="Q9" s="279">
        <v>24887.919999999998</v>
      </c>
      <c r="R9" s="147">
        <v>32200.7</v>
      </c>
      <c r="S9" s="147">
        <v>24854.959999999999</v>
      </c>
      <c r="T9" s="147">
        <v>26822.720000000001</v>
      </c>
      <c r="U9" s="142">
        <v>151014.28</v>
      </c>
      <c r="V9" s="279">
        <v>28896.799999999999</v>
      </c>
      <c r="W9" s="147">
        <v>24593.32</v>
      </c>
      <c r="X9" s="142">
        <v>24374.65</v>
      </c>
      <c r="Y9" s="147">
        <v>30418.62</v>
      </c>
      <c r="Z9" s="279">
        <v>23989.1</v>
      </c>
      <c r="AA9" s="147">
        <v>26072.560000000001</v>
      </c>
      <c r="AB9" s="147">
        <v>33304.68</v>
      </c>
      <c r="AC9" s="280">
        <v>25065.81</v>
      </c>
      <c r="AD9" s="279">
        <v>32504.47</v>
      </c>
      <c r="AE9" s="142">
        <v>31998.61</v>
      </c>
      <c r="AF9" s="142">
        <v>31456.94</v>
      </c>
      <c r="AG9" s="142">
        <v>32144.2</v>
      </c>
      <c r="AH9" s="142">
        <v>28738</v>
      </c>
      <c r="AI9" s="279">
        <v>29818.98</v>
      </c>
      <c r="AJ9" s="147">
        <v>27076.63</v>
      </c>
      <c r="AK9" s="147">
        <v>50942.18</v>
      </c>
      <c r="AL9" s="142">
        <v>31796.02</v>
      </c>
      <c r="AM9" s="279">
        <v>28945.13</v>
      </c>
      <c r="AN9" s="147">
        <v>33229.1</v>
      </c>
      <c r="AO9" s="147">
        <v>26590.76</v>
      </c>
      <c r="AP9" s="142">
        <v>28389.85</v>
      </c>
      <c r="AQ9" s="279"/>
      <c r="AR9" s="147"/>
      <c r="AS9" s="147"/>
      <c r="AT9" s="147"/>
      <c r="AU9" s="142"/>
      <c r="AV9" s="279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</row>
    <row r="10" spans="2:60" x14ac:dyDescent="0.25">
      <c r="B10" t="s">
        <v>798</v>
      </c>
      <c r="C10" s="79">
        <v>14</v>
      </c>
      <c r="D10" s="279">
        <v>20657.04</v>
      </c>
      <c r="E10" s="147">
        <v>28169.14</v>
      </c>
      <c r="F10" s="147">
        <v>9798.9500000000007</v>
      </c>
      <c r="G10" s="147">
        <v>8753.23</v>
      </c>
      <c r="H10" s="280">
        <v>12100.25</v>
      </c>
      <c r="I10" s="142">
        <v>11815.41</v>
      </c>
      <c r="J10" s="142">
        <v>15543.18</v>
      </c>
      <c r="K10" s="142">
        <v>13587.04</v>
      </c>
      <c r="L10" s="142">
        <v>14466.02</v>
      </c>
      <c r="M10" s="279">
        <v>9476.57</v>
      </c>
      <c r="N10" s="147">
        <v>8587.58</v>
      </c>
      <c r="O10" s="147">
        <v>17514.5</v>
      </c>
      <c r="P10" s="142">
        <v>11218.77</v>
      </c>
      <c r="Q10" s="279">
        <v>9272.74</v>
      </c>
      <c r="R10" s="147">
        <v>8629.67</v>
      </c>
      <c r="S10" s="147">
        <v>9884.5499999999993</v>
      </c>
      <c r="T10" s="147">
        <v>12573.32</v>
      </c>
      <c r="U10" s="142">
        <v>7749.63</v>
      </c>
      <c r="V10" s="279">
        <v>10860.78</v>
      </c>
      <c r="W10" s="147">
        <v>11294.29</v>
      </c>
      <c r="X10" s="142">
        <v>10541.69</v>
      </c>
      <c r="Y10" s="147">
        <v>14493.49</v>
      </c>
      <c r="Z10" s="279">
        <v>10774.97</v>
      </c>
      <c r="AA10" s="147">
        <v>13192.1</v>
      </c>
      <c r="AB10" s="147">
        <v>13442.87</v>
      </c>
      <c r="AC10" s="280">
        <v>8774.64</v>
      </c>
      <c r="AD10" s="279">
        <v>11300.28</v>
      </c>
      <c r="AE10" s="142">
        <v>10847.34</v>
      </c>
      <c r="AF10" s="142">
        <v>11551.25</v>
      </c>
      <c r="AG10" s="142">
        <v>14946.7</v>
      </c>
      <c r="AH10" s="142">
        <v>10274.969999999999</v>
      </c>
      <c r="AI10" s="279">
        <v>12414.04</v>
      </c>
      <c r="AJ10" s="147">
        <v>21157.57</v>
      </c>
      <c r="AK10" s="147">
        <v>13562.7</v>
      </c>
      <c r="AL10" s="142">
        <v>12074.74</v>
      </c>
      <c r="AM10" s="279">
        <v>26065</v>
      </c>
      <c r="AN10" s="147">
        <v>9365.85</v>
      </c>
      <c r="AO10" s="147">
        <v>9940.3700000000008</v>
      </c>
      <c r="AP10" s="142">
        <v>10947.67</v>
      </c>
      <c r="AQ10" s="279"/>
      <c r="AR10" s="147"/>
      <c r="AS10" s="147"/>
      <c r="AT10" s="147"/>
      <c r="AU10" s="142"/>
      <c r="AV10" s="279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</row>
    <row r="11" spans="2:60" x14ac:dyDescent="0.25">
      <c r="B11" t="s">
        <v>800</v>
      </c>
      <c r="C11" s="79" t="s">
        <v>799</v>
      </c>
      <c r="D11" s="279">
        <v>370.27</v>
      </c>
      <c r="E11" s="147">
        <v>0</v>
      </c>
      <c r="F11" s="147">
        <v>290.58</v>
      </c>
      <c r="G11" s="147">
        <v>0</v>
      </c>
      <c r="H11" s="280">
        <v>0</v>
      </c>
      <c r="I11" s="142">
        <v>0</v>
      </c>
      <c r="J11" s="142">
        <v>169.29</v>
      </c>
      <c r="K11" s="142">
        <v>71.89</v>
      </c>
      <c r="L11" s="142">
        <v>0</v>
      </c>
      <c r="M11" s="279">
        <v>0</v>
      </c>
      <c r="N11" s="147">
        <v>0</v>
      </c>
      <c r="O11" s="147">
        <v>0</v>
      </c>
      <c r="P11" s="142">
        <v>0</v>
      </c>
      <c r="Q11" s="279">
        <v>0</v>
      </c>
      <c r="R11" s="147">
        <v>196.49</v>
      </c>
      <c r="S11" s="147">
        <v>0</v>
      </c>
      <c r="T11" s="147">
        <v>0</v>
      </c>
      <c r="U11" s="142">
        <v>0</v>
      </c>
      <c r="V11" s="279">
        <v>0</v>
      </c>
      <c r="W11" s="147">
        <v>0</v>
      </c>
      <c r="X11" s="142">
        <v>0</v>
      </c>
      <c r="Y11" s="147">
        <v>0</v>
      </c>
      <c r="Z11" s="279">
        <v>0</v>
      </c>
      <c r="AA11" s="147">
        <v>0</v>
      </c>
      <c r="AB11" s="147">
        <v>82.89</v>
      </c>
      <c r="AC11" s="280">
        <v>0</v>
      </c>
      <c r="AD11" s="279">
        <v>0</v>
      </c>
      <c r="AE11" s="142">
        <v>0</v>
      </c>
      <c r="AF11" s="142">
        <v>0</v>
      </c>
      <c r="AG11" s="142">
        <v>0</v>
      </c>
      <c r="AH11" s="142"/>
      <c r="AI11" s="279">
        <v>0</v>
      </c>
      <c r="AJ11" s="147">
        <v>0</v>
      </c>
      <c r="AK11" s="147">
        <v>0</v>
      </c>
      <c r="AL11" s="142">
        <v>0</v>
      </c>
      <c r="AM11" s="279">
        <v>0</v>
      </c>
      <c r="AN11" s="147">
        <v>0</v>
      </c>
      <c r="AO11" s="147">
        <v>0</v>
      </c>
      <c r="AP11" s="142">
        <v>0</v>
      </c>
      <c r="AQ11" s="279"/>
      <c r="AR11" s="147"/>
      <c r="AS11" s="147"/>
      <c r="AT11" s="147"/>
      <c r="AU11" s="142"/>
      <c r="AV11" s="279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</row>
    <row r="12" spans="2:60" x14ac:dyDescent="0.25">
      <c r="B12" t="s">
        <v>803</v>
      </c>
      <c r="C12" s="79" t="s">
        <v>802</v>
      </c>
      <c r="D12" s="279">
        <v>2591.42</v>
      </c>
      <c r="E12" s="147">
        <v>182.67</v>
      </c>
      <c r="F12" s="147">
        <v>3432.35</v>
      </c>
      <c r="G12" s="147">
        <v>222.05</v>
      </c>
      <c r="H12" s="280">
        <v>1060.1099999999999</v>
      </c>
      <c r="I12" s="142">
        <v>40.58</v>
      </c>
      <c r="J12" s="142">
        <v>1367.32</v>
      </c>
      <c r="K12" s="142">
        <v>162.97999999999999</v>
      </c>
      <c r="L12" s="142">
        <v>0</v>
      </c>
      <c r="M12" s="279">
        <v>25.19</v>
      </c>
      <c r="N12" s="147">
        <v>2444.94</v>
      </c>
      <c r="O12" s="147">
        <v>407.04</v>
      </c>
      <c r="P12" s="142">
        <v>1524.74</v>
      </c>
      <c r="Q12" s="279">
        <v>25.19</v>
      </c>
      <c r="R12" s="147">
        <v>358.56</v>
      </c>
      <c r="S12" s="147">
        <v>201.16</v>
      </c>
      <c r="T12" s="147">
        <v>2013.36</v>
      </c>
      <c r="U12" s="142">
        <v>25.19</v>
      </c>
      <c r="V12" s="279">
        <v>497.4</v>
      </c>
      <c r="W12" s="147">
        <v>25.19</v>
      </c>
      <c r="X12" s="142">
        <v>1047.8</v>
      </c>
      <c r="Y12" s="147">
        <v>157.29</v>
      </c>
      <c r="Z12" s="279">
        <v>1252.4100000000001</v>
      </c>
      <c r="AA12" s="147">
        <v>1340.71</v>
      </c>
      <c r="AB12" s="147">
        <v>362.57</v>
      </c>
      <c r="AC12" s="280">
        <v>19.690000000000001</v>
      </c>
      <c r="AD12" s="279">
        <v>1654.39</v>
      </c>
      <c r="AE12" s="142">
        <v>193.88</v>
      </c>
      <c r="AF12" s="142">
        <v>0</v>
      </c>
      <c r="AG12" s="142">
        <v>51.18</v>
      </c>
      <c r="AH12" s="142">
        <v>168.69</v>
      </c>
      <c r="AI12" s="279">
        <v>25.99</v>
      </c>
      <c r="AJ12" s="147">
        <v>0</v>
      </c>
      <c r="AK12" s="147">
        <v>0</v>
      </c>
      <c r="AL12" s="142">
        <v>0</v>
      </c>
      <c r="AM12" s="279">
        <v>188.38</v>
      </c>
      <c r="AN12" s="147">
        <v>0</v>
      </c>
      <c r="AO12" s="147">
        <v>0</v>
      </c>
      <c r="AP12" s="142">
        <v>25.99</v>
      </c>
      <c r="AQ12" s="279"/>
      <c r="AR12" s="147"/>
      <c r="AS12" s="147"/>
      <c r="AT12" s="147"/>
      <c r="AU12" s="142"/>
      <c r="AV12" s="279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</row>
    <row r="13" spans="2:60" x14ac:dyDescent="0.25">
      <c r="B13" t="s">
        <v>804</v>
      </c>
      <c r="C13" s="79">
        <v>18</v>
      </c>
      <c r="D13" s="279">
        <v>4516.79</v>
      </c>
      <c r="E13" s="147">
        <v>4414.6899999999996</v>
      </c>
      <c r="F13" s="147">
        <v>5482.03</v>
      </c>
      <c r="G13" s="147">
        <v>4570.29</v>
      </c>
      <c r="H13" s="280">
        <v>4608.7299999999996</v>
      </c>
      <c r="I13" s="142">
        <v>4310.51</v>
      </c>
      <c r="J13" s="142">
        <v>5180.37</v>
      </c>
      <c r="K13" s="142">
        <v>4068.02</v>
      </c>
      <c r="L13" s="142">
        <v>3315.59</v>
      </c>
      <c r="M13" s="279">
        <v>2442.2399999999998</v>
      </c>
      <c r="N13" s="147">
        <v>3196.88</v>
      </c>
      <c r="O13" s="147">
        <v>4324.43</v>
      </c>
      <c r="P13" s="142">
        <v>4348.6400000000003</v>
      </c>
      <c r="Q13" s="279">
        <v>4675.29</v>
      </c>
      <c r="R13" s="147">
        <v>4470.3999999999996</v>
      </c>
      <c r="S13" s="147">
        <v>3799.41</v>
      </c>
      <c r="T13" s="147">
        <v>3859.48</v>
      </c>
      <c r="U13" s="142">
        <v>3408.12</v>
      </c>
      <c r="V13" s="279">
        <v>5057.22</v>
      </c>
      <c r="W13" s="147">
        <v>4210.43</v>
      </c>
      <c r="X13" s="142">
        <v>3877.31</v>
      </c>
      <c r="Y13" s="147">
        <v>3869.8</v>
      </c>
      <c r="Z13" s="279">
        <v>5227.66</v>
      </c>
      <c r="AA13" s="147">
        <v>4446.21</v>
      </c>
      <c r="AB13" s="147">
        <v>3204.18</v>
      </c>
      <c r="AC13" s="280">
        <v>4260.1099999999997</v>
      </c>
      <c r="AD13" s="279">
        <v>4091.13</v>
      </c>
      <c r="AE13" s="142">
        <v>6098.39</v>
      </c>
      <c r="AF13" s="142">
        <v>4178.5</v>
      </c>
      <c r="AG13" s="142">
        <v>4389.3999999999996</v>
      </c>
      <c r="AH13" s="142">
        <v>4494.92</v>
      </c>
      <c r="AI13" s="279">
        <v>5471.96</v>
      </c>
      <c r="AJ13" s="147">
        <v>4732.42</v>
      </c>
      <c r="AK13" s="147">
        <v>4577.63</v>
      </c>
      <c r="AL13" s="142">
        <v>4459.8900000000003</v>
      </c>
      <c r="AM13" s="279">
        <v>3999.59</v>
      </c>
      <c r="AN13" s="147">
        <v>4298.08</v>
      </c>
      <c r="AO13" s="147">
        <v>3550.48</v>
      </c>
      <c r="AP13" s="142">
        <v>4757.7</v>
      </c>
      <c r="AQ13" s="279"/>
      <c r="AR13" s="147"/>
      <c r="AS13" s="147"/>
      <c r="AT13" s="147"/>
      <c r="AU13" s="142"/>
      <c r="AV13" s="279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</row>
    <row r="14" spans="2:60" x14ac:dyDescent="0.25">
      <c r="B14" t="s">
        <v>805</v>
      </c>
      <c r="C14" s="79">
        <v>19</v>
      </c>
      <c r="D14" s="279">
        <v>1239.19</v>
      </c>
      <c r="E14" s="147">
        <v>1308.76</v>
      </c>
      <c r="F14" s="147">
        <v>1531.97</v>
      </c>
      <c r="G14" s="147">
        <v>1401.84</v>
      </c>
      <c r="H14" s="280">
        <v>1548.89</v>
      </c>
      <c r="I14" s="142">
        <v>1737.19</v>
      </c>
      <c r="J14" s="142">
        <v>1977.38</v>
      </c>
      <c r="K14" s="142">
        <v>2036.59</v>
      </c>
      <c r="L14" s="142">
        <v>2252.42</v>
      </c>
      <c r="M14" s="279">
        <v>1699.72</v>
      </c>
      <c r="N14" s="147">
        <v>1886.63</v>
      </c>
      <c r="O14" s="147">
        <v>1937.03</v>
      </c>
      <c r="P14" s="142">
        <v>2259.89</v>
      </c>
      <c r="Q14" s="279">
        <v>1279.2</v>
      </c>
      <c r="R14" s="147">
        <v>2056.2800000000002</v>
      </c>
      <c r="S14" s="147">
        <v>1750.52</v>
      </c>
      <c r="T14" s="147">
        <v>1932.89</v>
      </c>
      <c r="U14" s="142">
        <v>1652.65</v>
      </c>
      <c r="V14" s="279">
        <v>1526.16</v>
      </c>
      <c r="W14" s="147">
        <v>1708.82</v>
      </c>
      <c r="X14" s="142">
        <v>1463.61</v>
      </c>
      <c r="Y14" s="147">
        <v>1865.39</v>
      </c>
      <c r="Z14" s="279">
        <v>1866.27</v>
      </c>
      <c r="AA14" s="147">
        <v>1843.13</v>
      </c>
      <c r="AB14" s="147">
        <v>1408.36</v>
      </c>
      <c r="AC14" s="280">
        <v>1876.05</v>
      </c>
      <c r="AD14" s="279">
        <v>1278.92</v>
      </c>
      <c r="AE14" s="142">
        <v>1697.96</v>
      </c>
      <c r="AF14" s="142">
        <v>1691.44</v>
      </c>
      <c r="AG14" s="142">
        <v>1037.5</v>
      </c>
      <c r="AH14" s="142">
        <v>1842.86</v>
      </c>
      <c r="AI14" s="279">
        <v>2029.42</v>
      </c>
      <c r="AJ14" s="147">
        <v>1818.51</v>
      </c>
      <c r="AK14" s="147">
        <v>2051.52</v>
      </c>
      <c r="AL14" s="142">
        <v>2058.83</v>
      </c>
      <c r="AM14" s="279">
        <v>2179.83</v>
      </c>
      <c r="AN14" s="147">
        <v>1548.29</v>
      </c>
      <c r="AO14" s="147">
        <v>1351.19</v>
      </c>
      <c r="AP14" s="142">
        <v>1954.16</v>
      </c>
      <c r="AQ14" s="279"/>
      <c r="AR14" s="147"/>
      <c r="AS14" s="147"/>
      <c r="AT14" s="147"/>
      <c r="AU14" s="142"/>
      <c r="AV14" s="279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</row>
    <row r="15" spans="2:60" x14ac:dyDescent="0.25">
      <c r="B15" t="s">
        <v>806</v>
      </c>
      <c r="C15" s="79">
        <v>20</v>
      </c>
      <c r="D15" s="279">
        <v>14490.14</v>
      </c>
      <c r="E15" s="147">
        <v>17375.78</v>
      </c>
      <c r="F15" s="147">
        <v>14541.52</v>
      </c>
      <c r="G15" s="147">
        <v>15891.91</v>
      </c>
      <c r="H15" s="280">
        <v>14347.19</v>
      </c>
      <c r="I15" s="142">
        <v>17203.27</v>
      </c>
      <c r="J15" s="142">
        <v>16994.84</v>
      </c>
      <c r="K15" s="142">
        <v>16524.34</v>
      </c>
      <c r="L15" s="142">
        <v>14235.59</v>
      </c>
      <c r="M15" s="279">
        <v>8787.2999999999993</v>
      </c>
      <c r="N15" s="147">
        <v>12825.69</v>
      </c>
      <c r="O15" s="147">
        <v>11584.11</v>
      </c>
      <c r="P15" s="142">
        <v>12588.27</v>
      </c>
      <c r="Q15" s="279">
        <v>12558.02</v>
      </c>
      <c r="R15" s="147">
        <v>13348.63</v>
      </c>
      <c r="S15" s="147">
        <v>11186.79</v>
      </c>
      <c r="T15" s="147">
        <v>13035.3</v>
      </c>
      <c r="U15" s="142">
        <v>12409.56</v>
      </c>
      <c r="V15" s="279">
        <v>14973.66</v>
      </c>
      <c r="W15" s="147">
        <v>16136.14</v>
      </c>
      <c r="X15" s="142">
        <v>11804.59</v>
      </c>
      <c r="Y15" s="147">
        <v>10545.75</v>
      </c>
      <c r="Z15" s="279">
        <v>11155.85</v>
      </c>
      <c r="AA15" s="147">
        <v>13671.29</v>
      </c>
      <c r="AB15" s="147">
        <v>10939.31</v>
      </c>
      <c r="AC15" s="280">
        <v>16950.439999999999</v>
      </c>
      <c r="AD15" s="279">
        <v>10632.09</v>
      </c>
      <c r="AE15" s="142">
        <v>13627.33</v>
      </c>
      <c r="AF15" s="142">
        <v>13562.95</v>
      </c>
      <c r="AG15" s="142">
        <v>10947.44</v>
      </c>
      <c r="AH15" s="142">
        <v>12077.7</v>
      </c>
      <c r="AI15" s="279">
        <v>15053.33</v>
      </c>
      <c r="AJ15" s="147">
        <v>10963.01</v>
      </c>
      <c r="AK15" s="147">
        <v>13865.4</v>
      </c>
      <c r="AL15" s="142">
        <v>17306.75</v>
      </c>
      <c r="AM15" s="279">
        <v>11849.92</v>
      </c>
      <c r="AN15" s="147">
        <v>10231.459999999999</v>
      </c>
      <c r="AO15" s="147">
        <v>15479.65</v>
      </c>
      <c r="AP15" s="142">
        <v>15693.45</v>
      </c>
      <c r="AQ15" s="279"/>
      <c r="AR15" s="147"/>
      <c r="AS15" s="147"/>
      <c r="AT15" s="147"/>
      <c r="AU15" s="142"/>
      <c r="AV15" s="279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</row>
    <row r="16" spans="2:60" x14ac:dyDescent="0.25">
      <c r="B16" t="s">
        <v>808</v>
      </c>
      <c r="C16" s="79">
        <v>21</v>
      </c>
      <c r="D16" s="279">
        <v>8790.76</v>
      </c>
      <c r="E16" s="147">
        <v>5737.61</v>
      </c>
      <c r="F16" s="147">
        <v>8050.91</v>
      </c>
      <c r="G16" s="147">
        <v>9450.34</v>
      </c>
      <c r="H16" s="280">
        <v>8060.36</v>
      </c>
      <c r="I16" s="142">
        <v>9286.68</v>
      </c>
      <c r="J16" s="142">
        <v>11081.07</v>
      </c>
      <c r="K16" s="142">
        <v>12650.03</v>
      </c>
      <c r="L16" s="142">
        <v>8242.93</v>
      </c>
      <c r="M16" s="279">
        <v>4612.17</v>
      </c>
      <c r="N16" s="147">
        <v>6493.54</v>
      </c>
      <c r="O16" s="147">
        <v>6739.12</v>
      </c>
      <c r="P16" s="142">
        <v>9389.44</v>
      </c>
      <c r="Q16" s="279">
        <v>7119.87</v>
      </c>
      <c r="R16" s="147">
        <v>7797.09</v>
      </c>
      <c r="S16" s="147">
        <v>7744.03</v>
      </c>
      <c r="T16" s="147">
        <v>11604.88</v>
      </c>
      <c r="U16" s="142">
        <v>8072.48</v>
      </c>
      <c r="V16" s="279">
        <v>7914</v>
      </c>
      <c r="W16" s="147">
        <v>7049.27</v>
      </c>
      <c r="X16" s="142">
        <v>7303.5</v>
      </c>
      <c r="Y16" s="147">
        <v>5930.69</v>
      </c>
      <c r="Z16" s="279">
        <v>7046.5</v>
      </c>
      <c r="AA16" s="147">
        <v>5093.4399999999996</v>
      </c>
      <c r="AB16" s="147">
        <v>6492.15</v>
      </c>
      <c r="AC16" s="280">
        <v>5864.31</v>
      </c>
      <c r="AD16" s="279">
        <v>5492.87</v>
      </c>
      <c r="AE16" s="142">
        <v>7565.94</v>
      </c>
      <c r="AF16" s="142">
        <v>7015.3</v>
      </c>
      <c r="AG16" s="142">
        <v>6893.9</v>
      </c>
      <c r="AH16" s="142">
        <v>5985.15</v>
      </c>
      <c r="AI16" s="279">
        <v>8734.89</v>
      </c>
      <c r="AJ16" s="147">
        <v>7096</v>
      </c>
      <c r="AK16" s="147">
        <v>9020.59</v>
      </c>
      <c r="AL16" s="142">
        <v>7833.48</v>
      </c>
      <c r="AM16" s="279">
        <v>6905.49</v>
      </c>
      <c r="AN16" s="147">
        <v>6275.96</v>
      </c>
      <c r="AO16" s="147">
        <v>6722.66</v>
      </c>
      <c r="AP16" s="142">
        <v>5567.22</v>
      </c>
      <c r="AQ16" s="279"/>
      <c r="AR16" s="147"/>
      <c r="AS16" s="147"/>
      <c r="AT16" s="147"/>
      <c r="AU16" s="142"/>
      <c r="AV16" s="279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</row>
    <row r="17" spans="2:60" x14ac:dyDescent="0.25">
      <c r="B17" t="s">
        <v>809</v>
      </c>
      <c r="C17" s="79">
        <v>22</v>
      </c>
      <c r="D17" s="279">
        <v>16208.59</v>
      </c>
      <c r="E17" s="147">
        <v>16084.94</v>
      </c>
      <c r="F17" s="147">
        <v>16023.14</v>
      </c>
      <c r="G17" s="147">
        <v>16065.37</v>
      </c>
      <c r="H17" s="280">
        <v>25170.61</v>
      </c>
      <c r="I17" s="142">
        <v>18733.939999999999</v>
      </c>
      <c r="J17" s="142">
        <v>14164.12</v>
      </c>
      <c r="K17" s="142">
        <v>20475.95</v>
      </c>
      <c r="L17" s="142">
        <v>28103.85</v>
      </c>
      <c r="M17" s="279">
        <v>12136.25</v>
      </c>
      <c r="N17" s="147">
        <v>10435.280000000001</v>
      </c>
      <c r="O17" s="147">
        <v>14803.42</v>
      </c>
      <c r="P17" s="142">
        <v>16530.830000000002</v>
      </c>
      <c r="Q17" s="279">
        <v>30159.61</v>
      </c>
      <c r="R17" s="147">
        <v>16809.84</v>
      </c>
      <c r="S17" s="147">
        <v>14596.6</v>
      </c>
      <c r="T17" s="147">
        <v>20460.87</v>
      </c>
      <c r="U17" s="142">
        <v>22294.78</v>
      </c>
      <c r="V17" s="279">
        <v>15578.53</v>
      </c>
      <c r="W17" s="147">
        <v>26091.54</v>
      </c>
      <c r="X17" s="142">
        <v>24627.64</v>
      </c>
      <c r="Y17" s="147">
        <v>25704.799999999999</v>
      </c>
      <c r="Z17" s="279">
        <v>15793.09</v>
      </c>
      <c r="AA17" s="147">
        <v>16730.38</v>
      </c>
      <c r="AB17" s="147">
        <v>15286.37</v>
      </c>
      <c r="AC17" s="280">
        <v>13784.52</v>
      </c>
      <c r="AD17" s="279">
        <v>27303.51</v>
      </c>
      <c r="AE17" s="142">
        <v>14985.14</v>
      </c>
      <c r="AF17" s="142">
        <v>16043.6</v>
      </c>
      <c r="AG17" s="142">
        <v>26522.3</v>
      </c>
      <c r="AH17" s="142">
        <v>23829.21</v>
      </c>
      <c r="AI17" s="279">
        <v>16919.52</v>
      </c>
      <c r="AJ17" s="147">
        <v>16476.189999999999</v>
      </c>
      <c r="AK17" s="147">
        <v>17594.990000000002</v>
      </c>
      <c r="AL17" s="142">
        <v>27553</v>
      </c>
      <c r="AM17" s="279">
        <v>19391.38</v>
      </c>
      <c r="AN17" s="147">
        <v>15882.18</v>
      </c>
      <c r="AO17" s="147">
        <v>17288.07</v>
      </c>
      <c r="AP17" s="142">
        <v>17508.939999999999</v>
      </c>
      <c r="AQ17" s="279"/>
      <c r="AR17" s="147"/>
      <c r="AS17" s="147"/>
      <c r="AT17" s="147"/>
      <c r="AU17" s="142"/>
      <c r="AV17" s="279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</row>
    <row r="18" spans="2:60" x14ac:dyDescent="0.25">
      <c r="B18" t="s">
        <v>810</v>
      </c>
      <c r="C18" s="79">
        <v>23</v>
      </c>
      <c r="D18" s="279">
        <v>2610.84</v>
      </c>
      <c r="E18" s="147">
        <v>3390.47</v>
      </c>
      <c r="F18" s="147">
        <v>1114.8800000000001</v>
      </c>
      <c r="G18" s="147">
        <v>2043.19</v>
      </c>
      <c r="H18" s="280">
        <v>1286.74</v>
      </c>
      <c r="I18" s="142">
        <v>1706.19</v>
      </c>
      <c r="J18" s="142">
        <v>1608.48</v>
      </c>
      <c r="K18" s="142">
        <v>3057.39</v>
      </c>
      <c r="L18" s="142">
        <v>1782.6</v>
      </c>
      <c r="M18" s="279">
        <v>1053.33</v>
      </c>
      <c r="N18" s="147">
        <v>2413.15</v>
      </c>
      <c r="O18" s="147">
        <v>1367.96</v>
      </c>
      <c r="P18" s="142">
        <v>1509.27</v>
      </c>
      <c r="Q18" s="279">
        <v>1123.19</v>
      </c>
      <c r="R18" s="147">
        <v>4055.64</v>
      </c>
      <c r="S18" s="147">
        <v>1960.17</v>
      </c>
      <c r="T18" s="147">
        <v>2103.58</v>
      </c>
      <c r="U18" s="142">
        <v>2351.06</v>
      </c>
      <c r="V18" s="279">
        <v>4398</v>
      </c>
      <c r="W18" s="147">
        <v>3525.13</v>
      </c>
      <c r="X18" s="142">
        <v>3690.63</v>
      </c>
      <c r="Y18" s="147">
        <v>3724.36</v>
      </c>
      <c r="Z18" s="279">
        <v>2755.64</v>
      </c>
      <c r="AA18" s="147">
        <v>2024.6</v>
      </c>
      <c r="AB18" s="147">
        <v>3717.72</v>
      </c>
      <c r="AC18" s="280">
        <v>2518.62</v>
      </c>
      <c r="AD18" s="279">
        <v>3780.08</v>
      </c>
      <c r="AE18" s="142">
        <v>2318.94</v>
      </c>
      <c r="AF18" s="142">
        <v>2855</v>
      </c>
      <c r="AG18" s="142">
        <v>1649.66</v>
      </c>
      <c r="AH18" s="142">
        <v>3727.83</v>
      </c>
      <c r="AI18" s="279">
        <v>5028.74</v>
      </c>
      <c r="AJ18" s="147">
        <v>4114.04</v>
      </c>
      <c r="AK18" s="147">
        <v>3939.02</v>
      </c>
      <c r="AL18" s="142">
        <v>4311.99</v>
      </c>
      <c r="AM18" s="279">
        <v>4316.6400000000003</v>
      </c>
      <c r="AN18" s="147">
        <v>3801.39</v>
      </c>
      <c r="AO18" s="147">
        <v>3533.02</v>
      </c>
      <c r="AP18" s="142">
        <v>3320.36</v>
      </c>
      <c r="AQ18" s="279"/>
      <c r="AR18" s="147"/>
      <c r="AS18" s="147"/>
      <c r="AT18" s="147"/>
      <c r="AU18" s="142"/>
      <c r="AV18" s="279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</row>
    <row r="19" spans="2:60" x14ac:dyDescent="0.25">
      <c r="B19" t="s">
        <v>812</v>
      </c>
      <c r="C19" s="79">
        <v>28</v>
      </c>
      <c r="D19" s="279">
        <v>867.12</v>
      </c>
      <c r="E19" s="147">
        <v>621.49</v>
      </c>
      <c r="F19" s="147">
        <v>524.57000000000005</v>
      </c>
      <c r="G19" s="147">
        <v>1047.1199999999999</v>
      </c>
      <c r="H19" s="280">
        <v>1016.89</v>
      </c>
      <c r="I19" s="142">
        <v>1112.3900000000001</v>
      </c>
      <c r="J19" s="142">
        <v>1159.97</v>
      </c>
      <c r="K19" s="142">
        <v>625.91999999999996</v>
      </c>
      <c r="L19" s="142">
        <v>1103.04</v>
      </c>
      <c r="M19" s="279">
        <v>900.55</v>
      </c>
      <c r="N19" s="147">
        <v>798.63</v>
      </c>
      <c r="O19" s="147">
        <v>1373.72</v>
      </c>
      <c r="P19" s="142">
        <v>565.42999999999995</v>
      </c>
      <c r="Q19" s="279">
        <v>582.92999999999995</v>
      </c>
      <c r="R19" s="147">
        <v>603.67999999999995</v>
      </c>
      <c r="S19" s="147">
        <v>728.49</v>
      </c>
      <c r="T19" s="147">
        <v>1675.34</v>
      </c>
      <c r="U19" s="142">
        <v>716</v>
      </c>
      <c r="V19" s="279">
        <v>1093.23</v>
      </c>
      <c r="W19" s="147">
        <v>925.52</v>
      </c>
      <c r="X19" s="142">
        <v>892.61</v>
      </c>
      <c r="Y19" s="147">
        <v>809.86</v>
      </c>
      <c r="Z19" s="279">
        <v>704.56</v>
      </c>
      <c r="AA19" s="147">
        <v>665.06</v>
      </c>
      <c r="AB19" s="147">
        <v>713.52</v>
      </c>
      <c r="AC19" s="280">
        <v>724.83</v>
      </c>
      <c r="AD19" s="279">
        <v>841.44</v>
      </c>
      <c r="AE19" s="142">
        <v>2046.45</v>
      </c>
      <c r="AF19" s="142">
        <v>1035.56</v>
      </c>
      <c r="AG19" s="142">
        <v>983.95</v>
      </c>
      <c r="AH19" s="142">
        <v>503.65</v>
      </c>
      <c r="AI19" s="279">
        <v>1079.43</v>
      </c>
      <c r="AJ19" s="147">
        <v>957.72</v>
      </c>
      <c r="AK19" s="147">
        <v>1802.85</v>
      </c>
      <c r="AL19" s="142">
        <v>508.64</v>
      </c>
      <c r="AM19" s="279">
        <v>1464.21</v>
      </c>
      <c r="AN19" s="147">
        <v>2722.43</v>
      </c>
      <c r="AO19" s="147">
        <v>897.83</v>
      </c>
      <c r="AP19" s="142">
        <v>852.61</v>
      </c>
      <c r="AQ19" s="279"/>
      <c r="AR19" s="147"/>
      <c r="AS19" s="147"/>
      <c r="AT19" s="147"/>
      <c r="AU19" s="142"/>
      <c r="AV19" s="279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</row>
    <row r="20" spans="2:60" x14ac:dyDescent="0.25">
      <c r="B20" t="s">
        <v>813</v>
      </c>
      <c r="C20" s="79">
        <v>29</v>
      </c>
      <c r="D20" s="279">
        <v>6743</v>
      </c>
      <c r="E20" s="147">
        <v>10371.16</v>
      </c>
      <c r="F20" s="147">
        <v>8113.53</v>
      </c>
      <c r="G20" s="147">
        <v>8191.36</v>
      </c>
      <c r="H20" s="280">
        <v>13363.05</v>
      </c>
      <c r="I20" s="142">
        <v>10041.530000000001</v>
      </c>
      <c r="J20" s="142">
        <v>11659.36</v>
      </c>
      <c r="K20" s="142">
        <v>7739.53</v>
      </c>
      <c r="L20" s="142">
        <v>9582.02</v>
      </c>
      <c r="M20" s="279">
        <v>5606.51</v>
      </c>
      <c r="N20" s="147">
        <v>6872.71</v>
      </c>
      <c r="O20" s="147">
        <v>5869.6</v>
      </c>
      <c r="P20" s="142">
        <v>8298.61</v>
      </c>
      <c r="Q20" s="279">
        <v>7786.78</v>
      </c>
      <c r="R20" s="147">
        <v>8979.94</v>
      </c>
      <c r="S20" s="147">
        <v>8999.2000000000007</v>
      </c>
      <c r="T20" s="147">
        <v>9232.41</v>
      </c>
      <c r="U20" s="142">
        <v>8571.57</v>
      </c>
      <c r="V20" s="279">
        <v>7725.89</v>
      </c>
      <c r="W20" s="147">
        <v>7513.07</v>
      </c>
      <c r="X20" s="142">
        <v>9770.26</v>
      </c>
      <c r="Y20" s="147">
        <v>7498.8</v>
      </c>
      <c r="Z20" s="279">
        <v>8544.65</v>
      </c>
      <c r="AA20" s="147">
        <v>6272.45</v>
      </c>
      <c r="AB20" s="147">
        <v>16803.900000000001</v>
      </c>
      <c r="AC20" s="280">
        <v>6996.18</v>
      </c>
      <c r="AD20" s="279">
        <v>9167.42</v>
      </c>
      <c r="AE20" s="142">
        <v>10205.44</v>
      </c>
      <c r="AF20" s="142">
        <v>9744.81</v>
      </c>
      <c r="AG20" s="142">
        <v>9054.82</v>
      </c>
      <c r="AH20" s="142">
        <v>12284.62</v>
      </c>
      <c r="AI20" s="279">
        <v>11943.56</v>
      </c>
      <c r="AJ20" s="147">
        <v>12180.86</v>
      </c>
      <c r="AK20" s="147">
        <v>15682.81</v>
      </c>
      <c r="AL20" s="142">
        <v>14850.04</v>
      </c>
      <c r="AM20" s="279">
        <v>10922.4</v>
      </c>
      <c r="AN20" s="147">
        <v>13224.72</v>
      </c>
      <c r="AO20" s="147">
        <v>15899</v>
      </c>
      <c r="AP20" s="142">
        <v>10360.959999999999</v>
      </c>
      <c r="AQ20" s="279"/>
      <c r="AR20" s="147"/>
      <c r="AS20" s="147"/>
      <c r="AT20" s="147"/>
      <c r="AU20" s="142"/>
      <c r="AV20" s="279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</row>
    <row r="21" spans="2:60" x14ac:dyDescent="0.25">
      <c r="B21" t="s">
        <v>815</v>
      </c>
      <c r="C21" s="79" t="s">
        <v>814</v>
      </c>
      <c r="D21" s="279">
        <v>130</v>
      </c>
      <c r="E21" s="147">
        <v>465</v>
      </c>
      <c r="F21" s="147">
        <v>761.85</v>
      </c>
      <c r="G21" s="147">
        <v>32.950000000000003</v>
      </c>
      <c r="H21" s="280">
        <v>500</v>
      </c>
      <c r="I21" s="142">
        <v>400</v>
      </c>
      <c r="J21" s="142">
        <v>1835</v>
      </c>
      <c r="K21" s="142">
        <v>3812</v>
      </c>
      <c r="L21" s="142">
        <v>920.95</v>
      </c>
      <c r="M21" s="279">
        <v>3727.19</v>
      </c>
      <c r="N21" s="147">
        <v>492.95</v>
      </c>
      <c r="O21" s="147">
        <v>50</v>
      </c>
      <c r="P21" s="142">
        <v>205.95</v>
      </c>
      <c r="Q21" s="279">
        <v>225</v>
      </c>
      <c r="R21" s="147">
        <v>1200</v>
      </c>
      <c r="S21" s="147">
        <v>335.95</v>
      </c>
      <c r="T21" s="147">
        <v>610</v>
      </c>
      <c r="U21" s="142">
        <v>825</v>
      </c>
      <c r="V21" s="279">
        <v>613.85</v>
      </c>
      <c r="W21" s="147">
        <v>405.95</v>
      </c>
      <c r="X21" s="142">
        <v>625</v>
      </c>
      <c r="Y21" s="147">
        <v>713.92</v>
      </c>
      <c r="Z21" s="279">
        <v>25</v>
      </c>
      <c r="AA21" s="147">
        <v>395.6</v>
      </c>
      <c r="AB21" s="147">
        <v>985</v>
      </c>
      <c r="AC21" s="280">
        <v>650</v>
      </c>
      <c r="AD21" s="279">
        <v>589.95000000000005</v>
      </c>
      <c r="AE21" s="142">
        <v>325</v>
      </c>
      <c r="AF21" s="142">
        <v>979.95</v>
      </c>
      <c r="AG21" s="142">
        <v>125</v>
      </c>
      <c r="AH21" s="142">
        <v>295</v>
      </c>
      <c r="AI21" s="279">
        <v>250</v>
      </c>
      <c r="AJ21" s="147">
        <v>1406.96</v>
      </c>
      <c r="AK21" s="147">
        <v>492.85</v>
      </c>
      <c r="AL21" s="142">
        <v>566.95000000000005</v>
      </c>
      <c r="AM21" s="279">
        <v>638.91999999999996</v>
      </c>
      <c r="AN21" s="147">
        <v>456.96</v>
      </c>
      <c r="AO21" s="147">
        <v>535.9</v>
      </c>
      <c r="AP21" s="142">
        <v>250</v>
      </c>
      <c r="AQ21" s="279"/>
      <c r="AR21" s="147"/>
      <c r="AS21" s="147"/>
      <c r="AT21" s="147"/>
      <c r="AU21" s="142"/>
      <c r="AV21" s="279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</row>
    <row r="22" spans="2:60" x14ac:dyDescent="0.25">
      <c r="B22" t="s">
        <v>831</v>
      </c>
      <c r="C22" s="79">
        <v>43</v>
      </c>
      <c r="D22" s="279">
        <v>0</v>
      </c>
      <c r="E22" s="147">
        <v>0</v>
      </c>
      <c r="F22" s="147">
        <v>0</v>
      </c>
      <c r="G22" s="147">
        <v>0</v>
      </c>
      <c r="H22" s="280">
        <v>0</v>
      </c>
      <c r="I22" s="142">
        <v>0</v>
      </c>
      <c r="J22" s="142">
        <v>0</v>
      </c>
      <c r="K22" s="142">
        <v>0</v>
      </c>
      <c r="L22" s="142">
        <v>0</v>
      </c>
      <c r="M22" s="279">
        <v>0</v>
      </c>
      <c r="N22" s="147">
        <v>0</v>
      </c>
      <c r="O22" s="147">
        <v>0</v>
      </c>
      <c r="P22" s="142">
        <v>0</v>
      </c>
      <c r="Q22" s="279">
        <v>0</v>
      </c>
      <c r="R22" s="147">
        <v>0</v>
      </c>
      <c r="S22" s="147">
        <v>0</v>
      </c>
      <c r="T22" s="147">
        <v>0</v>
      </c>
      <c r="U22" s="142">
        <v>0</v>
      </c>
      <c r="V22" s="279">
        <v>0</v>
      </c>
      <c r="W22" s="147">
        <v>0</v>
      </c>
      <c r="X22" s="142">
        <v>0</v>
      </c>
      <c r="Y22" s="147">
        <v>0</v>
      </c>
      <c r="Z22" s="279">
        <v>0</v>
      </c>
      <c r="AA22" s="147">
        <v>0</v>
      </c>
      <c r="AB22" s="147">
        <v>0</v>
      </c>
      <c r="AC22" s="280">
        <v>0</v>
      </c>
      <c r="AD22" s="279">
        <v>0</v>
      </c>
      <c r="AE22" s="142">
        <v>0</v>
      </c>
      <c r="AF22" s="142">
        <v>0</v>
      </c>
      <c r="AG22" s="142">
        <v>0</v>
      </c>
      <c r="AH22" s="142"/>
      <c r="AI22" s="279">
        <v>0</v>
      </c>
      <c r="AJ22" s="147">
        <v>0</v>
      </c>
      <c r="AK22" s="147">
        <v>0</v>
      </c>
      <c r="AL22" s="142">
        <v>0</v>
      </c>
      <c r="AM22" s="279">
        <v>1464.21</v>
      </c>
      <c r="AN22" s="147">
        <v>0</v>
      </c>
      <c r="AO22" s="147">
        <v>0</v>
      </c>
      <c r="AP22" s="142">
        <v>0</v>
      </c>
      <c r="AQ22" s="279"/>
      <c r="AR22" s="147"/>
      <c r="AS22" s="147"/>
      <c r="AT22" s="147"/>
      <c r="AU22" s="142"/>
      <c r="AV22" s="279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</row>
    <row r="23" spans="2:60" x14ac:dyDescent="0.25">
      <c r="B23" t="s">
        <v>818</v>
      </c>
      <c r="C23" s="79">
        <v>45</v>
      </c>
      <c r="D23" s="279">
        <v>0</v>
      </c>
      <c r="E23" s="147">
        <v>0</v>
      </c>
      <c r="F23" s="147">
        <v>0</v>
      </c>
      <c r="G23" s="147">
        <v>0</v>
      </c>
      <c r="H23" s="280">
        <v>0</v>
      </c>
      <c r="I23" s="142">
        <v>0</v>
      </c>
      <c r="J23" s="142">
        <v>0</v>
      </c>
      <c r="K23" s="142">
        <v>0</v>
      </c>
      <c r="L23" s="142">
        <v>0</v>
      </c>
      <c r="M23" s="279">
        <v>0</v>
      </c>
      <c r="N23" s="147">
        <v>0</v>
      </c>
      <c r="O23" s="147">
        <v>0</v>
      </c>
      <c r="P23" s="142">
        <v>0</v>
      </c>
      <c r="Q23" s="279">
        <v>0</v>
      </c>
      <c r="R23" s="147">
        <v>0</v>
      </c>
      <c r="S23" s="147">
        <v>0</v>
      </c>
      <c r="T23" s="147">
        <v>0</v>
      </c>
      <c r="U23" s="142">
        <v>0</v>
      </c>
      <c r="V23" s="279">
        <v>0</v>
      </c>
      <c r="W23" s="147">
        <v>0</v>
      </c>
      <c r="X23" s="142">
        <v>0</v>
      </c>
      <c r="Y23" s="147">
        <v>0</v>
      </c>
      <c r="Z23" s="279">
        <v>0</v>
      </c>
      <c r="AA23" s="147">
        <v>0</v>
      </c>
      <c r="AB23" s="147">
        <v>0</v>
      </c>
      <c r="AC23" s="280">
        <v>0</v>
      </c>
      <c r="AD23" s="279">
        <v>0</v>
      </c>
      <c r="AE23" s="142">
        <v>0</v>
      </c>
      <c r="AF23" s="142">
        <v>0</v>
      </c>
      <c r="AG23" s="142">
        <v>0</v>
      </c>
      <c r="AH23" s="142"/>
      <c r="AI23" s="279">
        <v>0</v>
      </c>
      <c r="AJ23" s="147">
        <v>0</v>
      </c>
      <c r="AK23" s="147">
        <v>0</v>
      </c>
      <c r="AL23" s="142">
        <v>0</v>
      </c>
      <c r="AM23" s="279">
        <v>0</v>
      </c>
      <c r="AN23" s="147">
        <v>0</v>
      </c>
      <c r="AO23" s="147">
        <v>0</v>
      </c>
      <c r="AP23" s="142">
        <v>0</v>
      </c>
      <c r="AQ23" s="279"/>
      <c r="AR23" s="147"/>
      <c r="AS23" s="147"/>
      <c r="AT23" s="147"/>
      <c r="AU23" s="142"/>
      <c r="AV23" s="279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</row>
    <row r="24" spans="2:60" x14ac:dyDescent="0.25">
      <c r="B24" t="s">
        <v>819</v>
      </c>
      <c r="C24" s="79">
        <v>47</v>
      </c>
      <c r="D24" s="279">
        <v>919.93</v>
      </c>
      <c r="E24" s="147">
        <v>873.05</v>
      </c>
      <c r="F24" s="147">
        <v>854.18</v>
      </c>
      <c r="G24" s="147">
        <v>955.18</v>
      </c>
      <c r="H24" s="280">
        <v>863.26</v>
      </c>
      <c r="I24" s="142">
        <v>878.4</v>
      </c>
      <c r="J24" s="142">
        <v>751.86</v>
      </c>
      <c r="K24" s="142">
        <v>1338.43</v>
      </c>
      <c r="L24" s="142">
        <v>521.96</v>
      </c>
      <c r="M24" s="279">
        <v>639.12</v>
      </c>
      <c r="N24" s="147">
        <v>369.71</v>
      </c>
      <c r="O24" s="147">
        <v>678.09</v>
      </c>
      <c r="P24" s="142">
        <v>926.79</v>
      </c>
      <c r="Q24" s="279">
        <v>525.37</v>
      </c>
      <c r="R24" s="147">
        <v>315.69</v>
      </c>
      <c r="S24" s="147">
        <v>620.33000000000004</v>
      </c>
      <c r="T24" s="147">
        <v>1001.91</v>
      </c>
      <c r="U24" s="142">
        <v>888.7</v>
      </c>
      <c r="V24" s="279">
        <v>623.15</v>
      </c>
      <c r="W24" s="147">
        <v>520.97</v>
      </c>
      <c r="X24" s="142">
        <v>775.2</v>
      </c>
      <c r="Y24" s="147">
        <v>668.94</v>
      </c>
      <c r="Z24" s="279">
        <v>678.91</v>
      </c>
      <c r="AA24" s="147">
        <v>884.77</v>
      </c>
      <c r="AB24" s="147">
        <v>655.11</v>
      </c>
      <c r="AC24" s="280">
        <v>663.83</v>
      </c>
      <c r="AD24" s="279">
        <v>249.53</v>
      </c>
      <c r="AE24" s="142">
        <v>1233.3399999999999</v>
      </c>
      <c r="AF24" s="142">
        <v>569.83000000000004</v>
      </c>
      <c r="AG24" s="142">
        <v>482.15</v>
      </c>
      <c r="AH24" s="142">
        <v>774.9</v>
      </c>
      <c r="AI24" s="279">
        <v>375.31</v>
      </c>
      <c r="AJ24" s="147">
        <v>660.93</v>
      </c>
      <c r="AK24" s="147">
        <v>842.89</v>
      </c>
      <c r="AL24" s="142">
        <v>1159.6099999999999</v>
      </c>
      <c r="AM24" s="279">
        <v>660.24</v>
      </c>
      <c r="AN24" s="147">
        <v>314.8</v>
      </c>
      <c r="AO24" s="147">
        <v>523.46</v>
      </c>
      <c r="AP24" s="142">
        <v>815.57</v>
      </c>
      <c r="AQ24" s="279"/>
      <c r="AR24" s="147"/>
      <c r="AS24" s="147"/>
      <c r="AT24" s="147"/>
      <c r="AU24" s="142"/>
      <c r="AV24" s="279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</row>
    <row r="25" spans="2:60" x14ac:dyDescent="0.25">
      <c r="B25" t="s">
        <v>821</v>
      </c>
      <c r="C25" s="79">
        <v>53</v>
      </c>
      <c r="D25" s="279">
        <v>8449.27</v>
      </c>
      <c r="E25" s="147">
        <v>10004.91</v>
      </c>
      <c r="F25" s="147">
        <v>9485.3700000000008</v>
      </c>
      <c r="G25" s="147">
        <v>9860.64</v>
      </c>
      <c r="H25" s="280">
        <v>9456.7900000000009</v>
      </c>
      <c r="I25" s="142">
        <v>10445.530000000001</v>
      </c>
      <c r="J25" s="142">
        <v>10541.1</v>
      </c>
      <c r="K25" s="142">
        <v>10046.73</v>
      </c>
      <c r="L25" s="142">
        <v>9055.7900000000009</v>
      </c>
      <c r="M25" s="279">
        <v>7321.25</v>
      </c>
      <c r="N25" s="147">
        <v>7276.21</v>
      </c>
      <c r="O25" s="147">
        <v>9520.56</v>
      </c>
      <c r="P25" s="142">
        <v>8244.4</v>
      </c>
      <c r="Q25" s="279">
        <v>8307.41</v>
      </c>
      <c r="R25" s="147">
        <v>10678.13</v>
      </c>
      <c r="S25" s="147">
        <v>9684.1</v>
      </c>
      <c r="T25" s="147">
        <v>8031.43</v>
      </c>
      <c r="U25" s="142">
        <v>8280.36</v>
      </c>
      <c r="V25" s="279">
        <v>9266.76</v>
      </c>
      <c r="W25" s="147">
        <v>7643.62</v>
      </c>
      <c r="X25" s="142">
        <v>9057.3799999999992</v>
      </c>
      <c r="Y25" s="147">
        <v>7527.27</v>
      </c>
      <c r="Z25" s="279">
        <v>9522.27</v>
      </c>
      <c r="AA25" s="147">
        <v>10141.459999999999</v>
      </c>
      <c r="AB25" s="147">
        <v>9534.75</v>
      </c>
      <c r="AC25" s="280">
        <v>8576.08</v>
      </c>
      <c r="AD25" s="279">
        <v>9472.8799999999992</v>
      </c>
      <c r="AE25" s="142">
        <v>10058.42</v>
      </c>
      <c r="AF25" s="142">
        <v>10408.950000000001</v>
      </c>
      <c r="AG25" s="142">
        <v>10515.17</v>
      </c>
      <c r="AH25" s="142">
        <v>9930.7800000000007</v>
      </c>
      <c r="AI25" s="279">
        <v>10386.77</v>
      </c>
      <c r="AJ25" s="147">
        <v>10341.44</v>
      </c>
      <c r="AK25" s="147">
        <v>9660.07</v>
      </c>
      <c r="AL25" s="142">
        <v>10011.790000000001</v>
      </c>
      <c r="AM25" s="279">
        <v>9674.34</v>
      </c>
      <c r="AN25" s="147">
        <v>10146.9</v>
      </c>
      <c r="AO25" s="147">
        <v>9623.2999999999993</v>
      </c>
      <c r="AP25" s="142">
        <v>10016.780000000001</v>
      </c>
      <c r="AQ25" s="279"/>
      <c r="AR25" s="147"/>
      <c r="AS25" s="147"/>
      <c r="AT25" s="147"/>
      <c r="AU25" s="142"/>
      <c r="AV25" s="279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</row>
    <row r="26" spans="2:60" x14ac:dyDescent="0.25">
      <c r="B26" t="s">
        <v>822</v>
      </c>
      <c r="C26" s="79">
        <v>55</v>
      </c>
      <c r="D26" s="279">
        <v>0</v>
      </c>
      <c r="E26" s="147">
        <v>0</v>
      </c>
      <c r="F26" s="147">
        <v>0</v>
      </c>
      <c r="G26" s="147">
        <v>0</v>
      </c>
      <c r="H26" s="280">
        <v>0</v>
      </c>
      <c r="I26" s="142">
        <v>0</v>
      </c>
      <c r="J26" s="142">
        <v>0</v>
      </c>
      <c r="K26" s="142">
        <v>0</v>
      </c>
      <c r="L26" s="142">
        <v>0</v>
      </c>
      <c r="M26" s="279">
        <v>0</v>
      </c>
      <c r="N26" s="147">
        <v>0</v>
      </c>
      <c r="O26" s="147">
        <v>0</v>
      </c>
      <c r="P26" s="142">
        <v>0</v>
      </c>
      <c r="Q26" s="279">
        <v>0</v>
      </c>
      <c r="R26" s="147">
        <v>0</v>
      </c>
      <c r="S26" s="147">
        <v>0</v>
      </c>
      <c r="T26" s="147">
        <v>0</v>
      </c>
      <c r="U26" s="142">
        <v>0</v>
      </c>
      <c r="V26" s="279">
        <v>0</v>
      </c>
      <c r="W26" s="147">
        <v>0</v>
      </c>
      <c r="X26" s="142">
        <v>0</v>
      </c>
      <c r="Y26" s="147">
        <v>0</v>
      </c>
      <c r="Z26" s="279">
        <v>0</v>
      </c>
      <c r="AA26" s="147">
        <v>0</v>
      </c>
      <c r="AB26" s="147">
        <v>0</v>
      </c>
      <c r="AC26" s="280"/>
      <c r="AD26" s="279">
        <v>0</v>
      </c>
      <c r="AE26" s="142">
        <v>0</v>
      </c>
      <c r="AF26" s="142">
        <v>0</v>
      </c>
      <c r="AG26" s="142">
        <v>0</v>
      </c>
      <c r="AH26" s="142"/>
      <c r="AI26" s="279">
        <v>0</v>
      </c>
      <c r="AJ26" s="147">
        <v>0</v>
      </c>
      <c r="AK26" s="147">
        <v>0</v>
      </c>
      <c r="AL26" s="142">
        <v>0</v>
      </c>
      <c r="AM26" s="279">
        <v>0</v>
      </c>
      <c r="AN26" s="147">
        <v>0</v>
      </c>
      <c r="AO26" s="147">
        <v>0</v>
      </c>
      <c r="AP26" s="142">
        <v>0</v>
      </c>
      <c r="AQ26" s="279"/>
      <c r="AR26" s="147"/>
      <c r="AS26" s="147"/>
      <c r="AT26" s="147"/>
      <c r="AU26" s="142"/>
      <c r="AV26" s="279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</row>
    <row r="27" spans="2:60" x14ac:dyDescent="0.25">
      <c r="B27" t="s">
        <v>823</v>
      </c>
      <c r="C27" s="79">
        <v>56</v>
      </c>
      <c r="D27" s="279">
        <v>0</v>
      </c>
      <c r="E27" s="147">
        <v>0</v>
      </c>
      <c r="F27" s="147">
        <v>0</v>
      </c>
      <c r="G27" s="147">
        <v>0</v>
      </c>
      <c r="H27" s="280">
        <v>0</v>
      </c>
      <c r="I27" s="142">
        <v>0</v>
      </c>
      <c r="J27" s="142">
        <v>0</v>
      </c>
      <c r="K27" s="142">
        <v>0</v>
      </c>
      <c r="L27" s="142">
        <v>0</v>
      </c>
      <c r="M27" s="279">
        <v>0</v>
      </c>
      <c r="N27" s="147">
        <v>0</v>
      </c>
      <c r="O27" s="147">
        <v>0</v>
      </c>
      <c r="P27" s="142">
        <v>0</v>
      </c>
      <c r="Q27" s="279">
        <v>0</v>
      </c>
      <c r="R27" s="147">
        <v>0</v>
      </c>
      <c r="S27" s="147">
        <v>0</v>
      </c>
      <c r="T27" s="147">
        <v>0</v>
      </c>
      <c r="U27" s="142">
        <v>0</v>
      </c>
      <c r="V27" s="279">
        <v>0</v>
      </c>
      <c r="W27" s="147">
        <v>0</v>
      </c>
      <c r="X27" s="142">
        <v>0</v>
      </c>
      <c r="Y27" s="147">
        <v>0</v>
      </c>
      <c r="Z27" s="279">
        <v>0</v>
      </c>
      <c r="AA27" s="147">
        <v>0</v>
      </c>
      <c r="AB27" s="147">
        <v>0</v>
      </c>
      <c r="AC27" s="280"/>
      <c r="AD27" s="279">
        <v>0</v>
      </c>
      <c r="AE27" s="142">
        <v>0</v>
      </c>
      <c r="AF27" s="142">
        <v>0</v>
      </c>
      <c r="AG27" s="142">
        <v>0</v>
      </c>
      <c r="AH27" s="142"/>
      <c r="AI27" s="279">
        <v>0</v>
      </c>
      <c r="AJ27" s="147">
        <v>0</v>
      </c>
      <c r="AK27" s="147">
        <v>0</v>
      </c>
      <c r="AL27" s="142">
        <v>0</v>
      </c>
      <c r="AM27" s="279">
        <v>0</v>
      </c>
      <c r="AN27" s="147">
        <v>0</v>
      </c>
      <c r="AO27" s="147">
        <v>0</v>
      </c>
      <c r="AP27" s="142">
        <v>0</v>
      </c>
      <c r="AQ27" s="279"/>
      <c r="AR27" s="147"/>
      <c r="AS27" s="147"/>
      <c r="AT27" s="147"/>
      <c r="AU27" s="142"/>
      <c r="AV27" s="279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</row>
    <row r="28" spans="2:60" x14ac:dyDescent="0.25">
      <c r="B28" t="s">
        <v>824</v>
      </c>
      <c r="C28" s="79">
        <v>39</v>
      </c>
      <c r="D28" s="279">
        <v>3018</v>
      </c>
      <c r="E28" s="147">
        <v>2799.6</v>
      </c>
      <c r="F28" s="147">
        <v>12248.65</v>
      </c>
      <c r="G28" s="147">
        <v>2611.15</v>
      </c>
      <c r="H28" s="280">
        <v>2966</v>
      </c>
      <c r="I28" s="142">
        <v>2993.55</v>
      </c>
      <c r="J28" s="142">
        <v>7610.6</v>
      </c>
      <c r="K28" s="142">
        <v>5887.1</v>
      </c>
      <c r="L28" s="142">
        <v>2471.4</v>
      </c>
      <c r="M28" s="279">
        <v>2126.25</v>
      </c>
      <c r="N28" s="147">
        <v>2431.9499999999998</v>
      </c>
      <c r="O28" s="147">
        <v>2900.2</v>
      </c>
      <c r="P28" s="142">
        <v>7373.4</v>
      </c>
      <c r="Q28" s="279">
        <v>4673.05</v>
      </c>
      <c r="R28" s="147">
        <v>3171.05</v>
      </c>
      <c r="S28" s="147">
        <v>2404.0500000000002</v>
      </c>
      <c r="T28" s="147">
        <v>2537.65</v>
      </c>
      <c r="U28" s="142">
        <v>9043</v>
      </c>
      <c r="V28" s="279">
        <v>2963.2</v>
      </c>
      <c r="W28" s="147">
        <v>2764.65</v>
      </c>
      <c r="X28" s="142">
        <v>2387.1999999999998</v>
      </c>
      <c r="Y28" s="147">
        <v>3058.9</v>
      </c>
      <c r="Z28" s="279">
        <v>2741</v>
      </c>
      <c r="AA28" s="147">
        <v>2580.1</v>
      </c>
      <c r="AB28" s="147">
        <v>3497.2</v>
      </c>
      <c r="AC28" s="280">
        <v>2491.9</v>
      </c>
      <c r="AD28" s="279">
        <v>2782.9</v>
      </c>
      <c r="AE28" s="142">
        <v>3070.3</v>
      </c>
      <c r="AF28" s="142">
        <v>2954.15</v>
      </c>
      <c r="AG28" s="142">
        <v>3498.1</v>
      </c>
      <c r="AH28" s="142">
        <v>2426.9</v>
      </c>
      <c r="AI28" s="279">
        <v>2773.55</v>
      </c>
      <c r="AJ28" s="147">
        <v>2507.85</v>
      </c>
      <c r="AK28" s="147">
        <v>5357.55</v>
      </c>
      <c r="AL28" s="142">
        <v>3121.05</v>
      </c>
      <c r="AM28" s="279">
        <v>2424.6999999999998</v>
      </c>
      <c r="AN28" s="147">
        <v>3213.85</v>
      </c>
      <c r="AO28" s="147">
        <v>2505.9</v>
      </c>
      <c r="AP28" s="142">
        <v>2877.95</v>
      </c>
      <c r="AQ28" s="279"/>
      <c r="AR28" s="147"/>
      <c r="AS28" s="147"/>
      <c r="AT28" s="147"/>
      <c r="AU28" s="142"/>
      <c r="AV28" s="279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</row>
    <row r="29" spans="2:60" x14ac:dyDescent="0.25">
      <c r="B29" t="s">
        <v>826</v>
      </c>
      <c r="C29" s="79">
        <v>40</v>
      </c>
      <c r="D29" s="279">
        <v>497.32</v>
      </c>
      <c r="E29" s="147">
        <v>478.47</v>
      </c>
      <c r="F29" s="147">
        <v>3391.42</v>
      </c>
      <c r="G29" s="147">
        <v>440.07</v>
      </c>
      <c r="H29" s="280">
        <v>553.23</v>
      </c>
      <c r="I29" s="142">
        <v>491.09</v>
      </c>
      <c r="J29" s="142">
        <v>1981.45</v>
      </c>
      <c r="K29" s="142">
        <v>1186.6099999999999</v>
      </c>
      <c r="L29" s="142">
        <v>466.12</v>
      </c>
      <c r="M29" s="279">
        <v>387.75</v>
      </c>
      <c r="N29" s="147">
        <v>498.3</v>
      </c>
      <c r="O29" s="147">
        <v>608.78</v>
      </c>
      <c r="P29" s="142">
        <v>1987.75</v>
      </c>
      <c r="Q29" s="279">
        <v>1164.1600000000001</v>
      </c>
      <c r="R29" s="147">
        <v>551.86</v>
      </c>
      <c r="S29" s="147">
        <v>585.55999999999995</v>
      </c>
      <c r="T29" s="147">
        <v>572.9</v>
      </c>
      <c r="U29" s="142">
        <v>1122.05</v>
      </c>
      <c r="V29" s="279">
        <v>721.66</v>
      </c>
      <c r="W29" s="147">
        <v>680.2</v>
      </c>
      <c r="X29" s="142">
        <v>602.89</v>
      </c>
      <c r="Y29" s="147">
        <v>726.87</v>
      </c>
      <c r="Z29" s="279">
        <v>690.27</v>
      </c>
      <c r="AA29" s="147">
        <v>539.66999999999996</v>
      </c>
      <c r="AB29" s="147">
        <v>647.47</v>
      </c>
      <c r="AC29" s="280">
        <v>584.39</v>
      </c>
      <c r="AD29" s="279">
        <v>650.29999999999995</v>
      </c>
      <c r="AE29" s="142">
        <v>660.46</v>
      </c>
      <c r="AF29" s="142">
        <v>655.03</v>
      </c>
      <c r="AG29" s="142">
        <v>789.9</v>
      </c>
      <c r="AH29" s="142">
        <v>469.28</v>
      </c>
      <c r="AI29" s="279">
        <v>620.20000000000005</v>
      </c>
      <c r="AJ29" s="147">
        <v>570.94000000000005</v>
      </c>
      <c r="AK29" s="147">
        <v>730.78</v>
      </c>
      <c r="AL29" s="142">
        <v>650.83000000000004</v>
      </c>
      <c r="AM29" s="279">
        <v>526.82000000000005</v>
      </c>
      <c r="AN29" s="147">
        <v>611.25</v>
      </c>
      <c r="AO29" s="147">
        <v>577.34</v>
      </c>
      <c r="AP29" s="142">
        <v>690.96</v>
      </c>
      <c r="AQ29" s="279"/>
      <c r="AR29" s="147"/>
      <c r="AS29" s="147"/>
      <c r="AT29" s="147"/>
      <c r="AU29" s="142"/>
      <c r="AV29" s="279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</row>
    <row r="30" spans="2:60" x14ac:dyDescent="0.25">
      <c r="B30" t="s">
        <v>832</v>
      </c>
      <c r="D30" s="279">
        <v>5.95</v>
      </c>
      <c r="E30" s="147">
        <v>15</v>
      </c>
      <c r="F30" s="147">
        <v>6</v>
      </c>
      <c r="G30" s="147">
        <v>6</v>
      </c>
      <c r="H30" s="280">
        <v>9</v>
      </c>
      <c r="I30" s="142">
        <v>12</v>
      </c>
      <c r="J30" s="142">
        <v>12</v>
      </c>
      <c r="K30" s="142">
        <v>6</v>
      </c>
      <c r="L30" s="142">
        <v>6</v>
      </c>
      <c r="M30" s="279">
        <v>0</v>
      </c>
      <c r="N30" s="147">
        <v>3</v>
      </c>
      <c r="O30" s="147">
        <v>6</v>
      </c>
      <c r="P30" s="142">
        <v>12</v>
      </c>
      <c r="Q30" s="279">
        <v>6</v>
      </c>
      <c r="R30" s="147">
        <v>18</v>
      </c>
      <c r="S30" s="147">
        <v>6</v>
      </c>
      <c r="T30" s="147">
        <v>18</v>
      </c>
      <c r="U30" s="142">
        <v>3</v>
      </c>
      <c r="V30" s="279">
        <v>21</v>
      </c>
      <c r="W30" s="147">
        <v>9</v>
      </c>
      <c r="X30" s="142">
        <v>9</v>
      </c>
      <c r="Y30" s="147">
        <v>18</v>
      </c>
      <c r="Z30" s="279">
        <v>18</v>
      </c>
      <c r="AA30" s="147">
        <v>12</v>
      </c>
      <c r="AB30" s="147">
        <v>15</v>
      </c>
      <c r="AC30" s="280"/>
      <c r="AD30" s="279">
        <v>6</v>
      </c>
      <c r="AE30" s="142">
        <v>9</v>
      </c>
      <c r="AF30" s="142">
        <v>24</v>
      </c>
      <c r="AG30" s="142">
        <v>9</v>
      </c>
      <c r="AH30" s="142">
        <v>12</v>
      </c>
      <c r="AI30" s="279">
        <v>21</v>
      </c>
      <c r="AJ30" s="147">
        <v>30</v>
      </c>
      <c r="AK30" s="147">
        <v>9</v>
      </c>
      <c r="AL30" s="142">
        <v>15</v>
      </c>
      <c r="AM30" s="279">
        <v>9</v>
      </c>
      <c r="AN30" s="147">
        <v>12</v>
      </c>
      <c r="AO30" s="147">
        <v>9</v>
      </c>
      <c r="AP30" s="142">
        <v>15</v>
      </c>
      <c r="AQ30" s="279"/>
      <c r="AR30" s="147"/>
      <c r="AS30" s="147"/>
      <c r="AT30" s="147"/>
      <c r="AU30" s="142"/>
      <c r="AV30" s="279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</row>
    <row r="31" spans="2:60" x14ac:dyDescent="0.25">
      <c r="B31" t="s">
        <v>828</v>
      </c>
      <c r="D31" s="281">
        <v>3388</v>
      </c>
      <c r="E31">
        <v>3609</v>
      </c>
      <c r="F31">
        <v>3174</v>
      </c>
      <c r="G31">
        <v>3252</v>
      </c>
      <c r="H31" s="282">
        <v>3299</v>
      </c>
      <c r="I31">
        <v>3405</v>
      </c>
      <c r="J31">
        <v>3128</v>
      </c>
      <c r="K31">
        <v>3284</v>
      </c>
      <c r="L31">
        <v>3045</v>
      </c>
      <c r="M31" s="281">
        <v>2344</v>
      </c>
      <c r="N31">
        <v>2299</v>
      </c>
      <c r="O31">
        <v>3125</v>
      </c>
      <c r="P31">
        <v>3193</v>
      </c>
      <c r="Q31" s="481">
        <v>2900</v>
      </c>
      <c r="R31" s="98">
        <v>3304</v>
      </c>
      <c r="S31" s="98">
        <v>3189</v>
      </c>
      <c r="T31" s="98">
        <v>3133</v>
      </c>
      <c r="U31" s="98">
        <v>2680</v>
      </c>
      <c r="V31" s="477">
        <v>3168</v>
      </c>
      <c r="W31" s="98">
        <v>3042</v>
      </c>
      <c r="X31" s="98">
        <v>3017</v>
      </c>
      <c r="Y31" s="98">
        <v>3024</v>
      </c>
      <c r="Z31" s="473">
        <v>3002</v>
      </c>
      <c r="AA31" s="79">
        <v>3146</v>
      </c>
      <c r="AB31" s="98">
        <v>3114</v>
      </c>
      <c r="AC31" s="98">
        <v>3136</v>
      </c>
      <c r="AD31" s="478">
        <v>3024</v>
      </c>
      <c r="AE31" s="479">
        <v>3225</v>
      </c>
      <c r="AF31" s="479">
        <v>3159</v>
      </c>
      <c r="AG31" s="480">
        <v>3000</v>
      </c>
      <c r="AH31" s="98">
        <v>3020</v>
      </c>
      <c r="AI31" s="477">
        <v>3232</v>
      </c>
      <c r="AJ31" s="98">
        <v>3251</v>
      </c>
      <c r="AK31" s="98">
        <v>3244</v>
      </c>
      <c r="AL31" s="98">
        <v>3329</v>
      </c>
      <c r="AM31" s="477">
        <v>3102</v>
      </c>
      <c r="AN31" s="98">
        <v>2958</v>
      </c>
      <c r="AO31" s="98">
        <v>3008</v>
      </c>
      <c r="AP31" s="98">
        <v>3228</v>
      </c>
      <c r="AQ31" s="481"/>
      <c r="AR31" s="98"/>
      <c r="AS31" s="98"/>
      <c r="AT31" s="98"/>
      <c r="AU31" s="98"/>
      <c r="AV31" s="477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</row>
    <row r="32" spans="2:60" x14ac:dyDescent="0.25">
      <c r="D32" s="281"/>
      <c r="H32" s="282"/>
      <c r="M32" s="281"/>
      <c r="Q32" s="281"/>
      <c r="V32" s="281"/>
      <c r="Z32" s="281"/>
      <c r="AD32" s="281"/>
      <c r="AI32" s="281"/>
      <c r="AM32" s="281"/>
      <c r="AQ32" s="281"/>
      <c r="AV32" s="281"/>
    </row>
    <row r="33" spans="2:55" x14ac:dyDescent="0.25">
      <c r="B33" s="142" t="s">
        <v>833</v>
      </c>
      <c r="D33" s="279">
        <f t="shared" ref="D33:BC33" si="1">D2+D28+D29+D30</f>
        <v>73724.86</v>
      </c>
      <c r="E33" s="147">
        <f t="shared" si="1"/>
        <v>65436.31</v>
      </c>
      <c r="F33" s="147">
        <f t="shared" si="1"/>
        <v>89536.78</v>
      </c>
      <c r="G33" s="147">
        <f t="shared" si="1"/>
        <v>58243.23</v>
      </c>
      <c r="H33" s="280">
        <f t="shared" si="1"/>
        <v>65244.460000000006</v>
      </c>
      <c r="I33" s="142">
        <f t="shared" si="1"/>
        <v>71195.679999999993</v>
      </c>
      <c r="J33" s="142">
        <f t="shared" si="1"/>
        <v>79334.87000000001</v>
      </c>
      <c r="K33" s="142">
        <f t="shared" si="1"/>
        <v>74986.47</v>
      </c>
      <c r="L33" s="142">
        <f t="shared" si="1"/>
        <v>69741.469999999987</v>
      </c>
      <c r="M33" s="279">
        <f t="shared" si="1"/>
        <v>40173.32</v>
      </c>
      <c r="N33" s="147">
        <f t="shared" si="1"/>
        <v>42267.88</v>
      </c>
      <c r="O33" s="147">
        <f t="shared" si="1"/>
        <v>59347.28</v>
      </c>
      <c r="P33" s="142">
        <f t="shared" si="1"/>
        <v>75316.299999999988</v>
      </c>
      <c r="Q33" s="279">
        <f t="shared" si="1"/>
        <v>61684.990000000005</v>
      </c>
      <c r="R33" s="147">
        <f t="shared" si="1"/>
        <v>58954.75</v>
      </c>
      <c r="S33" s="147">
        <f t="shared" si="1"/>
        <v>55791.15</v>
      </c>
      <c r="T33" s="147">
        <f t="shared" si="1"/>
        <v>52916.160000000003</v>
      </c>
      <c r="U33" s="142">
        <f t="shared" si="1"/>
        <v>57992.9</v>
      </c>
      <c r="V33" s="279">
        <f t="shared" si="1"/>
        <v>54061.590000000004</v>
      </c>
      <c r="W33" s="147">
        <f t="shared" si="1"/>
        <v>91789.939999999988</v>
      </c>
      <c r="X33" s="142">
        <f t="shared" si="1"/>
        <v>56885.929999999993</v>
      </c>
      <c r="Y33" s="147">
        <f t="shared" si="1"/>
        <v>55899.33</v>
      </c>
      <c r="Z33" s="279">
        <f t="shared" si="1"/>
        <v>65135.509999999995</v>
      </c>
      <c r="AA33" s="147">
        <f t="shared" si="1"/>
        <v>52721.03</v>
      </c>
      <c r="AB33" s="147">
        <f t="shared" si="1"/>
        <v>53911.119999999995</v>
      </c>
      <c r="AC33" s="280">
        <f t="shared" si="1"/>
        <v>60542.74</v>
      </c>
      <c r="AD33" s="279">
        <f t="shared" si="1"/>
        <v>57314.22</v>
      </c>
      <c r="AE33" s="142">
        <f t="shared" si="1"/>
        <v>57857.94</v>
      </c>
      <c r="AF33" s="142">
        <f t="shared" si="1"/>
        <v>65604.11</v>
      </c>
      <c r="AG33" s="142">
        <f t="shared" si="1"/>
        <v>61008.800000000003</v>
      </c>
      <c r="AH33" s="142">
        <f t="shared" si="1"/>
        <v>52484</v>
      </c>
      <c r="AI33" s="279">
        <f t="shared" si="1"/>
        <v>61641.52</v>
      </c>
      <c r="AJ33" s="142">
        <f t="shared" si="1"/>
        <v>62392.090000000004</v>
      </c>
      <c r="AK33" s="142">
        <f t="shared" si="1"/>
        <v>84204.12</v>
      </c>
      <c r="AL33" s="142">
        <f t="shared" si="1"/>
        <v>98883.63</v>
      </c>
      <c r="AM33" s="279">
        <f t="shared" si="1"/>
        <v>64547.64</v>
      </c>
      <c r="AN33" s="142">
        <f t="shared" si="1"/>
        <v>65430.65</v>
      </c>
      <c r="AO33" s="142">
        <f t="shared" si="1"/>
        <v>55130.2</v>
      </c>
      <c r="AP33" s="142">
        <f t="shared" si="1"/>
        <v>84710.56</v>
      </c>
      <c r="AQ33" s="279">
        <f t="shared" si="1"/>
        <v>0</v>
      </c>
      <c r="AR33" s="147">
        <f t="shared" si="1"/>
        <v>0</v>
      </c>
      <c r="AS33" s="147">
        <f t="shared" si="1"/>
        <v>0</v>
      </c>
      <c r="AT33" s="147">
        <f t="shared" si="1"/>
        <v>0</v>
      </c>
      <c r="AU33" s="142">
        <f t="shared" si="1"/>
        <v>0</v>
      </c>
      <c r="AV33" s="279">
        <f t="shared" si="1"/>
        <v>0</v>
      </c>
      <c r="AW33" s="142">
        <f t="shared" si="1"/>
        <v>0</v>
      </c>
      <c r="AX33" s="142">
        <f t="shared" si="1"/>
        <v>0</v>
      </c>
      <c r="AY33" s="142">
        <f t="shared" si="1"/>
        <v>0</v>
      </c>
      <c r="AZ33" s="142">
        <f t="shared" si="1"/>
        <v>0</v>
      </c>
      <c r="BA33" s="142">
        <f t="shared" si="1"/>
        <v>0</v>
      </c>
      <c r="BB33" s="142">
        <f t="shared" si="1"/>
        <v>0</v>
      </c>
      <c r="BC33" s="142">
        <f t="shared" si="1"/>
        <v>0</v>
      </c>
    </row>
    <row r="34" spans="2:55" x14ac:dyDescent="0.25">
      <c r="B34" s="142" t="s">
        <v>834</v>
      </c>
      <c r="D34" s="279">
        <f t="shared" ref="D34:BC35" si="2">D3</f>
        <v>7634.13</v>
      </c>
      <c r="E34" s="147">
        <f t="shared" si="2"/>
        <v>8502.56</v>
      </c>
      <c r="F34" s="147">
        <f t="shared" si="2"/>
        <v>7491.02</v>
      </c>
      <c r="G34" s="147">
        <f t="shared" si="2"/>
        <v>6422.35</v>
      </c>
      <c r="H34" s="280">
        <f t="shared" si="2"/>
        <v>9327.32</v>
      </c>
      <c r="I34" s="142">
        <f t="shared" si="2"/>
        <v>7204.04</v>
      </c>
      <c r="J34" s="142">
        <f t="shared" si="2"/>
        <v>8584.6200000000008</v>
      </c>
      <c r="K34" s="142">
        <f t="shared" si="2"/>
        <v>8143.2</v>
      </c>
      <c r="L34" s="142">
        <f t="shared" si="2"/>
        <v>8096.63</v>
      </c>
      <c r="M34" s="279">
        <f t="shared" si="2"/>
        <v>5217.3100000000004</v>
      </c>
      <c r="N34" s="147">
        <f t="shared" si="2"/>
        <v>4520.37</v>
      </c>
      <c r="O34" s="147">
        <f t="shared" si="2"/>
        <v>6911.53</v>
      </c>
      <c r="P34" s="142">
        <f t="shared" si="2"/>
        <v>9713.24</v>
      </c>
      <c r="Q34" s="279">
        <f t="shared" si="2"/>
        <v>6795.22</v>
      </c>
      <c r="R34" s="147">
        <f t="shared" si="2"/>
        <v>8352.8700000000008</v>
      </c>
      <c r="S34" s="147">
        <f t="shared" si="2"/>
        <v>8524.81</v>
      </c>
      <c r="T34" s="147">
        <f t="shared" si="2"/>
        <v>10751.11</v>
      </c>
      <c r="U34" s="142">
        <f t="shared" si="2"/>
        <v>5588.17</v>
      </c>
      <c r="V34" s="279">
        <f t="shared" si="2"/>
        <v>8074.23</v>
      </c>
      <c r="W34" s="147">
        <f t="shared" si="2"/>
        <v>8238.58</v>
      </c>
      <c r="X34" s="142">
        <f t="shared" si="2"/>
        <v>8001.21</v>
      </c>
      <c r="Y34" s="147">
        <f t="shared" si="2"/>
        <v>8389.19</v>
      </c>
      <c r="Z34" s="279">
        <f t="shared" si="2"/>
        <v>8364.3799999999992</v>
      </c>
      <c r="AA34" s="147">
        <f t="shared" si="2"/>
        <v>5380.85</v>
      </c>
      <c r="AB34" s="147">
        <f t="shared" si="2"/>
        <v>6109.01</v>
      </c>
      <c r="AC34" s="280">
        <f t="shared" si="2"/>
        <v>8444.73</v>
      </c>
      <c r="AD34" s="279">
        <f t="shared" si="2"/>
        <v>7126.97</v>
      </c>
      <c r="AE34" s="142">
        <f t="shared" si="2"/>
        <v>9762.94</v>
      </c>
      <c r="AF34" s="142">
        <f t="shared" si="2"/>
        <v>10211.299999999999</v>
      </c>
      <c r="AG34" s="142">
        <f t="shared" si="2"/>
        <v>9995.2999999999993</v>
      </c>
      <c r="AH34" s="142">
        <f t="shared" si="2"/>
        <v>8720.76</v>
      </c>
      <c r="AI34" s="279">
        <f t="shared" si="2"/>
        <v>9466.2800000000007</v>
      </c>
      <c r="AJ34" s="142">
        <f t="shared" si="2"/>
        <v>8713.8700000000008</v>
      </c>
      <c r="AK34" s="142">
        <f t="shared" si="2"/>
        <v>10209.219999999999</v>
      </c>
      <c r="AL34" s="142">
        <f t="shared" si="2"/>
        <v>10077.76</v>
      </c>
      <c r="AM34" s="279">
        <f t="shared" si="2"/>
        <v>11330.6</v>
      </c>
      <c r="AN34" s="142">
        <f t="shared" si="2"/>
        <v>7687.72</v>
      </c>
      <c r="AO34" s="142">
        <f t="shared" si="2"/>
        <v>9611.16</v>
      </c>
      <c r="AP34" s="142">
        <f t="shared" si="2"/>
        <v>12022.38</v>
      </c>
      <c r="AQ34" s="279">
        <f t="shared" si="2"/>
        <v>0</v>
      </c>
      <c r="AR34" s="147">
        <f t="shared" si="2"/>
        <v>0</v>
      </c>
      <c r="AS34" s="147">
        <f t="shared" si="2"/>
        <v>0</v>
      </c>
      <c r="AT34" s="147">
        <f t="shared" si="2"/>
        <v>0</v>
      </c>
      <c r="AU34" s="142">
        <f t="shared" si="2"/>
        <v>0</v>
      </c>
      <c r="AV34" s="279">
        <f t="shared" si="2"/>
        <v>0</v>
      </c>
      <c r="AW34" s="142">
        <f t="shared" si="2"/>
        <v>0</v>
      </c>
      <c r="AX34" s="142">
        <f t="shared" si="2"/>
        <v>0</v>
      </c>
      <c r="AY34" s="142">
        <f t="shared" si="2"/>
        <v>0</v>
      </c>
      <c r="AZ34" s="142">
        <f t="shared" si="2"/>
        <v>0</v>
      </c>
      <c r="BA34" s="142">
        <f t="shared" si="2"/>
        <v>0</v>
      </c>
      <c r="BB34" s="142">
        <f t="shared" si="2"/>
        <v>0</v>
      </c>
      <c r="BC34" s="142">
        <f t="shared" si="2"/>
        <v>0</v>
      </c>
    </row>
    <row r="35" spans="2:55" x14ac:dyDescent="0.25">
      <c r="B35" s="142" t="s">
        <v>782</v>
      </c>
      <c r="D35" s="279">
        <f t="shared" si="2"/>
        <v>1843.78</v>
      </c>
      <c r="E35" s="147">
        <f t="shared" si="2"/>
        <v>5550.92</v>
      </c>
      <c r="F35" s="147">
        <f t="shared" si="2"/>
        <v>2053.64</v>
      </c>
      <c r="G35" s="147">
        <f t="shared" si="2"/>
        <v>2267.37</v>
      </c>
      <c r="H35" s="280">
        <f t="shared" si="2"/>
        <v>1675.55</v>
      </c>
      <c r="I35" s="142">
        <f t="shared" si="2"/>
        <v>1825.48</v>
      </c>
      <c r="J35" s="142">
        <f t="shared" si="2"/>
        <v>1919.05</v>
      </c>
      <c r="K35" s="142">
        <f t="shared" si="2"/>
        <v>2111.09</v>
      </c>
      <c r="L35" s="142">
        <f t="shared" si="2"/>
        <v>1971.52</v>
      </c>
      <c r="M35" s="279">
        <f t="shared" si="2"/>
        <v>1326.75</v>
      </c>
      <c r="N35" s="147">
        <f t="shared" si="2"/>
        <v>1429.64</v>
      </c>
      <c r="O35" s="147">
        <f t="shared" si="2"/>
        <v>2415.9699999999998</v>
      </c>
      <c r="P35" s="142">
        <f t="shared" si="2"/>
        <v>2281.6</v>
      </c>
      <c r="Q35" s="279">
        <f t="shared" si="2"/>
        <v>1697.88</v>
      </c>
      <c r="R35" s="147">
        <f t="shared" si="2"/>
        <v>2092.66</v>
      </c>
      <c r="S35" s="147">
        <f t="shared" si="2"/>
        <v>2331.9</v>
      </c>
      <c r="T35" s="147">
        <f t="shared" si="2"/>
        <v>3014.86</v>
      </c>
      <c r="U35" s="142">
        <f t="shared" si="2"/>
        <v>1536.14</v>
      </c>
      <c r="V35" s="279">
        <f t="shared" si="2"/>
        <v>1548.42</v>
      </c>
      <c r="W35" s="147">
        <f t="shared" si="2"/>
        <v>2224.2399999999998</v>
      </c>
      <c r="X35" s="142">
        <f t="shared" si="2"/>
        <v>1552.42</v>
      </c>
      <c r="Y35" s="147">
        <f t="shared" si="2"/>
        <v>1783.64</v>
      </c>
      <c r="Z35" s="279">
        <f t="shared" si="2"/>
        <v>1535.92</v>
      </c>
      <c r="AA35" s="147">
        <f t="shared" si="2"/>
        <v>1577.1</v>
      </c>
      <c r="AB35" s="147">
        <f t="shared" si="2"/>
        <v>2515.02</v>
      </c>
      <c r="AC35" s="280">
        <f t="shared" si="2"/>
        <v>1640.08</v>
      </c>
      <c r="AD35" s="279">
        <f t="shared" si="2"/>
        <v>1882.98</v>
      </c>
      <c r="AE35" s="142">
        <f t="shared" si="2"/>
        <v>1760.17</v>
      </c>
      <c r="AF35" s="142">
        <f t="shared" si="2"/>
        <v>1959.54</v>
      </c>
      <c r="AG35" s="142">
        <f t="shared" si="2"/>
        <v>1964.28</v>
      </c>
      <c r="AH35" s="142">
        <f t="shared" si="2"/>
        <v>1440.72</v>
      </c>
      <c r="AI35" s="279">
        <f t="shared" si="2"/>
        <v>4154.12</v>
      </c>
      <c r="AJ35" s="142">
        <f t="shared" si="2"/>
        <v>2113.31</v>
      </c>
      <c r="AK35" s="142">
        <f t="shared" si="2"/>
        <v>1803.84</v>
      </c>
      <c r="AL35" s="142">
        <f t="shared" si="2"/>
        <v>1939.16</v>
      </c>
      <c r="AM35" s="279">
        <f t="shared" si="2"/>
        <v>2802.19</v>
      </c>
      <c r="AN35" s="142">
        <f t="shared" si="2"/>
        <v>1484.77</v>
      </c>
      <c r="AO35" s="142">
        <f t="shared" si="2"/>
        <v>3251.61</v>
      </c>
      <c r="AP35" s="142">
        <f t="shared" si="2"/>
        <v>2019.42</v>
      </c>
      <c r="AQ35" s="279">
        <f t="shared" si="2"/>
        <v>0</v>
      </c>
      <c r="AR35" s="147">
        <f t="shared" si="2"/>
        <v>0</v>
      </c>
      <c r="AS35" s="147">
        <f t="shared" si="2"/>
        <v>0</v>
      </c>
      <c r="AT35" s="147">
        <f t="shared" si="2"/>
        <v>0</v>
      </c>
      <c r="AU35" s="142">
        <f t="shared" si="2"/>
        <v>0</v>
      </c>
      <c r="AV35" s="279">
        <f t="shared" si="2"/>
        <v>0</v>
      </c>
      <c r="AW35" s="142">
        <f t="shared" si="2"/>
        <v>0</v>
      </c>
      <c r="AX35" s="142">
        <f t="shared" si="2"/>
        <v>0</v>
      </c>
      <c r="AY35" s="142">
        <f t="shared" si="2"/>
        <v>0</v>
      </c>
      <c r="AZ35" s="142">
        <f t="shared" si="2"/>
        <v>0</v>
      </c>
      <c r="BA35" s="142">
        <f t="shared" si="2"/>
        <v>0</v>
      </c>
      <c r="BB35" s="142">
        <f t="shared" si="2"/>
        <v>0</v>
      </c>
      <c r="BC35" s="142">
        <f t="shared" si="2"/>
        <v>0</v>
      </c>
    </row>
    <row r="36" spans="2:55" x14ac:dyDescent="0.25">
      <c r="B36" s="142" t="s">
        <v>835</v>
      </c>
      <c r="D36" s="283">
        <f t="shared" ref="D36:BC36" si="3">D7+D8</f>
        <v>3843.6400000000003</v>
      </c>
      <c r="E36" s="284">
        <f t="shared" si="3"/>
        <v>2910.05</v>
      </c>
      <c r="F36" s="284">
        <f t="shared" si="3"/>
        <v>3236.46</v>
      </c>
      <c r="G36" s="284">
        <f t="shared" si="3"/>
        <v>3678.09</v>
      </c>
      <c r="H36" s="285">
        <f t="shared" si="3"/>
        <v>4513.25</v>
      </c>
      <c r="I36" s="284">
        <f t="shared" si="3"/>
        <v>7017.01</v>
      </c>
      <c r="J36" s="284">
        <f t="shared" si="3"/>
        <v>4767.26</v>
      </c>
      <c r="K36" s="284">
        <f t="shared" si="3"/>
        <v>4882.75</v>
      </c>
      <c r="L36" s="284">
        <f t="shared" si="3"/>
        <v>5623.06</v>
      </c>
      <c r="M36" s="283">
        <f t="shared" si="3"/>
        <v>3467.33</v>
      </c>
      <c r="N36" s="284">
        <f t="shared" si="3"/>
        <v>3167.62</v>
      </c>
      <c r="O36" s="284">
        <f t="shared" si="3"/>
        <v>3870.03</v>
      </c>
      <c r="P36" s="284">
        <f t="shared" si="3"/>
        <v>5355.17</v>
      </c>
      <c r="Q36" s="283">
        <f t="shared" si="3"/>
        <v>2595.84</v>
      </c>
      <c r="R36" s="284">
        <f t="shared" si="3"/>
        <v>2841.4300000000003</v>
      </c>
      <c r="S36" s="284">
        <f t="shared" si="3"/>
        <v>3964.0299999999997</v>
      </c>
      <c r="T36" s="284">
        <f t="shared" si="3"/>
        <v>3239.32</v>
      </c>
      <c r="U36" s="284">
        <f t="shared" si="3"/>
        <v>3163.08</v>
      </c>
      <c r="V36" s="283">
        <f t="shared" si="3"/>
        <v>2708.7799999999997</v>
      </c>
      <c r="W36" s="284">
        <f t="shared" si="3"/>
        <v>3577.7799999999997</v>
      </c>
      <c r="X36" s="284">
        <f t="shared" si="3"/>
        <v>3439.8599999999997</v>
      </c>
      <c r="Y36" s="284">
        <f t="shared" si="3"/>
        <v>3276.98</v>
      </c>
      <c r="Z36" s="283">
        <f t="shared" si="3"/>
        <v>3045.66</v>
      </c>
      <c r="AA36" s="284">
        <f t="shared" si="3"/>
        <v>2251.25</v>
      </c>
      <c r="AB36" s="284">
        <f t="shared" si="3"/>
        <v>3051.05</v>
      </c>
      <c r="AC36" s="285">
        <f t="shared" si="3"/>
        <v>3509.8</v>
      </c>
      <c r="AD36" s="283">
        <f t="shared" si="3"/>
        <v>2776.73</v>
      </c>
      <c r="AE36" s="284">
        <f t="shared" si="3"/>
        <v>2885.31</v>
      </c>
      <c r="AF36" s="284">
        <f t="shared" si="3"/>
        <v>4054.83</v>
      </c>
      <c r="AG36" s="284">
        <f t="shared" si="3"/>
        <v>2701.27</v>
      </c>
      <c r="AH36" s="284">
        <f t="shared" si="3"/>
        <v>3725.75</v>
      </c>
      <c r="AI36" s="283">
        <f t="shared" si="3"/>
        <v>2372.65</v>
      </c>
      <c r="AJ36" s="284">
        <f t="shared" si="3"/>
        <v>3454.14</v>
      </c>
      <c r="AK36" s="284">
        <f t="shared" si="3"/>
        <v>3018.1800000000003</v>
      </c>
      <c r="AL36" s="284">
        <f t="shared" si="3"/>
        <v>6486.39</v>
      </c>
      <c r="AM36" s="283">
        <f t="shared" si="3"/>
        <v>3775.24</v>
      </c>
      <c r="AN36" s="284">
        <f t="shared" si="3"/>
        <v>3379.8</v>
      </c>
      <c r="AO36" s="284">
        <f t="shared" si="3"/>
        <v>2955.09</v>
      </c>
      <c r="AP36" s="284">
        <f t="shared" si="3"/>
        <v>2292.79</v>
      </c>
      <c r="AQ36" s="283">
        <f t="shared" si="3"/>
        <v>0</v>
      </c>
      <c r="AR36" s="284">
        <f t="shared" si="3"/>
        <v>0</v>
      </c>
      <c r="AS36" s="284">
        <f t="shared" si="3"/>
        <v>0</v>
      </c>
      <c r="AT36" s="284">
        <f t="shared" si="3"/>
        <v>0</v>
      </c>
      <c r="AU36" s="284">
        <f t="shared" si="3"/>
        <v>0</v>
      </c>
      <c r="AV36" s="283">
        <f t="shared" si="3"/>
        <v>0</v>
      </c>
      <c r="AW36" s="284">
        <f t="shared" si="3"/>
        <v>0</v>
      </c>
      <c r="AX36" s="284">
        <f t="shared" si="3"/>
        <v>0</v>
      </c>
      <c r="AY36" s="284">
        <f t="shared" si="3"/>
        <v>0</v>
      </c>
      <c r="AZ36" s="284">
        <f t="shared" si="3"/>
        <v>0</v>
      </c>
      <c r="BA36" s="284">
        <f t="shared" si="3"/>
        <v>0</v>
      </c>
      <c r="BB36" s="284">
        <f t="shared" si="3"/>
        <v>0</v>
      </c>
      <c r="BC36" s="284">
        <f t="shared" si="3"/>
        <v>0</v>
      </c>
    </row>
    <row r="37" spans="2:55" x14ac:dyDescent="0.25">
      <c r="B37" s="255" t="s">
        <v>833</v>
      </c>
      <c r="D37" s="286">
        <f t="shared" ref="D37:L37" si="4">SUM(D33:D36)</f>
        <v>87046.41</v>
      </c>
      <c r="E37" s="287">
        <f t="shared" si="4"/>
        <v>82399.839999999997</v>
      </c>
      <c r="F37" s="287">
        <f t="shared" si="4"/>
        <v>102317.90000000001</v>
      </c>
      <c r="G37" s="287">
        <f t="shared" si="4"/>
        <v>70611.039999999994</v>
      </c>
      <c r="H37" s="288">
        <f t="shared" si="4"/>
        <v>80760.58</v>
      </c>
      <c r="I37" s="255">
        <f t="shared" si="4"/>
        <v>87242.209999999977</v>
      </c>
      <c r="J37" s="255">
        <f t="shared" si="4"/>
        <v>94605.8</v>
      </c>
      <c r="K37" s="255">
        <f t="shared" si="4"/>
        <v>90123.51</v>
      </c>
      <c r="L37" s="255">
        <f t="shared" si="4"/>
        <v>85432.68</v>
      </c>
      <c r="M37" s="286">
        <f t="shared" ref="M37:BC37" si="5">SUM(M33:M36)</f>
        <v>50184.71</v>
      </c>
      <c r="N37" s="287">
        <f t="shared" si="5"/>
        <v>51385.51</v>
      </c>
      <c r="O37" s="287">
        <f t="shared" si="5"/>
        <v>72544.81</v>
      </c>
      <c r="P37" s="255">
        <f t="shared" si="5"/>
        <v>92666.31</v>
      </c>
      <c r="Q37" s="286">
        <f t="shared" si="5"/>
        <v>72773.930000000008</v>
      </c>
      <c r="R37" s="287">
        <f t="shared" si="5"/>
        <v>72241.709999999992</v>
      </c>
      <c r="S37" s="287">
        <f t="shared" si="5"/>
        <v>70611.89</v>
      </c>
      <c r="T37" s="287">
        <f t="shared" si="5"/>
        <v>69921.450000000012</v>
      </c>
      <c r="U37" s="255">
        <f t="shared" si="5"/>
        <v>68280.289999999994</v>
      </c>
      <c r="V37" s="286">
        <f t="shared" si="5"/>
        <v>66393.02</v>
      </c>
      <c r="W37" s="287">
        <f t="shared" si="5"/>
        <v>105830.54</v>
      </c>
      <c r="X37" s="255">
        <f t="shared" si="5"/>
        <v>69879.42</v>
      </c>
      <c r="Y37" s="287">
        <f t="shared" si="5"/>
        <v>69349.14</v>
      </c>
      <c r="Z37" s="286">
        <f t="shared" si="5"/>
        <v>78081.47</v>
      </c>
      <c r="AA37" s="287">
        <f t="shared" si="5"/>
        <v>61930.229999999996</v>
      </c>
      <c r="AB37" s="287">
        <f t="shared" si="5"/>
        <v>65586.2</v>
      </c>
      <c r="AC37" s="288">
        <f t="shared" si="5"/>
        <v>74137.350000000006</v>
      </c>
      <c r="AD37" s="286">
        <f t="shared" si="5"/>
        <v>69100.899999999994</v>
      </c>
      <c r="AE37" s="255">
        <f t="shared" si="5"/>
        <v>72266.36</v>
      </c>
      <c r="AF37" s="255">
        <f t="shared" si="5"/>
        <v>81829.78</v>
      </c>
      <c r="AG37" s="255">
        <f t="shared" si="5"/>
        <v>75669.650000000009</v>
      </c>
      <c r="AH37" s="255">
        <f t="shared" si="5"/>
        <v>66371.23000000001</v>
      </c>
      <c r="AI37" s="286">
        <f t="shared" si="5"/>
        <v>77634.569999999992</v>
      </c>
      <c r="AJ37" s="255">
        <f t="shared" si="5"/>
        <v>76673.41</v>
      </c>
      <c r="AK37" s="255">
        <f t="shared" si="5"/>
        <v>99235.359999999986</v>
      </c>
      <c r="AL37" s="255">
        <f t="shared" si="5"/>
        <v>117386.94</v>
      </c>
      <c r="AM37" s="286">
        <f t="shared" si="5"/>
        <v>82455.670000000013</v>
      </c>
      <c r="AN37" s="255">
        <f t="shared" si="5"/>
        <v>77982.94</v>
      </c>
      <c r="AO37" s="255">
        <f t="shared" si="5"/>
        <v>70948.06</v>
      </c>
      <c r="AP37" s="255">
        <f t="shared" si="5"/>
        <v>101045.15</v>
      </c>
      <c r="AQ37" s="286">
        <f t="shared" si="5"/>
        <v>0</v>
      </c>
      <c r="AR37" s="287">
        <f t="shared" si="5"/>
        <v>0</v>
      </c>
      <c r="AS37" s="287">
        <f t="shared" si="5"/>
        <v>0</v>
      </c>
      <c r="AT37" s="287">
        <f t="shared" si="5"/>
        <v>0</v>
      </c>
      <c r="AU37" s="255">
        <f t="shared" si="5"/>
        <v>0</v>
      </c>
      <c r="AV37" s="286">
        <f t="shared" si="5"/>
        <v>0</v>
      </c>
      <c r="AW37" s="255">
        <f t="shared" si="5"/>
        <v>0</v>
      </c>
      <c r="AX37" s="255">
        <f t="shared" si="5"/>
        <v>0</v>
      </c>
      <c r="AY37" s="255">
        <f t="shared" si="5"/>
        <v>0</v>
      </c>
      <c r="AZ37" s="255">
        <f t="shared" si="5"/>
        <v>0</v>
      </c>
      <c r="BA37" s="255">
        <f t="shared" si="5"/>
        <v>0</v>
      </c>
      <c r="BB37" s="255">
        <f t="shared" si="5"/>
        <v>0</v>
      </c>
      <c r="BC37" s="255">
        <f t="shared" si="5"/>
        <v>0</v>
      </c>
    </row>
    <row r="38" spans="2:55" x14ac:dyDescent="0.25">
      <c r="B38" s="255" t="s">
        <v>836</v>
      </c>
      <c r="D38" s="279">
        <f t="shared" ref="D38:BC39" si="6">D9</f>
        <v>29061.1</v>
      </c>
      <c r="E38" s="147">
        <f t="shared" si="6"/>
        <v>29808.15</v>
      </c>
      <c r="F38" s="147">
        <f t="shared" si="6"/>
        <v>24244.47</v>
      </c>
      <c r="G38" s="147">
        <f t="shared" si="6"/>
        <v>24415.57</v>
      </c>
      <c r="H38" s="280">
        <f t="shared" si="6"/>
        <v>25912.29</v>
      </c>
      <c r="I38" s="142">
        <f t="shared" si="6"/>
        <v>26907.83</v>
      </c>
      <c r="J38" s="142">
        <f t="shared" si="6"/>
        <v>25822.14</v>
      </c>
      <c r="K38" s="142">
        <f t="shared" si="6"/>
        <v>30557.45</v>
      </c>
      <c r="L38" s="142">
        <f t="shared" si="6"/>
        <v>20879.46</v>
      </c>
      <c r="M38" s="279">
        <f t="shared" si="6"/>
        <v>17296.150000000001</v>
      </c>
      <c r="N38" s="147">
        <f t="shared" si="6"/>
        <v>21371.97</v>
      </c>
      <c r="O38" s="147">
        <f t="shared" si="6"/>
        <v>28659.8</v>
      </c>
      <c r="P38" s="142">
        <f t="shared" si="6"/>
        <v>26718.54</v>
      </c>
      <c r="Q38" s="279">
        <f t="shared" si="6"/>
        <v>24887.919999999998</v>
      </c>
      <c r="R38" s="147">
        <f t="shared" si="6"/>
        <v>32200.7</v>
      </c>
      <c r="S38" s="147">
        <f t="shared" si="6"/>
        <v>24854.959999999999</v>
      </c>
      <c r="T38" s="147">
        <f t="shared" si="6"/>
        <v>26822.720000000001</v>
      </c>
      <c r="U38" s="142">
        <f t="shared" si="6"/>
        <v>151014.28</v>
      </c>
      <c r="V38" s="279">
        <f t="shared" si="6"/>
        <v>28896.799999999999</v>
      </c>
      <c r="W38" s="147">
        <f t="shared" si="6"/>
        <v>24593.32</v>
      </c>
      <c r="X38" s="142">
        <f t="shared" si="6"/>
        <v>24374.65</v>
      </c>
      <c r="Y38" s="147">
        <f t="shared" si="6"/>
        <v>30418.62</v>
      </c>
      <c r="Z38" s="279">
        <f t="shared" si="6"/>
        <v>23989.1</v>
      </c>
      <c r="AA38" s="147">
        <f t="shared" si="6"/>
        <v>26072.560000000001</v>
      </c>
      <c r="AB38" s="147">
        <f t="shared" si="6"/>
        <v>33304.68</v>
      </c>
      <c r="AC38" s="280">
        <f t="shared" si="6"/>
        <v>25065.81</v>
      </c>
      <c r="AD38" s="279">
        <f t="shared" si="6"/>
        <v>32504.47</v>
      </c>
      <c r="AE38" s="142">
        <f t="shared" si="6"/>
        <v>31998.61</v>
      </c>
      <c r="AF38" s="142">
        <f t="shared" si="6"/>
        <v>31456.94</v>
      </c>
      <c r="AG38" s="142">
        <f t="shared" si="6"/>
        <v>32144.2</v>
      </c>
      <c r="AH38" s="142">
        <f t="shared" si="6"/>
        <v>28738</v>
      </c>
      <c r="AI38" s="279">
        <f t="shared" si="6"/>
        <v>29818.98</v>
      </c>
      <c r="AJ38" s="142">
        <f t="shared" si="6"/>
        <v>27076.63</v>
      </c>
      <c r="AK38" s="142">
        <f t="shared" si="6"/>
        <v>50942.18</v>
      </c>
      <c r="AL38" s="142">
        <f t="shared" si="6"/>
        <v>31796.02</v>
      </c>
      <c r="AM38" s="279">
        <f t="shared" si="6"/>
        <v>28945.13</v>
      </c>
      <c r="AN38" s="142">
        <f t="shared" si="6"/>
        <v>33229.1</v>
      </c>
      <c r="AO38" s="142">
        <f t="shared" si="6"/>
        <v>26590.76</v>
      </c>
      <c r="AP38" s="142">
        <f t="shared" si="6"/>
        <v>28389.85</v>
      </c>
      <c r="AQ38" s="279">
        <f t="shared" si="6"/>
        <v>0</v>
      </c>
      <c r="AR38" s="147">
        <f t="shared" si="6"/>
        <v>0</v>
      </c>
      <c r="AS38" s="147">
        <f t="shared" si="6"/>
        <v>0</v>
      </c>
      <c r="AT38" s="147">
        <f t="shared" si="6"/>
        <v>0</v>
      </c>
      <c r="AU38" s="142">
        <f t="shared" si="6"/>
        <v>0</v>
      </c>
      <c r="AV38" s="279">
        <f t="shared" si="6"/>
        <v>0</v>
      </c>
      <c r="AW38" s="142">
        <f t="shared" si="6"/>
        <v>0</v>
      </c>
      <c r="AX38" s="142">
        <f t="shared" si="6"/>
        <v>0</v>
      </c>
      <c r="AY38" s="142">
        <f t="shared" si="6"/>
        <v>0</v>
      </c>
      <c r="AZ38" s="142">
        <f t="shared" si="6"/>
        <v>0</v>
      </c>
      <c r="BA38" s="142">
        <f t="shared" si="6"/>
        <v>0</v>
      </c>
      <c r="BB38" s="142">
        <f t="shared" si="6"/>
        <v>0</v>
      </c>
      <c r="BC38" s="142">
        <f t="shared" si="6"/>
        <v>0</v>
      </c>
    </row>
    <row r="39" spans="2:55" x14ac:dyDescent="0.25">
      <c r="B39" s="255" t="s">
        <v>798</v>
      </c>
      <c r="D39" s="279">
        <f t="shared" si="6"/>
        <v>20657.04</v>
      </c>
      <c r="E39" s="147">
        <f t="shared" si="6"/>
        <v>28169.14</v>
      </c>
      <c r="F39" s="147">
        <f t="shared" si="6"/>
        <v>9798.9500000000007</v>
      </c>
      <c r="G39" s="147">
        <f t="shared" si="6"/>
        <v>8753.23</v>
      </c>
      <c r="H39" s="280">
        <f t="shared" si="6"/>
        <v>12100.25</v>
      </c>
      <c r="I39" s="142">
        <f t="shared" si="6"/>
        <v>11815.41</v>
      </c>
      <c r="J39" s="142">
        <f t="shared" si="6"/>
        <v>15543.18</v>
      </c>
      <c r="K39" s="142">
        <f t="shared" si="6"/>
        <v>13587.04</v>
      </c>
      <c r="L39" s="142">
        <f t="shared" si="6"/>
        <v>14466.02</v>
      </c>
      <c r="M39" s="279">
        <f t="shared" si="6"/>
        <v>9476.57</v>
      </c>
      <c r="N39" s="147">
        <f t="shared" si="6"/>
        <v>8587.58</v>
      </c>
      <c r="O39" s="147">
        <f t="shared" si="6"/>
        <v>17514.5</v>
      </c>
      <c r="P39" s="142">
        <f t="shared" si="6"/>
        <v>11218.77</v>
      </c>
      <c r="Q39" s="279">
        <f t="shared" si="6"/>
        <v>9272.74</v>
      </c>
      <c r="R39" s="147">
        <f t="shared" si="6"/>
        <v>8629.67</v>
      </c>
      <c r="S39" s="147">
        <f t="shared" si="6"/>
        <v>9884.5499999999993</v>
      </c>
      <c r="T39" s="147">
        <f t="shared" si="6"/>
        <v>12573.32</v>
      </c>
      <c r="U39" s="142">
        <f t="shared" si="6"/>
        <v>7749.63</v>
      </c>
      <c r="V39" s="279">
        <f t="shared" si="6"/>
        <v>10860.78</v>
      </c>
      <c r="W39" s="147">
        <f t="shared" si="6"/>
        <v>11294.29</v>
      </c>
      <c r="X39" s="142">
        <f t="shared" si="6"/>
        <v>10541.69</v>
      </c>
      <c r="Y39" s="147">
        <f t="shared" si="6"/>
        <v>14493.49</v>
      </c>
      <c r="Z39" s="279">
        <f t="shared" si="6"/>
        <v>10774.97</v>
      </c>
      <c r="AA39" s="147">
        <f t="shared" si="6"/>
        <v>13192.1</v>
      </c>
      <c r="AB39" s="147">
        <f t="shared" si="6"/>
        <v>13442.87</v>
      </c>
      <c r="AC39" s="280">
        <f t="shared" si="6"/>
        <v>8774.64</v>
      </c>
      <c r="AD39" s="279">
        <f t="shared" si="6"/>
        <v>11300.28</v>
      </c>
      <c r="AE39" s="142">
        <f t="shared" si="6"/>
        <v>10847.34</v>
      </c>
      <c r="AF39" s="142">
        <f t="shared" si="6"/>
        <v>11551.25</v>
      </c>
      <c r="AG39" s="142">
        <f t="shared" si="6"/>
        <v>14946.7</v>
      </c>
      <c r="AH39" s="142">
        <f t="shared" si="6"/>
        <v>10274.969999999999</v>
      </c>
      <c r="AI39" s="279">
        <f t="shared" si="6"/>
        <v>12414.04</v>
      </c>
      <c r="AJ39" s="142">
        <f t="shared" si="6"/>
        <v>21157.57</v>
      </c>
      <c r="AK39" s="142">
        <f t="shared" si="6"/>
        <v>13562.7</v>
      </c>
      <c r="AL39" s="142">
        <f t="shared" si="6"/>
        <v>12074.74</v>
      </c>
      <c r="AM39" s="279">
        <f t="shared" si="6"/>
        <v>26065</v>
      </c>
      <c r="AN39" s="142">
        <f t="shared" si="6"/>
        <v>9365.85</v>
      </c>
      <c r="AO39" s="142">
        <f t="shared" si="6"/>
        <v>9940.3700000000008</v>
      </c>
      <c r="AP39" s="142">
        <f t="shared" si="6"/>
        <v>10947.67</v>
      </c>
      <c r="AQ39" s="279">
        <f t="shared" si="6"/>
        <v>0</v>
      </c>
      <c r="AR39" s="147">
        <f t="shared" si="6"/>
        <v>0</v>
      </c>
      <c r="AS39" s="147">
        <f t="shared" si="6"/>
        <v>0</v>
      </c>
      <c r="AT39" s="147">
        <f t="shared" si="6"/>
        <v>0</v>
      </c>
      <c r="AU39" s="142">
        <f t="shared" si="6"/>
        <v>0</v>
      </c>
      <c r="AV39" s="279">
        <f t="shared" si="6"/>
        <v>0</v>
      </c>
      <c r="AW39" s="142">
        <f t="shared" si="6"/>
        <v>0</v>
      </c>
      <c r="AX39" s="142">
        <f t="shared" si="6"/>
        <v>0</v>
      </c>
      <c r="AY39" s="142">
        <f t="shared" si="6"/>
        <v>0</v>
      </c>
      <c r="AZ39" s="142">
        <f t="shared" si="6"/>
        <v>0</v>
      </c>
      <c r="BA39" s="142">
        <f t="shared" si="6"/>
        <v>0</v>
      </c>
      <c r="BB39" s="142">
        <f t="shared" si="6"/>
        <v>0</v>
      </c>
      <c r="BC39" s="142">
        <f t="shared" si="6"/>
        <v>0</v>
      </c>
    </row>
    <row r="40" spans="2:55" x14ac:dyDescent="0.25">
      <c r="B40" s="255" t="s">
        <v>808</v>
      </c>
      <c r="D40" s="279">
        <f t="shared" ref="D40:BC40" si="7">D16+D13</f>
        <v>13307.55</v>
      </c>
      <c r="E40" s="147">
        <f t="shared" si="7"/>
        <v>10152.299999999999</v>
      </c>
      <c r="F40" s="147">
        <f t="shared" si="7"/>
        <v>13532.939999999999</v>
      </c>
      <c r="G40" s="147">
        <f t="shared" si="7"/>
        <v>14020.630000000001</v>
      </c>
      <c r="H40" s="280">
        <f t="shared" si="7"/>
        <v>12669.09</v>
      </c>
      <c r="I40" s="142">
        <f t="shared" si="7"/>
        <v>13597.19</v>
      </c>
      <c r="J40" s="142">
        <f t="shared" si="7"/>
        <v>16261.439999999999</v>
      </c>
      <c r="K40" s="142">
        <f t="shared" si="7"/>
        <v>16718.05</v>
      </c>
      <c r="L40" s="142">
        <f t="shared" si="7"/>
        <v>11558.52</v>
      </c>
      <c r="M40" s="279">
        <f t="shared" si="7"/>
        <v>7054.41</v>
      </c>
      <c r="N40" s="147">
        <f t="shared" si="7"/>
        <v>9690.42</v>
      </c>
      <c r="O40" s="147">
        <f t="shared" si="7"/>
        <v>11063.55</v>
      </c>
      <c r="P40" s="142">
        <f t="shared" si="7"/>
        <v>13738.080000000002</v>
      </c>
      <c r="Q40" s="279">
        <f t="shared" si="7"/>
        <v>11795.16</v>
      </c>
      <c r="R40" s="147">
        <f t="shared" si="7"/>
        <v>12267.49</v>
      </c>
      <c r="S40" s="147">
        <f t="shared" si="7"/>
        <v>11543.439999999999</v>
      </c>
      <c r="T40" s="147">
        <f t="shared" si="7"/>
        <v>15464.359999999999</v>
      </c>
      <c r="U40" s="142">
        <f t="shared" si="7"/>
        <v>11480.599999999999</v>
      </c>
      <c r="V40" s="279">
        <f t="shared" si="7"/>
        <v>12971.220000000001</v>
      </c>
      <c r="W40" s="147">
        <f t="shared" si="7"/>
        <v>11259.7</v>
      </c>
      <c r="X40" s="142">
        <f t="shared" si="7"/>
        <v>11180.81</v>
      </c>
      <c r="Y40" s="147">
        <f t="shared" si="7"/>
        <v>9800.49</v>
      </c>
      <c r="Z40" s="279">
        <f t="shared" si="7"/>
        <v>12274.16</v>
      </c>
      <c r="AA40" s="147">
        <f t="shared" si="7"/>
        <v>9539.65</v>
      </c>
      <c r="AB40" s="147">
        <f t="shared" si="7"/>
        <v>9696.33</v>
      </c>
      <c r="AC40" s="280">
        <f t="shared" si="7"/>
        <v>10124.42</v>
      </c>
      <c r="AD40" s="279">
        <f t="shared" si="7"/>
        <v>9584</v>
      </c>
      <c r="AE40" s="142">
        <f t="shared" si="7"/>
        <v>13664.33</v>
      </c>
      <c r="AF40" s="142">
        <f t="shared" si="7"/>
        <v>11193.8</v>
      </c>
      <c r="AG40" s="142">
        <f t="shared" si="7"/>
        <v>11283.3</v>
      </c>
      <c r="AH40" s="142">
        <f t="shared" si="7"/>
        <v>10480.07</v>
      </c>
      <c r="AI40" s="279">
        <f t="shared" si="7"/>
        <v>14206.849999999999</v>
      </c>
      <c r="AJ40" s="142">
        <f t="shared" si="7"/>
        <v>11828.42</v>
      </c>
      <c r="AK40" s="142">
        <f t="shared" si="7"/>
        <v>13598.220000000001</v>
      </c>
      <c r="AL40" s="142">
        <f t="shared" si="7"/>
        <v>12293.369999999999</v>
      </c>
      <c r="AM40" s="279">
        <f t="shared" si="7"/>
        <v>10905.08</v>
      </c>
      <c r="AN40" s="142">
        <f t="shared" si="7"/>
        <v>10574.04</v>
      </c>
      <c r="AO40" s="142">
        <f t="shared" si="7"/>
        <v>10273.14</v>
      </c>
      <c r="AP40" s="142">
        <f t="shared" si="7"/>
        <v>10324.92</v>
      </c>
      <c r="AQ40" s="279">
        <f t="shared" si="7"/>
        <v>0</v>
      </c>
      <c r="AR40" s="147">
        <f t="shared" si="7"/>
        <v>0</v>
      </c>
      <c r="AS40" s="147">
        <f t="shared" si="7"/>
        <v>0</v>
      </c>
      <c r="AT40" s="147">
        <f t="shared" si="7"/>
        <v>0</v>
      </c>
      <c r="AU40" s="142">
        <f t="shared" si="7"/>
        <v>0</v>
      </c>
      <c r="AV40" s="279">
        <f t="shared" si="7"/>
        <v>0</v>
      </c>
      <c r="AW40" s="142">
        <f t="shared" si="7"/>
        <v>0</v>
      </c>
      <c r="AX40" s="142">
        <f t="shared" si="7"/>
        <v>0</v>
      </c>
      <c r="AY40" s="142">
        <f t="shared" si="7"/>
        <v>0</v>
      </c>
      <c r="AZ40" s="142">
        <f t="shared" si="7"/>
        <v>0</v>
      </c>
      <c r="BA40" s="142">
        <f t="shared" si="7"/>
        <v>0</v>
      </c>
      <c r="BB40" s="142">
        <f t="shared" si="7"/>
        <v>0</v>
      </c>
      <c r="BC40" s="142">
        <f t="shared" si="7"/>
        <v>0</v>
      </c>
    </row>
    <row r="41" spans="2:55" x14ac:dyDescent="0.25">
      <c r="B41" s="142" t="s">
        <v>806</v>
      </c>
      <c r="D41" s="279">
        <f t="shared" ref="D41:BC41" si="8">D15+D19</f>
        <v>15357.26</v>
      </c>
      <c r="E41" s="147">
        <f t="shared" si="8"/>
        <v>17997.27</v>
      </c>
      <c r="F41" s="147">
        <f t="shared" si="8"/>
        <v>15066.09</v>
      </c>
      <c r="G41" s="147">
        <f t="shared" si="8"/>
        <v>16939.03</v>
      </c>
      <c r="H41" s="280">
        <f t="shared" si="8"/>
        <v>15364.08</v>
      </c>
      <c r="I41" s="142">
        <f t="shared" si="8"/>
        <v>18315.66</v>
      </c>
      <c r="J41" s="142">
        <f t="shared" si="8"/>
        <v>18154.810000000001</v>
      </c>
      <c r="K41" s="142">
        <f t="shared" si="8"/>
        <v>17150.259999999998</v>
      </c>
      <c r="L41" s="142">
        <f t="shared" si="8"/>
        <v>15338.630000000001</v>
      </c>
      <c r="M41" s="279">
        <f t="shared" si="8"/>
        <v>9687.8499999999985</v>
      </c>
      <c r="N41" s="147">
        <f t="shared" si="8"/>
        <v>13624.32</v>
      </c>
      <c r="O41" s="147">
        <f t="shared" si="8"/>
        <v>12957.83</v>
      </c>
      <c r="P41" s="142">
        <f t="shared" si="8"/>
        <v>13153.7</v>
      </c>
      <c r="Q41" s="279">
        <f t="shared" si="8"/>
        <v>13140.95</v>
      </c>
      <c r="R41" s="147">
        <f t="shared" si="8"/>
        <v>13952.31</v>
      </c>
      <c r="S41" s="147">
        <f t="shared" si="8"/>
        <v>11915.28</v>
      </c>
      <c r="T41" s="147">
        <f t="shared" si="8"/>
        <v>14710.64</v>
      </c>
      <c r="U41" s="142">
        <f t="shared" si="8"/>
        <v>13125.56</v>
      </c>
      <c r="V41" s="279">
        <f t="shared" si="8"/>
        <v>16066.89</v>
      </c>
      <c r="W41" s="147">
        <f t="shared" si="8"/>
        <v>17061.66</v>
      </c>
      <c r="X41" s="142">
        <f t="shared" si="8"/>
        <v>12697.2</v>
      </c>
      <c r="Y41" s="147">
        <f t="shared" si="8"/>
        <v>11355.61</v>
      </c>
      <c r="Z41" s="279">
        <f t="shared" si="8"/>
        <v>11860.41</v>
      </c>
      <c r="AA41" s="147">
        <f t="shared" si="8"/>
        <v>14336.35</v>
      </c>
      <c r="AB41" s="147">
        <f t="shared" si="8"/>
        <v>11652.83</v>
      </c>
      <c r="AC41" s="280">
        <f t="shared" si="8"/>
        <v>17675.27</v>
      </c>
      <c r="AD41" s="279">
        <f t="shared" si="8"/>
        <v>11473.53</v>
      </c>
      <c r="AE41" s="142">
        <f t="shared" si="8"/>
        <v>15673.78</v>
      </c>
      <c r="AF41" s="142">
        <f t="shared" si="8"/>
        <v>14598.51</v>
      </c>
      <c r="AG41" s="142">
        <f t="shared" si="8"/>
        <v>11931.390000000001</v>
      </c>
      <c r="AH41" s="142">
        <f t="shared" si="8"/>
        <v>12581.35</v>
      </c>
      <c r="AI41" s="279">
        <f t="shared" si="8"/>
        <v>16132.76</v>
      </c>
      <c r="AJ41" s="142">
        <f t="shared" si="8"/>
        <v>11920.73</v>
      </c>
      <c r="AK41" s="142">
        <f t="shared" si="8"/>
        <v>15668.25</v>
      </c>
      <c r="AL41" s="142">
        <f t="shared" si="8"/>
        <v>17815.39</v>
      </c>
      <c r="AM41" s="279">
        <f t="shared" si="8"/>
        <v>13314.130000000001</v>
      </c>
      <c r="AN41" s="142">
        <f t="shared" si="8"/>
        <v>12953.89</v>
      </c>
      <c r="AO41" s="142">
        <f t="shared" si="8"/>
        <v>16377.48</v>
      </c>
      <c r="AP41" s="142">
        <f t="shared" si="8"/>
        <v>16546.060000000001</v>
      </c>
      <c r="AQ41" s="279">
        <f t="shared" si="8"/>
        <v>0</v>
      </c>
      <c r="AR41" s="147">
        <f t="shared" si="8"/>
        <v>0</v>
      </c>
      <c r="AS41" s="147">
        <f t="shared" si="8"/>
        <v>0</v>
      </c>
      <c r="AT41" s="147">
        <f t="shared" si="8"/>
        <v>0</v>
      </c>
      <c r="AU41" s="142">
        <f t="shared" si="8"/>
        <v>0</v>
      </c>
      <c r="AV41" s="279">
        <f t="shared" si="8"/>
        <v>0</v>
      </c>
      <c r="AW41" s="142">
        <f t="shared" si="8"/>
        <v>0</v>
      </c>
      <c r="AX41" s="142">
        <f t="shared" si="8"/>
        <v>0</v>
      </c>
      <c r="AY41" s="142">
        <f t="shared" si="8"/>
        <v>0</v>
      </c>
      <c r="AZ41" s="142">
        <f t="shared" si="8"/>
        <v>0</v>
      </c>
      <c r="BA41" s="142">
        <f t="shared" si="8"/>
        <v>0</v>
      </c>
      <c r="BB41" s="142">
        <f t="shared" si="8"/>
        <v>0</v>
      </c>
      <c r="BC41" s="142">
        <f t="shared" si="8"/>
        <v>0</v>
      </c>
    </row>
    <row r="42" spans="2:55" x14ac:dyDescent="0.25">
      <c r="B42" s="142" t="s">
        <v>837</v>
      </c>
      <c r="D42" s="283">
        <f t="shared" ref="D42:BC42" si="9">D24</f>
        <v>919.93</v>
      </c>
      <c r="E42" s="284">
        <f t="shared" si="9"/>
        <v>873.05</v>
      </c>
      <c r="F42" s="284">
        <f t="shared" si="9"/>
        <v>854.18</v>
      </c>
      <c r="G42" s="284">
        <f t="shared" si="9"/>
        <v>955.18</v>
      </c>
      <c r="H42" s="285">
        <f t="shared" si="9"/>
        <v>863.26</v>
      </c>
      <c r="I42" s="284">
        <f t="shared" si="9"/>
        <v>878.4</v>
      </c>
      <c r="J42" s="284">
        <f t="shared" si="9"/>
        <v>751.86</v>
      </c>
      <c r="K42" s="284">
        <f t="shared" si="9"/>
        <v>1338.43</v>
      </c>
      <c r="L42" s="284">
        <f t="shared" si="9"/>
        <v>521.96</v>
      </c>
      <c r="M42" s="283">
        <f t="shared" si="9"/>
        <v>639.12</v>
      </c>
      <c r="N42" s="284">
        <f t="shared" si="9"/>
        <v>369.71</v>
      </c>
      <c r="O42" s="284">
        <f t="shared" si="9"/>
        <v>678.09</v>
      </c>
      <c r="P42" s="284">
        <f t="shared" si="9"/>
        <v>926.79</v>
      </c>
      <c r="Q42" s="283">
        <f t="shared" si="9"/>
        <v>525.37</v>
      </c>
      <c r="R42" s="284">
        <f t="shared" si="9"/>
        <v>315.69</v>
      </c>
      <c r="S42" s="284">
        <f t="shared" si="9"/>
        <v>620.33000000000004</v>
      </c>
      <c r="T42" s="284">
        <f t="shared" si="9"/>
        <v>1001.91</v>
      </c>
      <c r="U42" s="284">
        <f t="shared" si="9"/>
        <v>888.7</v>
      </c>
      <c r="V42" s="283">
        <f t="shared" si="9"/>
        <v>623.15</v>
      </c>
      <c r="W42" s="284">
        <f t="shared" si="9"/>
        <v>520.97</v>
      </c>
      <c r="X42" s="284">
        <f t="shared" si="9"/>
        <v>775.2</v>
      </c>
      <c r="Y42" s="284">
        <f t="shared" si="9"/>
        <v>668.94</v>
      </c>
      <c r="Z42" s="283">
        <f t="shared" si="9"/>
        <v>678.91</v>
      </c>
      <c r="AA42" s="284">
        <f t="shared" si="9"/>
        <v>884.77</v>
      </c>
      <c r="AB42" s="284">
        <f t="shared" si="9"/>
        <v>655.11</v>
      </c>
      <c r="AC42" s="285">
        <f t="shared" si="9"/>
        <v>663.83</v>
      </c>
      <c r="AD42" s="283">
        <f t="shared" si="9"/>
        <v>249.53</v>
      </c>
      <c r="AE42" s="284">
        <f t="shared" si="9"/>
        <v>1233.3399999999999</v>
      </c>
      <c r="AF42" s="284">
        <f t="shared" si="9"/>
        <v>569.83000000000004</v>
      </c>
      <c r="AG42" s="284">
        <f t="shared" si="9"/>
        <v>482.15</v>
      </c>
      <c r="AH42" s="284">
        <f t="shared" si="9"/>
        <v>774.9</v>
      </c>
      <c r="AI42" s="283">
        <f t="shared" si="9"/>
        <v>375.31</v>
      </c>
      <c r="AJ42" s="284">
        <f t="shared" si="9"/>
        <v>660.93</v>
      </c>
      <c r="AK42" s="284">
        <f t="shared" si="9"/>
        <v>842.89</v>
      </c>
      <c r="AL42" s="284">
        <f t="shared" si="9"/>
        <v>1159.6099999999999</v>
      </c>
      <c r="AM42" s="283">
        <f t="shared" si="9"/>
        <v>660.24</v>
      </c>
      <c r="AN42" s="284">
        <f t="shared" si="9"/>
        <v>314.8</v>
      </c>
      <c r="AO42" s="284">
        <f t="shared" si="9"/>
        <v>523.46</v>
      </c>
      <c r="AP42" s="284">
        <f t="shared" si="9"/>
        <v>815.57</v>
      </c>
      <c r="AQ42" s="283">
        <f t="shared" si="9"/>
        <v>0</v>
      </c>
      <c r="AR42" s="284">
        <f t="shared" si="9"/>
        <v>0</v>
      </c>
      <c r="AS42" s="284">
        <f t="shared" si="9"/>
        <v>0</v>
      </c>
      <c r="AT42" s="284">
        <f t="shared" si="9"/>
        <v>0</v>
      </c>
      <c r="AU42" s="284">
        <f t="shared" si="9"/>
        <v>0</v>
      </c>
      <c r="AV42" s="283">
        <f t="shared" si="9"/>
        <v>0</v>
      </c>
      <c r="AW42" s="284">
        <f t="shared" si="9"/>
        <v>0</v>
      </c>
      <c r="AX42" s="284">
        <f t="shared" si="9"/>
        <v>0</v>
      </c>
      <c r="AY42" s="284">
        <f t="shared" si="9"/>
        <v>0</v>
      </c>
      <c r="AZ42" s="284">
        <f t="shared" si="9"/>
        <v>0</v>
      </c>
      <c r="BA42" s="284">
        <f t="shared" si="9"/>
        <v>0</v>
      </c>
      <c r="BB42" s="284">
        <f t="shared" si="9"/>
        <v>0</v>
      </c>
      <c r="BC42" s="284">
        <f t="shared" si="9"/>
        <v>0</v>
      </c>
    </row>
    <row r="43" spans="2:55" x14ac:dyDescent="0.25">
      <c r="B43" s="255" t="s">
        <v>838</v>
      </c>
      <c r="D43" s="279">
        <f t="shared" ref="D43:BC43" si="10">D41+D42</f>
        <v>16277.19</v>
      </c>
      <c r="E43" s="147">
        <f t="shared" si="10"/>
        <v>18870.32</v>
      </c>
      <c r="F43" s="147">
        <f t="shared" si="10"/>
        <v>15920.27</v>
      </c>
      <c r="G43" s="147">
        <f t="shared" si="10"/>
        <v>17894.21</v>
      </c>
      <c r="H43" s="280">
        <f t="shared" si="10"/>
        <v>16227.34</v>
      </c>
      <c r="I43" s="142">
        <f t="shared" si="10"/>
        <v>19194.060000000001</v>
      </c>
      <c r="J43" s="142">
        <f t="shared" si="10"/>
        <v>18906.670000000002</v>
      </c>
      <c r="K43" s="142">
        <f t="shared" si="10"/>
        <v>18488.689999999999</v>
      </c>
      <c r="L43" s="142">
        <f t="shared" si="10"/>
        <v>15860.59</v>
      </c>
      <c r="M43" s="279">
        <f t="shared" si="10"/>
        <v>10326.969999999999</v>
      </c>
      <c r="N43" s="147">
        <f t="shared" si="10"/>
        <v>13994.029999999999</v>
      </c>
      <c r="O43" s="147">
        <f t="shared" si="10"/>
        <v>13635.92</v>
      </c>
      <c r="P43" s="142">
        <f t="shared" si="10"/>
        <v>14080.490000000002</v>
      </c>
      <c r="Q43" s="279">
        <f t="shared" si="10"/>
        <v>13666.320000000002</v>
      </c>
      <c r="R43" s="147">
        <f t="shared" si="10"/>
        <v>14268</v>
      </c>
      <c r="S43" s="147">
        <f t="shared" si="10"/>
        <v>12535.61</v>
      </c>
      <c r="T43" s="147">
        <f t="shared" si="10"/>
        <v>15712.55</v>
      </c>
      <c r="U43" s="142">
        <f t="shared" si="10"/>
        <v>14014.26</v>
      </c>
      <c r="V43" s="279">
        <f t="shared" si="10"/>
        <v>16690.04</v>
      </c>
      <c r="W43" s="147">
        <f t="shared" si="10"/>
        <v>17582.63</v>
      </c>
      <c r="X43" s="142">
        <f t="shared" si="10"/>
        <v>13472.400000000001</v>
      </c>
      <c r="Y43" s="147">
        <f t="shared" si="10"/>
        <v>12024.550000000001</v>
      </c>
      <c r="Z43" s="279">
        <f t="shared" si="10"/>
        <v>12539.32</v>
      </c>
      <c r="AA43" s="147">
        <f t="shared" si="10"/>
        <v>15221.12</v>
      </c>
      <c r="AB43" s="147">
        <f t="shared" si="10"/>
        <v>12307.94</v>
      </c>
      <c r="AC43" s="280">
        <f t="shared" si="10"/>
        <v>18339.100000000002</v>
      </c>
      <c r="AD43" s="279">
        <f t="shared" si="10"/>
        <v>11723.060000000001</v>
      </c>
      <c r="AE43" s="142">
        <f t="shared" si="10"/>
        <v>16907.12</v>
      </c>
      <c r="AF43" s="142">
        <f t="shared" si="10"/>
        <v>15168.34</v>
      </c>
      <c r="AG43" s="142">
        <f t="shared" si="10"/>
        <v>12413.54</v>
      </c>
      <c r="AH43" s="142">
        <f t="shared" si="10"/>
        <v>13356.25</v>
      </c>
      <c r="AI43" s="279">
        <f t="shared" si="10"/>
        <v>16508.07</v>
      </c>
      <c r="AJ43" s="142">
        <f t="shared" si="10"/>
        <v>12581.66</v>
      </c>
      <c r="AK43" s="142">
        <f t="shared" si="10"/>
        <v>16511.14</v>
      </c>
      <c r="AL43" s="142">
        <f t="shared" si="10"/>
        <v>18975</v>
      </c>
      <c r="AM43" s="279">
        <f t="shared" si="10"/>
        <v>13974.37</v>
      </c>
      <c r="AN43" s="142">
        <f t="shared" si="10"/>
        <v>13268.689999999999</v>
      </c>
      <c r="AO43" s="142">
        <f t="shared" si="10"/>
        <v>16900.939999999999</v>
      </c>
      <c r="AP43" s="142">
        <f t="shared" si="10"/>
        <v>17361.63</v>
      </c>
      <c r="AQ43" s="279">
        <f t="shared" si="10"/>
        <v>0</v>
      </c>
      <c r="AR43" s="147">
        <f t="shared" si="10"/>
        <v>0</v>
      </c>
      <c r="AS43" s="147">
        <f t="shared" si="10"/>
        <v>0</v>
      </c>
      <c r="AT43" s="147">
        <f t="shared" si="10"/>
        <v>0</v>
      </c>
      <c r="AU43" s="142">
        <f t="shared" si="10"/>
        <v>0</v>
      </c>
      <c r="AV43" s="279">
        <f t="shared" si="10"/>
        <v>0</v>
      </c>
      <c r="AW43" s="142">
        <f t="shared" si="10"/>
        <v>0</v>
      </c>
      <c r="AX43" s="142">
        <f t="shared" si="10"/>
        <v>0</v>
      </c>
      <c r="AY43" s="142">
        <f t="shared" si="10"/>
        <v>0</v>
      </c>
      <c r="AZ43" s="142">
        <f t="shared" si="10"/>
        <v>0</v>
      </c>
      <c r="BA43" s="142">
        <f t="shared" si="10"/>
        <v>0</v>
      </c>
      <c r="BB43" s="142">
        <f t="shared" si="10"/>
        <v>0</v>
      </c>
      <c r="BC43" s="142">
        <f t="shared" si="10"/>
        <v>0</v>
      </c>
    </row>
    <row r="44" spans="2:55" x14ac:dyDescent="0.25">
      <c r="B44" s="142" t="s">
        <v>785</v>
      </c>
      <c r="D44" s="279">
        <f t="shared" ref="D44:BC44" si="11">D5</f>
        <v>12838.39</v>
      </c>
      <c r="E44" s="147">
        <f t="shared" si="11"/>
        <v>13441.41</v>
      </c>
      <c r="F44" s="147">
        <f t="shared" si="11"/>
        <v>12225.48</v>
      </c>
      <c r="G44" s="147">
        <f t="shared" si="11"/>
        <v>11803.92</v>
      </c>
      <c r="H44" s="280">
        <f t="shared" si="11"/>
        <v>16918.29</v>
      </c>
      <c r="I44" s="142">
        <f t="shared" si="11"/>
        <v>14443.11</v>
      </c>
      <c r="J44" s="142">
        <f t="shared" si="11"/>
        <v>13303.11</v>
      </c>
      <c r="K44" s="142">
        <f t="shared" si="11"/>
        <v>13230.67</v>
      </c>
      <c r="L44" s="142">
        <f t="shared" si="11"/>
        <v>14790.69</v>
      </c>
      <c r="M44" s="279">
        <f t="shared" si="11"/>
        <v>10021.42</v>
      </c>
      <c r="N44" s="147">
        <f t="shared" si="11"/>
        <v>10700.61</v>
      </c>
      <c r="O44" s="147">
        <f t="shared" si="11"/>
        <v>14172.21</v>
      </c>
      <c r="P44" s="142">
        <f t="shared" si="11"/>
        <v>14794.45</v>
      </c>
      <c r="Q44" s="279">
        <f t="shared" si="11"/>
        <v>12358.44</v>
      </c>
      <c r="R44" s="147">
        <f t="shared" si="11"/>
        <v>13795.73</v>
      </c>
      <c r="S44" s="147">
        <f t="shared" si="11"/>
        <v>13896.96</v>
      </c>
      <c r="T44" s="147">
        <f t="shared" si="11"/>
        <v>13869.21</v>
      </c>
      <c r="U44" s="142">
        <f t="shared" si="11"/>
        <v>11653.92</v>
      </c>
      <c r="V44" s="279">
        <f t="shared" si="11"/>
        <v>13581.77</v>
      </c>
      <c r="W44" s="147">
        <f t="shared" si="11"/>
        <v>12596.32</v>
      </c>
      <c r="X44" s="142">
        <f t="shared" si="11"/>
        <v>13608.44</v>
      </c>
      <c r="Y44" s="147">
        <f t="shared" si="11"/>
        <v>10882.77</v>
      </c>
      <c r="Z44" s="279">
        <f t="shared" si="11"/>
        <v>14670.55</v>
      </c>
      <c r="AA44" s="147">
        <f t="shared" si="11"/>
        <v>13801.96</v>
      </c>
      <c r="AB44" s="147">
        <f t="shared" si="11"/>
        <v>11532.71</v>
      </c>
      <c r="AC44" s="280">
        <f t="shared" si="11"/>
        <v>13203.34</v>
      </c>
      <c r="AD44" s="279">
        <f t="shared" si="11"/>
        <v>13788.96</v>
      </c>
      <c r="AE44" s="142">
        <f t="shared" si="11"/>
        <v>14170.21</v>
      </c>
      <c r="AF44" s="142">
        <f t="shared" si="11"/>
        <v>13911.45</v>
      </c>
      <c r="AG44" s="142">
        <f t="shared" si="11"/>
        <v>13835.41</v>
      </c>
      <c r="AH44" s="142">
        <f t="shared" si="11"/>
        <v>13275</v>
      </c>
      <c r="AI44" s="279">
        <f t="shared" si="11"/>
        <v>12377.11</v>
      </c>
      <c r="AJ44" s="142">
        <f t="shared" si="11"/>
        <v>13015.3</v>
      </c>
      <c r="AK44" s="142">
        <f t="shared" si="11"/>
        <v>13882.59</v>
      </c>
      <c r="AL44" s="142">
        <f t="shared" si="11"/>
        <v>14942.18</v>
      </c>
      <c r="AM44" s="279">
        <f t="shared" si="11"/>
        <v>11640.91</v>
      </c>
      <c r="AN44" s="142">
        <f t="shared" si="11"/>
        <v>13672.65</v>
      </c>
      <c r="AO44" s="142">
        <f t="shared" si="11"/>
        <v>13021.19</v>
      </c>
      <c r="AP44" s="142">
        <f t="shared" si="11"/>
        <v>13466.91</v>
      </c>
      <c r="AQ44" s="279">
        <f t="shared" si="11"/>
        <v>0</v>
      </c>
      <c r="AR44" s="147">
        <f t="shared" si="11"/>
        <v>0</v>
      </c>
      <c r="AS44" s="147">
        <f t="shared" si="11"/>
        <v>0</v>
      </c>
      <c r="AT44" s="147">
        <f t="shared" si="11"/>
        <v>0</v>
      </c>
      <c r="AU44" s="142">
        <f t="shared" si="11"/>
        <v>0</v>
      </c>
      <c r="AV44" s="279">
        <f t="shared" si="11"/>
        <v>0</v>
      </c>
      <c r="AW44" s="142">
        <f t="shared" si="11"/>
        <v>0</v>
      </c>
      <c r="AX44" s="142">
        <f t="shared" si="11"/>
        <v>0</v>
      </c>
      <c r="AY44" s="142">
        <f t="shared" si="11"/>
        <v>0</v>
      </c>
      <c r="AZ44" s="142">
        <f t="shared" si="11"/>
        <v>0</v>
      </c>
      <c r="BA44" s="142">
        <f t="shared" si="11"/>
        <v>0</v>
      </c>
      <c r="BB44" s="142">
        <f t="shared" si="11"/>
        <v>0</v>
      </c>
      <c r="BC44" s="142">
        <f t="shared" si="11"/>
        <v>0</v>
      </c>
    </row>
    <row r="45" spans="2:55" x14ac:dyDescent="0.25">
      <c r="B45" s="142" t="s">
        <v>839</v>
      </c>
      <c r="D45" s="279">
        <f t="shared" ref="D45:BC45" si="12">D25</f>
        <v>8449.27</v>
      </c>
      <c r="E45" s="147">
        <f t="shared" si="12"/>
        <v>10004.91</v>
      </c>
      <c r="F45" s="147">
        <f t="shared" si="12"/>
        <v>9485.3700000000008</v>
      </c>
      <c r="G45" s="147">
        <f t="shared" si="12"/>
        <v>9860.64</v>
      </c>
      <c r="H45" s="280">
        <f t="shared" si="12"/>
        <v>9456.7900000000009</v>
      </c>
      <c r="I45" s="142">
        <f t="shared" si="12"/>
        <v>10445.530000000001</v>
      </c>
      <c r="J45" s="142">
        <f t="shared" si="12"/>
        <v>10541.1</v>
      </c>
      <c r="K45" s="142">
        <f t="shared" si="12"/>
        <v>10046.73</v>
      </c>
      <c r="L45" s="142">
        <f t="shared" si="12"/>
        <v>9055.7900000000009</v>
      </c>
      <c r="M45" s="279">
        <f t="shared" si="12"/>
        <v>7321.25</v>
      </c>
      <c r="N45" s="147">
        <f t="shared" si="12"/>
        <v>7276.21</v>
      </c>
      <c r="O45" s="147">
        <f t="shared" si="12"/>
        <v>9520.56</v>
      </c>
      <c r="P45" s="142">
        <f t="shared" si="12"/>
        <v>8244.4</v>
      </c>
      <c r="Q45" s="279">
        <f t="shared" si="12"/>
        <v>8307.41</v>
      </c>
      <c r="R45" s="147">
        <f t="shared" si="12"/>
        <v>10678.13</v>
      </c>
      <c r="S45" s="147">
        <f t="shared" si="12"/>
        <v>9684.1</v>
      </c>
      <c r="T45" s="147">
        <f t="shared" si="12"/>
        <v>8031.43</v>
      </c>
      <c r="U45" s="142">
        <f t="shared" si="12"/>
        <v>8280.36</v>
      </c>
      <c r="V45" s="279">
        <f t="shared" si="12"/>
        <v>9266.76</v>
      </c>
      <c r="W45" s="147">
        <f t="shared" si="12"/>
        <v>7643.62</v>
      </c>
      <c r="X45" s="142">
        <f t="shared" si="12"/>
        <v>9057.3799999999992</v>
      </c>
      <c r="Y45" s="147">
        <f t="shared" si="12"/>
        <v>7527.27</v>
      </c>
      <c r="Z45" s="279">
        <f t="shared" si="12"/>
        <v>9522.27</v>
      </c>
      <c r="AA45" s="147">
        <f t="shared" si="12"/>
        <v>10141.459999999999</v>
      </c>
      <c r="AB45" s="147">
        <f t="shared" si="12"/>
        <v>9534.75</v>
      </c>
      <c r="AC45" s="280">
        <f t="shared" si="12"/>
        <v>8576.08</v>
      </c>
      <c r="AD45" s="279">
        <f t="shared" si="12"/>
        <v>9472.8799999999992</v>
      </c>
      <c r="AE45" s="142">
        <f t="shared" si="12"/>
        <v>10058.42</v>
      </c>
      <c r="AF45" s="142">
        <f t="shared" si="12"/>
        <v>10408.950000000001</v>
      </c>
      <c r="AG45" s="142">
        <f t="shared" si="12"/>
        <v>10515.17</v>
      </c>
      <c r="AH45" s="142">
        <f t="shared" si="12"/>
        <v>9930.7800000000007</v>
      </c>
      <c r="AI45" s="279">
        <f t="shared" si="12"/>
        <v>10386.77</v>
      </c>
      <c r="AJ45" s="142">
        <f t="shared" si="12"/>
        <v>10341.44</v>
      </c>
      <c r="AK45" s="142">
        <f t="shared" si="12"/>
        <v>9660.07</v>
      </c>
      <c r="AL45" s="142">
        <f t="shared" si="12"/>
        <v>10011.790000000001</v>
      </c>
      <c r="AM45" s="279">
        <f t="shared" si="12"/>
        <v>9674.34</v>
      </c>
      <c r="AN45" s="142">
        <f t="shared" si="12"/>
        <v>10146.9</v>
      </c>
      <c r="AO45" s="142">
        <f t="shared" si="12"/>
        <v>9623.2999999999993</v>
      </c>
      <c r="AP45" s="142">
        <f t="shared" si="12"/>
        <v>10016.780000000001</v>
      </c>
      <c r="AQ45" s="279">
        <f t="shared" si="12"/>
        <v>0</v>
      </c>
      <c r="AR45" s="147">
        <f t="shared" si="12"/>
        <v>0</v>
      </c>
      <c r="AS45" s="147">
        <f t="shared" si="12"/>
        <v>0</v>
      </c>
      <c r="AT45" s="147">
        <f t="shared" si="12"/>
        <v>0</v>
      </c>
      <c r="AU45" s="142">
        <f t="shared" si="12"/>
        <v>0</v>
      </c>
      <c r="AV45" s="279">
        <f t="shared" si="12"/>
        <v>0</v>
      </c>
      <c r="AW45" s="142">
        <f t="shared" si="12"/>
        <v>0</v>
      </c>
      <c r="AX45" s="142">
        <f t="shared" si="12"/>
        <v>0</v>
      </c>
      <c r="AY45" s="142">
        <f t="shared" si="12"/>
        <v>0</v>
      </c>
      <c r="AZ45" s="142">
        <f t="shared" si="12"/>
        <v>0</v>
      </c>
      <c r="BA45" s="142">
        <f t="shared" si="12"/>
        <v>0</v>
      </c>
      <c r="BB45" s="142">
        <f t="shared" si="12"/>
        <v>0</v>
      </c>
      <c r="BC45" s="142">
        <f t="shared" si="12"/>
        <v>0</v>
      </c>
    </row>
    <row r="46" spans="2:55" x14ac:dyDescent="0.25">
      <c r="B46" s="289" t="s">
        <v>840</v>
      </c>
      <c r="C46" s="290"/>
      <c r="D46" s="283">
        <f t="shared" ref="D46:BC46" si="13">D44+D45</f>
        <v>21287.66</v>
      </c>
      <c r="E46" s="284">
        <f t="shared" si="13"/>
        <v>23446.32</v>
      </c>
      <c r="F46" s="284">
        <f t="shared" si="13"/>
        <v>21710.85</v>
      </c>
      <c r="G46" s="284">
        <f t="shared" si="13"/>
        <v>21664.559999999998</v>
      </c>
      <c r="H46" s="285">
        <f t="shared" si="13"/>
        <v>26375.08</v>
      </c>
      <c r="I46" s="284">
        <f t="shared" si="13"/>
        <v>24888.639999999999</v>
      </c>
      <c r="J46" s="284">
        <f t="shared" si="13"/>
        <v>23844.21</v>
      </c>
      <c r="K46" s="284">
        <f t="shared" si="13"/>
        <v>23277.4</v>
      </c>
      <c r="L46" s="284">
        <f t="shared" si="13"/>
        <v>23846.480000000003</v>
      </c>
      <c r="M46" s="283">
        <f t="shared" si="13"/>
        <v>17342.669999999998</v>
      </c>
      <c r="N46" s="284">
        <f t="shared" si="13"/>
        <v>17976.82</v>
      </c>
      <c r="O46" s="284">
        <f t="shared" si="13"/>
        <v>23692.769999999997</v>
      </c>
      <c r="P46" s="284">
        <f t="shared" si="13"/>
        <v>23038.85</v>
      </c>
      <c r="Q46" s="283">
        <f t="shared" si="13"/>
        <v>20665.849999999999</v>
      </c>
      <c r="R46" s="284">
        <f t="shared" si="13"/>
        <v>24473.86</v>
      </c>
      <c r="S46" s="284">
        <f t="shared" si="13"/>
        <v>23581.059999999998</v>
      </c>
      <c r="T46" s="284">
        <f t="shared" si="13"/>
        <v>21900.639999999999</v>
      </c>
      <c r="U46" s="284">
        <f t="shared" si="13"/>
        <v>19934.28</v>
      </c>
      <c r="V46" s="283">
        <f t="shared" si="13"/>
        <v>22848.53</v>
      </c>
      <c r="W46" s="284">
        <f t="shared" si="13"/>
        <v>20239.939999999999</v>
      </c>
      <c r="X46" s="284">
        <f t="shared" si="13"/>
        <v>22665.82</v>
      </c>
      <c r="Y46" s="284">
        <f t="shared" si="13"/>
        <v>18410.04</v>
      </c>
      <c r="Z46" s="283">
        <f t="shared" si="13"/>
        <v>24192.82</v>
      </c>
      <c r="AA46" s="284">
        <f t="shared" si="13"/>
        <v>23943.42</v>
      </c>
      <c r="AB46" s="284">
        <f t="shared" si="13"/>
        <v>21067.46</v>
      </c>
      <c r="AC46" s="285">
        <f t="shared" si="13"/>
        <v>21779.42</v>
      </c>
      <c r="AD46" s="283">
        <f t="shared" si="13"/>
        <v>23261.839999999997</v>
      </c>
      <c r="AE46" s="284">
        <f t="shared" si="13"/>
        <v>24228.629999999997</v>
      </c>
      <c r="AF46" s="284">
        <f t="shared" si="13"/>
        <v>24320.400000000001</v>
      </c>
      <c r="AG46" s="284">
        <f t="shared" si="13"/>
        <v>24350.58</v>
      </c>
      <c r="AH46" s="284">
        <f t="shared" si="13"/>
        <v>23205.78</v>
      </c>
      <c r="AI46" s="283">
        <f t="shared" si="13"/>
        <v>22763.88</v>
      </c>
      <c r="AJ46" s="284">
        <f t="shared" si="13"/>
        <v>23356.739999999998</v>
      </c>
      <c r="AK46" s="284">
        <f t="shared" si="13"/>
        <v>23542.66</v>
      </c>
      <c r="AL46" s="284">
        <f t="shared" si="13"/>
        <v>24953.97</v>
      </c>
      <c r="AM46" s="283">
        <f t="shared" si="13"/>
        <v>21315.25</v>
      </c>
      <c r="AN46" s="284">
        <f t="shared" si="13"/>
        <v>23819.55</v>
      </c>
      <c r="AO46" s="284">
        <f t="shared" si="13"/>
        <v>22644.489999999998</v>
      </c>
      <c r="AP46" s="284">
        <f t="shared" si="13"/>
        <v>23483.690000000002</v>
      </c>
      <c r="AQ46" s="283">
        <f t="shared" si="13"/>
        <v>0</v>
      </c>
      <c r="AR46" s="284">
        <f t="shared" si="13"/>
        <v>0</v>
      </c>
      <c r="AS46" s="284">
        <f t="shared" si="13"/>
        <v>0</v>
      </c>
      <c r="AT46" s="284">
        <f t="shared" si="13"/>
        <v>0</v>
      </c>
      <c r="AU46" s="284">
        <f t="shared" si="13"/>
        <v>0</v>
      </c>
      <c r="AV46" s="283">
        <f t="shared" si="13"/>
        <v>0</v>
      </c>
      <c r="AW46" s="284">
        <f t="shared" si="13"/>
        <v>0</v>
      </c>
      <c r="AX46" s="284">
        <f t="shared" si="13"/>
        <v>0</v>
      </c>
      <c r="AY46" s="284">
        <f t="shared" si="13"/>
        <v>0</v>
      </c>
      <c r="AZ46" s="284">
        <f t="shared" si="13"/>
        <v>0</v>
      </c>
      <c r="BA46" s="284">
        <f t="shared" si="13"/>
        <v>0</v>
      </c>
      <c r="BB46" s="284">
        <f t="shared" si="13"/>
        <v>0</v>
      </c>
      <c r="BC46" s="284">
        <f t="shared" si="13"/>
        <v>0</v>
      </c>
    </row>
    <row r="47" spans="2:55" x14ac:dyDescent="0.25">
      <c r="B47" s="291" t="s">
        <v>841</v>
      </c>
      <c r="C47" s="292"/>
      <c r="D47" s="293">
        <f t="shared" ref="D47:BC47" si="14">D37+D38+D39+D40+D43+D46</f>
        <v>187636.95</v>
      </c>
      <c r="E47" s="173">
        <f t="shared" si="14"/>
        <v>192846.07</v>
      </c>
      <c r="F47" s="173">
        <f t="shared" si="14"/>
        <v>187525.38</v>
      </c>
      <c r="G47" s="173">
        <f t="shared" si="14"/>
        <v>157359.24</v>
      </c>
      <c r="H47" s="294">
        <f t="shared" si="14"/>
        <v>174044.63</v>
      </c>
      <c r="I47" s="295">
        <f t="shared" si="14"/>
        <v>183645.33999999997</v>
      </c>
      <c r="J47" s="173">
        <f t="shared" si="14"/>
        <v>194983.44</v>
      </c>
      <c r="K47" s="173">
        <f t="shared" si="14"/>
        <v>192752.13999999998</v>
      </c>
      <c r="L47" s="296">
        <f t="shared" si="14"/>
        <v>172043.75</v>
      </c>
      <c r="M47" s="293">
        <f t="shared" si="14"/>
        <v>111681.48</v>
      </c>
      <c r="N47" s="173">
        <f t="shared" si="14"/>
        <v>123006.33000000002</v>
      </c>
      <c r="O47" s="173">
        <f t="shared" si="14"/>
        <v>167111.35</v>
      </c>
      <c r="P47" s="296">
        <f t="shared" si="14"/>
        <v>181461.04</v>
      </c>
      <c r="Q47" s="293">
        <f t="shared" si="14"/>
        <v>153061.92000000001</v>
      </c>
      <c r="R47" s="173">
        <f t="shared" si="14"/>
        <v>164081.43</v>
      </c>
      <c r="S47" s="173">
        <f t="shared" si="14"/>
        <v>153011.51</v>
      </c>
      <c r="T47" s="173">
        <f t="shared" si="14"/>
        <v>162395.04000000004</v>
      </c>
      <c r="U47" s="296">
        <f t="shared" si="14"/>
        <v>272473.34000000003</v>
      </c>
      <c r="V47" s="293">
        <f t="shared" si="14"/>
        <v>158660.39000000001</v>
      </c>
      <c r="W47" s="173">
        <f t="shared" si="14"/>
        <v>190800.42</v>
      </c>
      <c r="X47" s="296">
        <f t="shared" si="14"/>
        <v>152114.79</v>
      </c>
      <c r="Y47" s="173">
        <f t="shared" si="14"/>
        <v>154496.33000000002</v>
      </c>
      <c r="Z47" s="293">
        <f t="shared" si="14"/>
        <v>161851.84000000003</v>
      </c>
      <c r="AA47" s="173">
        <f t="shared" si="14"/>
        <v>149899.07999999999</v>
      </c>
      <c r="AB47" s="173">
        <f t="shared" si="14"/>
        <v>155405.47999999998</v>
      </c>
      <c r="AC47" s="294">
        <f t="shared" si="14"/>
        <v>158220.74</v>
      </c>
      <c r="AD47" s="293">
        <f t="shared" si="14"/>
        <v>157474.54999999999</v>
      </c>
      <c r="AE47" s="173">
        <f t="shared" si="14"/>
        <v>169912.39</v>
      </c>
      <c r="AF47" s="173">
        <f t="shared" si="14"/>
        <v>175520.50999999998</v>
      </c>
      <c r="AG47" s="173">
        <f t="shared" si="14"/>
        <v>170807.97000000003</v>
      </c>
      <c r="AH47" s="296">
        <f t="shared" si="14"/>
        <v>152426.30000000002</v>
      </c>
      <c r="AI47" s="293">
        <f t="shared" si="14"/>
        <v>173346.39</v>
      </c>
      <c r="AJ47" s="173">
        <f t="shared" si="14"/>
        <v>172674.43000000002</v>
      </c>
      <c r="AK47" s="173">
        <f t="shared" si="14"/>
        <v>217392.25999999998</v>
      </c>
      <c r="AL47" s="296">
        <f t="shared" si="14"/>
        <v>217480.03999999998</v>
      </c>
      <c r="AM47" s="293">
        <f t="shared" si="14"/>
        <v>183660.5</v>
      </c>
      <c r="AN47" s="173">
        <f t="shared" si="14"/>
        <v>168240.17</v>
      </c>
      <c r="AO47" s="173">
        <f t="shared" si="14"/>
        <v>157297.75999999998</v>
      </c>
      <c r="AP47" s="296">
        <f t="shared" si="14"/>
        <v>191552.91000000003</v>
      </c>
      <c r="AQ47" s="293">
        <f t="shared" si="14"/>
        <v>0</v>
      </c>
      <c r="AR47" s="173">
        <f t="shared" si="14"/>
        <v>0</v>
      </c>
      <c r="AS47" s="173">
        <f t="shared" si="14"/>
        <v>0</v>
      </c>
      <c r="AT47" s="173">
        <f t="shared" si="14"/>
        <v>0</v>
      </c>
      <c r="AU47" s="296">
        <f t="shared" si="14"/>
        <v>0</v>
      </c>
      <c r="AV47" s="293">
        <f t="shared" si="14"/>
        <v>0</v>
      </c>
      <c r="AW47" s="173">
        <f t="shared" si="14"/>
        <v>0</v>
      </c>
      <c r="AX47" s="173">
        <f t="shared" si="14"/>
        <v>0</v>
      </c>
      <c r="AY47" s="173">
        <f t="shared" si="14"/>
        <v>0</v>
      </c>
      <c r="AZ47" s="173">
        <f t="shared" si="14"/>
        <v>0</v>
      </c>
      <c r="BA47" s="173">
        <f>BA37+BA38+BA39+BA40+BA43+BA46</f>
        <v>0</v>
      </c>
      <c r="BB47" s="173">
        <f t="shared" si="14"/>
        <v>0</v>
      </c>
      <c r="BC47" s="173">
        <f t="shared" si="14"/>
        <v>0</v>
      </c>
    </row>
    <row r="48" spans="2:55" x14ac:dyDescent="0.25">
      <c r="B48" s="142" t="s">
        <v>842</v>
      </c>
      <c r="D48" s="279">
        <f t="shared" ref="D48:AC48" si="15">D6+D22+D23</f>
        <v>26251.53</v>
      </c>
      <c r="E48" s="147">
        <f t="shared" si="15"/>
        <v>28304.39</v>
      </c>
      <c r="F48" s="147">
        <f t="shared" si="15"/>
        <v>37664.519999999997</v>
      </c>
      <c r="G48" s="147">
        <f t="shared" si="15"/>
        <v>28083.279999999999</v>
      </c>
      <c r="H48" s="280">
        <f t="shared" si="15"/>
        <v>43665.15</v>
      </c>
      <c r="I48" s="142">
        <f t="shared" si="15"/>
        <v>34915.360000000001</v>
      </c>
      <c r="J48" s="142">
        <f t="shared" si="15"/>
        <v>23282.82</v>
      </c>
      <c r="K48" s="142">
        <f t="shared" si="15"/>
        <v>35126.730000000003</v>
      </c>
      <c r="L48" s="142">
        <f t="shared" si="15"/>
        <v>42697.41</v>
      </c>
      <c r="M48" s="279">
        <f t="shared" si="15"/>
        <v>24252.22</v>
      </c>
      <c r="N48" s="147">
        <f t="shared" si="15"/>
        <v>15636.19</v>
      </c>
      <c r="O48" s="147">
        <f t="shared" si="15"/>
        <v>19716.669999999998</v>
      </c>
      <c r="P48" s="142">
        <f t="shared" si="15"/>
        <v>28006.080000000002</v>
      </c>
      <c r="Q48" s="279">
        <f t="shared" si="15"/>
        <v>36430.75</v>
      </c>
      <c r="R48" s="147">
        <f t="shared" si="15"/>
        <v>30609.65</v>
      </c>
      <c r="S48" s="147">
        <f t="shared" si="15"/>
        <v>21347.94</v>
      </c>
      <c r="T48" s="147">
        <f t="shared" si="15"/>
        <v>21544.76</v>
      </c>
      <c r="U48" s="142">
        <f t="shared" si="15"/>
        <v>28890.83</v>
      </c>
      <c r="V48" s="279">
        <f t="shared" si="15"/>
        <v>31694.06</v>
      </c>
      <c r="W48" s="147">
        <f t="shared" si="15"/>
        <v>28647.119999999999</v>
      </c>
      <c r="X48" s="142">
        <f t="shared" si="15"/>
        <v>24823.18</v>
      </c>
      <c r="Y48" s="147">
        <f t="shared" si="15"/>
        <v>28268.97</v>
      </c>
      <c r="Z48" s="279">
        <f t="shared" si="15"/>
        <v>21244.16</v>
      </c>
      <c r="AA48" s="147">
        <f t="shared" si="15"/>
        <v>25479.31</v>
      </c>
      <c r="AB48" s="147">
        <f t="shared" si="15"/>
        <v>95599.2</v>
      </c>
      <c r="AC48" s="280">
        <f t="shared" si="15"/>
        <v>31838.42</v>
      </c>
      <c r="AD48" s="279">
        <f>AD6+AD22+AD23</f>
        <v>36945.33</v>
      </c>
      <c r="AE48" s="142">
        <f t="shared" ref="AE48:BC48" si="16">AE6+AE22+AE23</f>
        <v>23841.47</v>
      </c>
      <c r="AF48" s="142">
        <f t="shared" si="16"/>
        <v>23619.8</v>
      </c>
      <c r="AG48" s="142">
        <f t="shared" si="16"/>
        <v>26927.57</v>
      </c>
      <c r="AH48" s="142">
        <f t="shared" si="16"/>
        <v>29406.76</v>
      </c>
      <c r="AI48" s="279">
        <f t="shared" si="16"/>
        <v>23030.35</v>
      </c>
      <c r="AJ48" s="142">
        <f t="shared" si="16"/>
        <v>27131.11</v>
      </c>
      <c r="AK48" s="142">
        <f t="shared" si="16"/>
        <v>34787.26</v>
      </c>
      <c r="AL48" s="142">
        <f t="shared" si="16"/>
        <v>37242.11</v>
      </c>
      <c r="AM48" s="279">
        <f t="shared" si="16"/>
        <v>23058.36</v>
      </c>
      <c r="AN48" s="142">
        <f t="shared" si="16"/>
        <v>30150.59</v>
      </c>
      <c r="AO48" s="142">
        <f t="shared" si="16"/>
        <v>23320.38</v>
      </c>
      <c r="AP48" s="142">
        <f t="shared" si="16"/>
        <v>24481.64</v>
      </c>
      <c r="AQ48" s="279">
        <f t="shared" si="16"/>
        <v>0</v>
      </c>
      <c r="AR48" s="147">
        <f t="shared" si="16"/>
        <v>0</v>
      </c>
      <c r="AS48" s="147">
        <f t="shared" si="16"/>
        <v>0</v>
      </c>
      <c r="AT48" s="147">
        <f t="shared" si="16"/>
        <v>0</v>
      </c>
      <c r="AU48" s="142">
        <f t="shared" si="16"/>
        <v>0</v>
      </c>
      <c r="AV48" s="279">
        <f t="shared" si="16"/>
        <v>0</v>
      </c>
      <c r="AW48" s="142">
        <f t="shared" si="16"/>
        <v>0</v>
      </c>
      <c r="AX48" s="142">
        <f t="shared" si="16"/>
        <v>0</v>
      </c>
      <c r="AY48" s="142">
        <f t="shared" si="16"/>
        <v>0</v>
      </c>
      <c r="AZ48" s="142">
        <f t="shared" si="16"/>
        <v>0</v>
      </c>
      <c r="BA48" s="142">
        <f t="shared" si="16"/>
        <v>0</v>
      </c>
      <c r="BB48" s="142">
        <f t="shared" si="16"/>
        <v>0</v>
      </c>
      <c r="BC48" s="142">
        <f t="shared" si="16"/>
        <v>0</v>
      </c>
    </row>
    <row r="49" spans="2:55" x14ac:dyDescent="0.25">
      <c r="B49" s="142" t="s">
        <v>805</v>
      </c>
      <c r="D49" s="279">
        <f t="shared" ref="D49:BC49" si="17">D14+D27</f>
        <v>1239.19</v>
      </c>
      <c r="E49" s="147">
        <f t="shared" si="17"/>
        <v>1308.76</v>
      </c>
      <c r="F49" s="147">
        <f t="shared" si="17"/>
        <v>1531.97</v>
      </c>
      <c r="G49" s="147">
        <f t="shared" si="17"/>
        <v>1401.84</v>
      </c>
      <c r="H49" s="280">
        <f t="shared" si="17"/>
        <v>1548.89</v>
      </c>
      <c r="I49" s="142">
        <f t="shared" si="17"/>
        <v>1737.19</v>
      </c>
      <c r="J49" s="142">
        <f t="shared" si="17"/>
        <v>1977.38</v>
      </c>
      <c r="K49" s="142">
        <f t="shared" si="17"/>
        <v>2036.59</v>
      </c>
      <c r="L49" s="142">
        <f t="shared" si="17"/>
        <v>2252.42</v>
      </c>
      <c r="M49" s="279">
        <f t="shared" si="17"/>
        <v>1699.72</v>
      </c>
      <c r="N49" s="147">
        <f t="shared" si="17"/>
        <v>1886.63</v>
      </c>
      <c r="O49" s="147">
        <f t="shared" si="17"/>
        <v>1937.03</v>
      </c>
      <c r="P49" s="142">
        <f t="shared" si="17"/>
        <v>2259.89</v>
      </c>
      <c r="Q49" s="279">
        <f t="shared" si="17"/>
        <v>1279.2</v>
      </c>
      <c r="R49" s="147">
        <f t="shared" si="17"/>
        <v>2056.2800000000002</v>
      </c>
      <c r="S49" s="147">
        <f t="shared" si="17"/>
        <v>1750.52</v>
      </c>
      <c r="T49" s="147">
        <f t="shared" si="17"/>
        <v>1932.89</v>
      </c>
      <c r="U49" s="142">
        <f t="shared" si="17"/>
        <v>1652.65</v>
      </c>
      <c r="V49" s="279">
        <f t="shared" si="17"/>
        <v>1526.16</v>
      </c>
      <c r="W49" s="147">
        <f t="shared" si="17"/>
        <v>1708.82</v>
      </c>
      <c r="X49" s="142">
        <f t="shared" si="17"/>
        <v>1463.61</v>
      </c>
      <c r="Y49" s="147">
        <f t="shared" si="17"/>
        <v>1865.39</v>
      </c>
      <c r="Z49" s="279">
        <f t="shared" si="17"/>
        <v>1866.27</v>
      </c>
      <c r="AA49" s="147">
        <f t="shared" si="17"/>
        <v>1843.13</v>
      </c>
      <c r="AB49" s="147">
        <f t="shared" si="17"/>
        <v>1408.36</v>
      </c>
      <c r="AC49" s="280">
        <f t="shared" si="17"/>
        <v>1876.05</v>
      </c>
      <c r="AD49" s="279">
        <f t="shared" si="17"/>
        <v>1278.92</v>
      </c>
      <c r="AE49" s="142">
        <f t="shared" si="17"/>
        <v>1697.96</v>
      </c>
      <c r="AF49" s="142">
        <f t="shared" si="17"/>
        <v>1691.44</v>
      </c>
      <c r="AG49" s="142">
        <f t="shared" si="17"/>
        <v>1037.5</v>
      </c>
      <c r="AH49" s="142">
        <f t="shared" si="17"/>
        <v>1842.86</v>
      </c>
      <c r="AI49" s="279">
        <f t="shared" si="17"/>
        <v>2029.42</v>
      </c>
      <c r="AJ49" s="142">
        <f t="shared" si="17"/>
        <v>1818.51</v>
      </c>
      <c r="AK49" s="142">
        <f t="shared" si="17"/>
        <v>2051.52</v>
      </c>
      <c r="AL49" s="142">
        <f t="shared" si="17"/>
        <v>2058.83</v>
      </c>
      <c r="AM49" s="279">
        <f t="shared" si="17"/>
        <v>2179.83</v>
      </c>
      <c r="AN49" s="142">
        <f t="shared" si="17"/>
        <v>1548.29</v>
      </c>
      <c r="AO49" s="142">
        <f t="shared" si="17"/>
        <v>1351.19</v>
      </c>
      <c r="AP49" s="142">
        <f t="shared" si="17"/>
        <v>1954.16</v>
      </c>
      <c r="AQ49" s="279">
        <f t="shared" si="17"/>
        <v>0</v>
      </c>
      <c r="AR49" s="147">
        <f t="shared" si="17"/>
        <v>0</v>
      </c>
      <c r="AS49" s="147">
        <f t="shared" si="17"/>
        <v>0</v>
      </c>
      <c r="AT49" s="147">
        <f t="shared" si="17"/>
        <v>0</v>
      </c>
      <c r="AU49" s="142">
        <f t="shared" si="17"/>
        <v>0</v>
      </c>
      <c r="AV49" s="279">
        <f t="shared" si="17"/>
        <v>0</v>
      </c>
      <c r="AW49" s="142">
        <f t="shared" si="17"/>
        <v>0</v>
      </c>
      <c r="AX49" s="142">
        <f t="shared" si="17"/>
        <v>0</v>
      </c>
      <c r="AY49" s="142">
        <f t="shared" si="17"/>
        <v>0</v>
      </c>
      <c r="AZ49" s="142">
        <f t="shared" si="17"/>
        <v>0</v>
      </c>
      <c r="BA49" s="142">
        <f t="shared" si="17"/>
        <v>0</v>
      </c>
      <c r="BB49" s="142">
        <f t="shared" si="17"/>
        <v>0</v>
      </c>
      <c r="BC49" s="142">
        <f t="shared" si="17"/>
        <v>0</v>
      </c>
    </row>
    <row r="50" spans="2:55" x14ac:dyDescent="0.25">
      <c r="B50" s="142" t="s">
        <v>843</v>
      </c>
      <c r="D50" s="279">
        <f t="shared" ref="D50:BC50" si="18">D20</f>
        <v>6743</v>
      </c>
      <c r="E50" s="147">
        <f t="shared" si="18"/>
        <v>10371.16</v>
      </c>
      <c r="F50" s="147">
        <f t="shared" si="18"/>
        <v>8113.53</v>
      </c>
      <c r="G50" s="147">
        <f t="shared" si="18"/>
        <v>8191.36</v>
      </c>
      <c r="H50" s="280">
        <f t="shared" si="18"/>
        <v>13363.05</v>
      </c>
      <c r="I50" s="142">
        <f t="shared" si="18"/>
        <v>10041.530000000001</v>
      </c>
      <c r="J50" s="142">
        <f t="shared" si="18"/>
        <v>11659.36</v>
      </c>
      <c r="K50" s="142">
        <f t="shared" si="18"/>
        <v>7739.53</v>
      </c>
      <c r="L50" s="142">
        <f t="shared" si="18"/>
        <v>9582.02</v>
      </c>
      <c r="M50" s="279">
        <f t="shared" si="18"/>
        <v>5606.51</v>
      </c>
      <c r="N50" s="147">
        <f t="shared" si="18"/>
        <v>6872.71</v>
      </c>
      <c r="O50" s="147">
        <f t="shared" si="18"/>
        <v>5869.6</v>
      </c>
      <c r="P50" s="142">
        <f t="shared" si="18"/>
        <v>8298.61</v>
      </c>
      <c r="Q50" s="279">
        <f t="shared" si="18"/>
        <v>7786.78</v>
      </c>
      <c r="R50" s="147">
        <f t="shared" si="18"/>
        <v>8979.94</v>
      </c>
      <c r="S50" s="147">
        <f t="shared" si="18"/>
        <v>8999.2000000000007</v>
      </c>
      <c r="T50" s="147">
        <f t="shared" si="18"/>
        <v>9232.41</v>
      </c>
      <c r="U50" s="142">
        <f t="shared" si="18"/>
        <v>8571.57</v>
      </c>
      <c r="V50" s="279">
        <f t="shared" si="18"/>
        <v>7725.89</v>
      </c>
      <c r="W50" s="147">
        <f t="shared" si="18"/>
        <v>7513.07</v>
      </c>
      <c r="X50" s="142">
        <f t="shared" si="18"/>
        <v>9770.26</v>
      </c>
      <c r="Y50" s="147">
        <f t="shared" si="18"/>
        <v>7498.8</v>
      </c>
      <c r="Z50" s="279">
        <f t="shared" si="18"/>
        <v>8544.65</v>
      </c>
      <c r="AA50" s="147">
        <f t="shared" si="18"/>
        <v>6272.45</v>
      </c>
      <c r="AB50" s="147">
        <f t="shared" si="18"/>
        <v>16803.900000000001</v>
      </c>
      <c r="AC50" s="280">
        <f t="shared" si="18"/>
        <v>6996.18</v>
      </c>
      <c r="AD50" s="279">
        <f t="shared" si="18"/>
        <v>9167.42</v>
      </c>
      <c r="AE50" s="142">
        <f t="shared" si="18"/>
        <v>10205.44</v>
      </c>
      <c r="AF50" s="142">
        <f t="shared" si="18"/>
        <v>9744.81</v>
      </c>
      <c r="AG50" s="142">
        <f t="shared" si="18"/>
        <v>9054.82</v>
      </c>
      <c r="AH50" s="142">
        <f t="shared" si="18"/>
        <v>12284.62</v>
      </c>
      <c r="AI50" s="279">
        <f t="shared" si="18"/>
        <v>11943.56</v>
      </c>
      <c r="AJ50" s="142">
        <f t="shared" si="18"/>
        <v>12180.86</v>
      </c>
      <c r="AK50" s="142">
        <f t="shared" si="18"/>
        <v>15682.81</v>
      </c>
      <c r="AL50" s="142">
        <f t="shared" si="18"/>
        <v>14850.04</v>
      </c>
      <c r="AM50" s="279">
        <f t="shared" si="18"/>
        <v>10922.4</v>
      </c>
      <c r="AN50" s="142">
        <f t="shared" si="18"/>
        <v>13224.72</v>
      </c>
      <c r="AO50" s="142">
        <f t="shared" si="18"/>
        <v>15899</v>
      </c>
      <c r="AP50" s="142">
        <f t="shared" si="18"/>
        <v>10360.959999999999</v>
      </c>
      <c r="AQ50" s="279">
        <f t="shared" si="18"/>
        <v>0</v>
      </c>
      <c r="AR50" s="147">
        <f t="shared" si="18"/>
        <v>0</v>
      </c>
      <c r="AS50" s="147">
        <f t="shared" si="18"/>
        <v>0</v>
      </c>
      <c r="AT50" s="147">
        <f t="shared" si="18"/>
        <v>0</v>
      </c>
      <c r="AU50" s="142">
        <f t="shared" si="18"/>
        <v>0</v>
      </c>
      <c r="AV50" s="279">
        <f t="shared" si="18"/>
        <v>0</v>
      </c>
      <c r="AW50" s="142">
        <f t="shared" si="18"/>
        <v>0</v>
      </c>
      <c r="AX50" s="142">
        <f t="shared" si="18"/>
        <v>0</v>
      </c>
      <c r="AY50" s="142">
        <f t="shared" si="18"/>
        <v>0</v>
      </c>
      <c r="AZ50" s="142">
        <f t="shared" si="18"/>
        <v>0</v>
      </c>
      <c r="BA50" s="142">
        <f t="shared" si="18"/>
        <v>0</v>
      </c>
      <c r="BB50" s="142">
        <f t="shared" si="18"/>
        <v>0</v>
      </c>
      <c r="BC50" s="142">
        <f t="shared" si="18"/>
        <v>0</v>
      </c>
    </row>
    <row r="51" spans="2:55" x14ac:dyDescent="0.25">
      <c r="B51" s="291" t="s">
        <v>844</v>
      </c>
      <c r="C51" s="292"/>
      <c r="D51" s="293">
        <f t="shared" ref="D51:L51" si="19">SUM(D48:D50)</f>
        <v>34233.72</v>
      </c>
      <c r="E51" s="173">
        <f t="shared" si="19"/>
        <v>39984.31</v>
      </c>
      <c r="F51" s="173">
        <f t="shared" si="19"/>
        <v>47310.02</v>
      </c>
      <c r="G51" s="173">
        <f t="shared" si="19"/>
        <v>37676.479999999996</v>
      </c>
      <c r="H51" s="294">
        <f t="shared" si="19"/>
        <v>58577.09</v>
      </c>
      <c r="I51" s="295">
        <f t="shared" si="19"/>
        <v>46694.080000000002</v>
      </c>
      <c r="J51" s="173">
        <f t="shared" si="19"/>
        <v>36919.56</v>
      </c>
      <c r="K51" s="173">
        <f t="shared" si="19"/>
        <v>44902.85</v>
      </c>
      <c r="L51" s="296">
        <f t="shared" si="19"/>
        <v>54531.850000000006</v>
      </c>
      <c r="M51" s="293">
        <f t="shared" ref="M51:BC51" si="20">SUM(M48:M50)</f>
        <v>31558.450000000004</v>
      </c>
      <c r="N51" s="173">
        <f t="shared" si="20"/>
        <v>24395.53</v>
      </c>
      <c r="O51" s="173">
        <f t="shared" si="20"/>
        <v>27523.299999999996</v>
      </c>
      <c r="P51" s="296">
        <f t="shared" si="20"/>
        <v>38564.58</v>
      </c>
      <c r="Q51" s="293">
        <f t="shared" si="20"/>
        <v>45496.729999999996</v>
      </c>
      <c r="R51" s="173">
        <f t="shared" si="20"/>
        <v>41645.870000000003</v>
      </c>
      <c r="S51" s="173">
        <f t="shared" si="20"/>
        <v>32097.66</v>
      </c>
      <c r="T51" s="173">
        <f t="shared" si="20"/>
        <v>32710.059999999998</v>
      </c>
      <c r="U51" s="296">
        <f t="shared" si="20"/>
        <v>39115.050000000003</v>
      </c>
      <c r="V51" s="293">
        <f t="shared" si="20"/>
        <v>40946.11</v>
      </c>
      <c r="W51" s="173">
        <f t="shared" si="20"/>
        <v>37869.009999999995</v>
      </c>
      <c r="X51" s="296">
        <f t="shared" si="20"/>
        <v>36057.050000000003</v>
      </c>
      <c r="Y51" s="173">
        <f t="shared" si="20"/>
        <v>37633.160000000003</v>
      </c>
      <c r="Z51" s="293">
        <f t="shared" si="20"/>
        <v>31655.08</v>
      </c>
      <c r="AA51" s="173">
        <f t="shared" si="20"/>
        <v>33594.89</v>
      </c>
      <c r="AB51" s="173">
        <f t="shared" si="20"/>
        <v>113811.45999999999</v>
      </c>
      <c r="AC51" s="294">
        <f t="shared" si="20"/>
        <v>40710.65</v>
      </c>
      <c r="AD51" s="293">
        <f t="shared" si="20"/>
        <v>47391.67</v>
      </c>
      <c r="AE51" s="173">
        <f t="shared" si="20"/>
        <v>35744.870000000003</v>
      </c>
      <c r="AF51" s="173">
        <f t="shared" si="20"/>
        <v>35056.049999999996</v>
      </c>
      <c r="AG51" s="173">
        <f t="shared" si="20"/>
        <v>37019.89</v>
      </c>
      <c r="AH51" s="296">
        <f t="shared" si="20"/>
        <v>43534.239999999998</v>
      </c>
      <c r="AI51" s="293">
        <f t="shared" si="20"/>
        <v>37003.329999999994</v>
      </c>
      <c r="AJ51" s="173">
        <f t="shared" si="20"/>
        <v>41130.479999999996</v>
      </c>
      <c r="AK51" s="173">
        <f t="shared" si="20"/>
        <v>52521.59</v>
      </c>
      <c r="AL51" s="296">
        <f t="shared" si="20"/>
        <v>54150.98</v>
      </c>
      <c r="AM51" s="293">
        <f t="shared" si="20"/>
        <v>36160.590000000004</v>
      </c>
      <c r="AN51" s="173">
        <f t="shared" si="20"/>
        <v>44923.6</v>
      </c>
      <c r="AO51" s="173">
        <f t="shared" si="20"/>
        <v>40570.57</v>
      </c>
      <c r="AP51" s="296">
        <f t="shared" si="20"/>
        <v>36796.759999999995</v>
      </c>
      <c r="AQ51" s="293">
        <f t="shared" si="20"/>
        <v>0</v>
      </c>
      <c r="AR51" s="173">
        <f t="shared" si="20"/>
        <v>0</v>
      </c>
      <c r="AS51" s="173">
        <f t="shared" si="20"/>
        <v>0</v>
      </c>
      <c r="AT51" s="173">
        <f t="shared" si="20"/>
        <v>0</v>
      </c>
      <c r="AU51" s="296">
        <f t="shared" si="20"/>
        <v>0</v>
      </c>
      <c r="AV51" s="293">
        <f t="shared" si="20"/>
        <v>0</v>
      </c>
      <c r="AW51" s="173">
        <f t="shared" si="20"/>
        <v>0</v>
      </c>
      <c r="AX51" s="173">
        <f t="shared" si="20"/>
        <v>0</v>
      </c>
      <c r="AY51" s="173">
        <f t="shared" si="20"/>
        <v>0</v>
      </c>
      <c r="AZ51" s="173">
        <f t="shared" si="20"/>
        <v>0</v>
      </c>
      <c r="BA51" s="173">
        <f t="shared" si="20"/>
        <v>0</v>
      </c>
      <c r="BB51" s="173">
        <f t="shared" si="20"/>
        <v>0</v>
      </c>
      <c r="BC51" s="173">
        <f t="shared" si="20"/>
        <v>0</v>
      </c>
    </row>
    <row r="52" spans="2:55" x14ac:dyDescent="0.25">
      <c r="B52" s="142" t="s">
        <v>809</v>
      </c>
      <c r="D52" s="279">
        <f t="shared" ref="D52:BC53" si="21">D17</f>
        <v>16208.59</v>
      </c>
      <c r="E52" s="147">
        <f t="shared" si="21"/>
        <v>16084.94</v>
      </c>
      <c r="F52" s="147">
        <f t="shared" si="21"/>
        <v>16023.14</v>
      </c>
      <c r="G52" s="147">
        <f t="shared" si="21"/>
        <v>16065.37</v>
      </c>
      <c r="H52" s="280">
        <f t="shared" si="21"/>
        <v>25170.61</v>
      </c>
      <c r="I52" s="142">
        <f t="shared" si="21"/>
        <v>18733.939999999999</v>
      </c>
      <c r="J52" s="142">
        <f t="shared" si="21"/>
        <v>14164.12</v>
      </c>
      <c r="K52" s="142">
        <f t="shared" si="21"/>
        <v>20475.95</v>
      </c>
      <c r="L52" s="142">
        <f t="shared" si="21"/>
        <v>28103.85</v>
      </c>
      <c r="M52" s="279">
        <f t="shared" si="21"/>
        <v>12136.25</v>
      </c>
      <c r="N52" s="147">
        <f t="shared" si="21"/>
        <v>10435.280000000001</v>
      </c>
      <c r="O52" s="147">
        <f t="shared" si="21"/>
        <v>14803.42</v>
      </c>
      <c r="P52" s="142">
        <f t="shared" si="21"/>
        <v>16530.830000000002</v>
      </c>
      <c r="Q52" s="279">
        <f t="shared" si="21"/>
        <v>30159.61</v>
      </c>
      <c r="R52" s="147">
        <f t="shared" si="21"/>
        <v>16809.84</v>
      </c>
      <c r="S52" s="147">
        <f t="shared" si="21"/>
        <v>14596.6</v>
      </c>
      <c r="T52" s="147">
        <f t="shared" si="21"/>
        <v>20460.87</v>
      </c>
      <c r="U52" s="142">
        <f t="shared" si="21"/>
        <v>22294.78</v>
      </c>
      <c r="V52" s="279">
        <f t="shared" si="21"/>
        <v>15578.53</v>
      </c>
      <c r="W52" s="147">
        <f t="shared" si="21"/>
        <v>26091.54</v>
      </c>
      <c r="X52" s="142">
        <f t="shared" si="21"/>
        <v>24627.64</v>
      </c>
      <c r="Y52" s="147">
        <f t="shared" si="21"/>
        <v>25704.799999999999</v>
      </c>
      <c r="Z52" s="279">
        <f t="shared" si="21"/>
        <v>15793.09</v>
      </c>
      <c r="AA52" s="147">
        <f t="shared" si="21"/>
        <v>16730.38</v>
      </c>
      <c r="AB52" s="147">
        <f t="shared" si="21"/>
        <v>15286.37</v>
      </c>
      <c r="AC52" s="280">
        <f t="shared" si="21"/>
        <v>13784.52</v>
      </c>
      <c r="AD52" s="279">
        <f t="shared" si="21"/>
        <v>27303.51</v>
      </c>
      <c r="AE52" s="142">
        <f t="shared" si="21"/>
        <v>14985.14</v>
      </c>
      <c r="AF52" s="142">
        <f t="shared" si="21"/>
        <v>16043.6</v>
      </c>
      <c r="AG52" s="142">
        <f t="shared" si="21"/>
        <v>26522.3</v>
      </c>
      <c r="AH52" s="142">
        <f t="shared" si="21"/>
        <v>23829.21</v>
      </c>
      <c r="AI52" s="279">
        <f t="shared" si="21"/>
        <v>16919.52</v>
      </c>
      <c r="AJ52" s="142">
        <f t="shared" si="21"/>
        <v>16476.189999999999</v>
      </c>
      <c r="AK52" s="142">
        <f t="shared" si="21"/>
        <v>17594.990000000002</v>
      </c>
      <c r="AL52" s="142">
        <f t="shared" si="21"/>
        <v>27553</v>
      </c>
      <c r="AM52" s="279">
        <f t="shared" si="21"/>
        <v>19391.38</v>
      </c>
      <c r="AN52" s="142">
        <f t="shared" si="21"/>
        <v>15882.18</v>
      </c>
      <c r="AO52" s="142">
        <f t="shared" si="21"/>
        <v>17288.07</v>
      </c>
      <c r="AP52" s="142">
        <f t="shared" si="21"/>
        <v>17508.939999999999</v>
      </c>
      <c r="AQ52" s="279">
        <f t="shared" si="21"/>
        <v>0</v>
      </c>
      <c r="AR52" s="147">
        <f t="shared" si="21"/>
        <v>0</v>
      </c>
      <c r="AS52" s="147">
        <f t="shared" si="21"/>
        <v>0</v>
      </c>
      <c r="AT52" s="147">
        <f t="shared" si="21"/>
        <v>0</v>
      </c>
      <c r="AU52" s="142">
        <f t="shared" si="21"/>
        <v>0</v>
      </c>
      <c r="AV52" s="279">
        <f t="shared" si="21"/>
        <v>0</v>
      </c>
      <c r="AW52" s="142">
        <f t="shared" si="21"/>
        <v>0</v>
      </c>
      <c r="AX52" s="142">
        <f t="shared" si="21"/>
        <v>0</v>
      </c>
      <c r="AY52" s="142">
        <f t="shared" si="21"/>
        <v>0</v>
      </c>
      <c r="AZ52" s="142">
        <f t="shared" si="21"/>
        <v>0</v>
      </c>
      <c r="BA52" s="142">
        <f t="shared" si="21"/>
        <v>0</v>
      </c>
      <c r="BB52" s="142">
        <f t="shared" si="21"/>
        <v>0</v>
      </c>
      <c r="BC52" s="142">
        <f t="shared" si="21"/>
        <v>0</v>
      </c>
    </row>
    <row r="53" spans="2:55" x14ac:dyDescent="0.25">
      <c r="B53" s="142" t="s">
        <v>845</v>
      </c>
      <c r="D53" s="279">
        <f t="shared" si="21"/>
        <v>2610.84</v>
      </c>
      <c r="E53" s="147">
        <f t="shared" si="21"/>
        <v>3390.47</v>
      </c>
      <c r="F53" s="147">
        <f t="shared" si="21"/>
        <v>1114.8800000000001</v>
      </c>
      <c r="G53" s="147">
        <f t="shared" si="21"/>
        <v>2043.19</v>
      </c>
      <c r="H53" s="280">
        <f t="shared" si="21"/>
        <v>1286.74</v>
      </c>
      <c r="I53" s="142">
        <f t="shared" si="21"/>
        <v>1706.19</v>
      </c>
      <c r="J53" s="142">
        <f t="shared" si="21"/>
        <v>1608.48</v>
      </c>
      <c r="K53" s="142">
        <f t="shared" si="21"/>
        <v>3057.39</v>
      </c>
      <c r="L53" s="142">
        <f t="shared" si="21"/>
        <v>1782.6</v>
      </c>
      <c r="M53" s="279">
        <f t="shared" si="21"/>
        <v>1053.33</v>
      </c>
      <c r="N53" s="147">
        <f t="shared" si="21"/>
        <v>2413.15</v>
      </c>
      <c r="O53" s="147">
        <f t="shared" si="21"/>
        <v>1367.96</v>
      </c>
      <c r="P53" s="142">
        <f t="shared" si="21"/>
        <v>1509.27</v>
      </c>
      <c r="Q53" s="279">
        <f t="shared" si="21"/>
        <v>1123.19</v>
      </c>
      <c r="R53" s="147">
        <f t="shared" si="21"/>
        <v>4055.64</v>
      </c>
      <c r="S53" s="147">
        <f t="shared" si="21"/>
        <v>1960.17</v>
      </c>
      <c r="T53" s="147">
        <f t="shared" si="21"/>
        <v>2103.58</v>
      </c>
      <c r="U53" s="142">
        <f t="shared" si="21"/>
        <v>2351.06</v>
      </c>
      <c r="V53" s="279">
        <f t="shared" si="21"/>
        <v>4398</v>
      </c>
      <c r="W53" s="147">
        <f t="shared" si="21"/>
        <v>3525.13</v>
      </c>
      <c r="X53" s="142">
        <f t="shared" si="21"/>
        <v>3690.63</v>
      </c>
      <c r="Y53" s="147">
        <f t="shared" si="21"/>
        <v>3724.36</v>
      </c>
      <c r="Z53" s="279">
        <f t="shared" si="21"/>
        <v>2755.64</v>
      </c>
      <c r="AA53" s="147">
        <f t="shared" si="21"/>
        <v>2024.6</v>
      </c>
      <c r="AB53" s="147">
        <f t="shared" si="21"/>
        <v>3717.72</v>
      </c>
      <c r="AC53" s="280">
        <f t="shared" si="21"/>
        <v>2518.62</v>
      </c>
      <c r="AD53" s="279">
        <f t="shared" si="21"/>
        <v>3780.08</v>
      </c>
      <c r="AE53" s="142">
        <f t="shared" si="21"/>
        <v>2318.94</v>
      </c>
      <c r="AF53" s="142">
        <f t="shared" si="21"/>
        <v>2855</v>
      </c>
      <c r="AG53" s="142">
        <f t="shared" si="21"/>
        <v>1649.66</v>
      </c>
      <c r="AH53" s="142">
        <f t="shared" si="21"/>
        <v>3727.83</v>
      </c>
      <c r="AI53" s="279">
        <f t="shared" si="21"/>
        <v>5028.74</v>
      </c>
      <c r="AJ53" s="142">
        <f t="shared" si="21"/>
        <v>4114.04</v>
      </c>
      <c r="AK53" s="142">
        <f t="shared" si="21"/>
        <v>3939.02</v>
      </c>
      <c r="AL53" s="142">
        <f t="shared" si="21"/>
        <v>4311.99</v>
      </c>
      <c r="AM53" s="279">
        <f t="shared" si="21"/>
        <v>4316.6400000000003</v>
      </c>
      <c r="AN53" s="142">
        <f t="shared" si="21"/>
        <v>3801.39</v>
      </c>
      <c r="AO53" s="142">
        <f t="shared" si="21"/>
        <v>3533.02</v>
      </c>
      <c r="AP53" s="142">
        <f t="shared" si="21"/>
        <v>3320.36</v>
      </c>
      <c r="AQ53" s="279">
        <f t="shared" si="21"/>
        <v>0</v>
      </c>
      <c r="AR53" s="147">
        <f t="shared" si="21"/>
        <v>0</v>
      </c>
      <c r="AS53" s="147">
        <f t="shared" si="21"/>
        <v>0</v>
      </c>
      <c r="AT53" s="147">
        <f t="shared" si="21"/>
        <v>0</v>
      </c>
      <c r="AU53" s="142">
        <f t="shared" si="21"/>
        <v>0</v>
      </c>
      <c r="AV53" s="279">
        <f t="shared" si="21"/>
        <v>0</v>
      </c>
      <c r="AW53" s="142">
        <f t="shared" si="21"/>
        <v>0</v>
      </c>
      <c r="AX53" s="142">
        <f t="shared" si="21"/>
        <v>0</v>
      </c>
      <c r="AY53" s="142">
        <f t="shared" si="21"/>
        <v>0</v>
      </c>
      <c r="AZ53" s="142">
        <f t="shared" si="21"/>
        <v>0</v>
      </c>
      <c r="BA53" s="142">
        <f t="shared" si="21"/>
        <v>0</v>
      </c>
      <c r="BB53" s="142">
        <f t="shared" si="21"/>
        <v>0</v>
      </c>
      <c r="BC53" s="142">
        <f t="shared" si="21"/>
        <v>0</v>
      </c>
    </row>
    <row r="54" spans="2:55" x14ac:dyDescent="0.25">
      <c r="B54" s="291" t="s">
        <v>846</v>
      </c>
      <c r="C54" s="292"/>
      <c r="D54" s="293">
        <f t="shared" ref="D54:BC54" si="22">D53+D52</f>
        <v>18819.43</v>
      </c>
      <c r="E54" s="173">
        <f t="shared" si="22"/>
        <v>19475.41</v>
      </c>
      <c r="F54" s="173">
        <f t="shared" si="22"/>
        <v>17138.02</v>
      </c>
      <c r="G54" s="173">
        <f t="shared" si="22"/>
        <v>18108.560000000001</v>
      </c>
      <c r="H54" s="294">
        <f t="shared" si="22"/>
        <v>26457.350000000002</v>
      </c>
      <c r="I54" s="295">
        <f t="shared" si="22"/>
        <v>20440.129999999997</v>
      </c>
      <c r="J54" s="173">
        <f t="shared" si="22"/>
        <v>15772.6</v>
      </c>
      <c r="K54" s="173">
        <f t="shared" si="22"/>
        <v>23533.34</v>
      </c>
      <c r="L54" s="296">
        <f t="shared" si="22"/>
        <v>29886.449999999997</v>
      </c>
      <c r="M54" s="293">
        <f t="shared" si="22"/>
        <v>13189.58</v>
      </c>
      <c r="N54" s="173">
        <f t="shared" si="22"/>
        <v>12848.43</v>
      </c>
      <c r="O54" s="173">
        <f t="shared" si="22"/>
        <v>16171.380000000001</v>
      </c>
      <c r="P54" s="296">
        <f t="shared" si="22"/>
        <v>18040.100000000002</v>
      </c>
      <c r="Q54" s="293">
        <f t="shared" si="22"/>
        <v>31282.799999999999</v>
      </c>
      <c r="R54" s="173">
        <f t="shared" si="22"/>
        <v>20865.48</v>
      </c>
      <c r="S54" s="173">
        <f t="shared" si="22"/>
        <v>16556.77</v>
      </c>
      <c r="T54" s="173">
        <f t="shared" si="22"/>
        <v>22564.449999999997</v>
      </c>
      <c r="U54" s="296">
        <f t="shared" si="22"/>
        <v>24645.84</v>
      </c>
      <c r="V54" s="293">
        <f t="shared" si="22"/>
        <v>19976.53</v>
      </c>
      <c r="W54" s="173">
        <f t="shared" si="22"/>
        <v>29616.670000000002</v>
      </c>
      <c r="X54" s="296">
        <f t="shared" si="22"/>
        <v>28318.27</v>
      </c>
      <c r="Y54" s="173">
        <f t="shared" si="22"/>
        <v>29429.16</v>
      </c>
      <c r="Z54" s="293">
        <f t="shared" si="22"/>
        <v>18548.73</v>
      </c>
      <c r="AA54" s="173">
        <f t="shared" si="22"/>
        <v>18754.98</v>
      </c>
      <c r="AB54" s="173">
        <f t="shared" si="22"/>
        <v>19004.09</v>
      </c>
      <c r="AC54" s="294">
        <f t="shared" si="22"/>
        <v>16303.14</v>
      </c>
      <c r="AD54" s="293">
        <f t="shared" si="22"/>
        <v>31083.589999999997</v>
      </c>
      <c r="AE54" s="173">
        <f t="shared" si="22"/>
        <v>17304.079999999998</v>
      </c>
      <c r="AF54" s="173">
        <f t="shared" si="22"/>
        <v>18898.599999999999</v>
      </c>
      <c r="AG54" s="173">
        <f t="shared" si="22"/>
        <v>28171.96</v>
      </c>
      <c r="AH54" s="296">
        <f t="shared" si="22"/>
        <v>27557.040000000001</v>
      </c>
      <c r="AI54" s="293">
        <f t="shared" si="22"/>
        <v>21948.260000000002</v>
      </c>
      <c r="AJ54" s="173">
        <f t="shared" si="22"/>
        <v>20590.23</v>
      </c>
      <c r="AK54" s="173">
        <f t="shared" si="22"/>
        <v>21534.010000000002</v>
      </c>
      <c r="AL54" s="296">
        <f t="shared" si="22"/>
        <v>31864.989999999998</v>
      </c>
      <c r="AM54" s="293">
        <f t="shared" si="22"/>
        <v>23708.02</v>
      </c>
      <c r="AN54" s="173">
        <f t="shared" si="22"/>
        <v>19683.57</v>
      </c>
      <c r="AO54" s="173">
        <f t="shared" si="22"/>
        <v>20821.09</v>
      </c>
      <c r="AP54" s="296">
        <f t="shared" si="22"/>
        <v>20829.3</v>
      </c>
      <c r="AQ54" s="293">
        <f t="shared" si="22"/>
        <v>0</v>
      </c>
      <c r="AR54" s="173">
        <f t="shared" si="22"/>
        <v>0</v>
      </c>
      <c r="AS54" s="173">
        <f t="shared" si="22"/>
        <v>0</v>
      </c>
      <c r="AT54" s="173">
        <f t="shared" si="22"/>
        <v>0</v>
      </c>
      <c r="AU54" s="296">
        <f t="shared" si="22"/>
        <v>0</v>
      </c>
      <c r="AV54" s="293">
        <f t="shared" si="22"/>
        <v>0</v>
      </c>
      <c r="AW54" s="173">
        <f t="shared" si="22"/>
        <v>0</v>
      </c>
      <c r="AX54" s="173">
        <f t="shared" si="22"/>
        <v>0</v>
      </c>
      <c r="AY54" s="173">
        <f t="shared" si="22"/>
        <v>0</v>
      </c>
      <c r="AZ54" s="173">
        <f t="shared" si="22"/>
        <v>0</v>
      </c>
      <c r="BA54" s="173">
        <f t="shared" si="22"/>
        <v>0</v>
      </c>
      <c r="BB54" s="173">
        <f t="shared" si="22"/>
        <v>0</v>
      </c>
      <c r="BC54" s="173">
        <f t="shared" si="22"/>
        <v>0</v>
      </c>
    </row>
    <row r="55" spans="2:55" x14ac:dyDescent="0.25">
      <c r="B55" s="291" t="s">
        <v>800</v>
      </c>
      <c r="C55" s="292"/>
      <c r="D55" s="293">
        <f t="shared" ref="D55:BC55" si="23">D11+D12</f>
        <v>2961.69</v>
      </c>
      <c r="E55" s="173">
        <f t="shared" si="23"/>
        <v>182.67</v>
      </c>
      <c r="F55" s="173">
        <f t="shared" si="23"/>
        <v>3722.93</v>
      </c>
      <c r="G55" s="173">
        <f t="shared" si="23"/>
        <v>222.05</v>
      </c>
      <c r="H55" s="294">
        <f t="shared" si="23"/>
        <v>1060.1099999999999</v>
      </c>
      <c r="I55" s="295">
        <f t="shared" si="23"/>
        <v>40.58</v>
      </c>
      <c r="J55" s="173">
        <f t="shared" si="23"/>
        <v>1536.61</v>
      </c>
      <c r="K55" s="173">
        <f t="shared" si="23"/>
        <v>234.87</v>
      </c>
      <c r="L55" s="296">
        <f t="shared" si="23"/>
        <v>0</v>
      </c>
      <c r="M55" s="293">
        <f t="shared" si="23"/>
        <v>25.19</v>
      </c>
      <c r="N55" s="173">
        <f t="shared" si="23"/>
        <v>2444.94</v>
      </c>
      <c r="O55" s="173">
        <f t="shared" si="23"/>
        <v>407.04</v>
      </c>
      <c r="P55" s="296">
        <f t="shared" si="23"/>
        <v>1524.74</v>
      </c>
      <c r="Q55" s="293">
        <f t="shared" si="23"/>
        <v>25.19</v>
      </c>
      <c r="R55" s="173">
        <f t="shared" si="23"/>
        <v>555.04999999999995</v>
      </c>
      <c r="S55" s="173">
        <f t="shared" si="23"/>
        <v>201.16</v>
      </c>
      <c r="T55" s="173">
        <f t="shared" si="23"/>
        <v>2013.36</v>
      </c>
      <c r="U55" s="296">
        <f t="shared" si="23"/>
        <v>25.19</v>
      </c>
      <c r="V55" s="293">
        <f t="shared" si="23"/>
        <v>497.4</v>
      </c>
      <c r="W55" s="173">
        <f t="shared" si="23"/>
        <v>25.19</v>
      </c>
      <c r="X55" s="296">
        <f t="shared" si="23"/>
        <v>1047.8</v>
      </c>
      <c r="Y55" s="173">
        <f t="shared" si="23"/>
        <v>157.29</v>
      </c>
      <c r="Z55" s="293">
        <f t="shared" si="23"/>
        <v>1252.4100000000001</v>
      </c>
      <c r="AA55" s="173">
        <f t="shared" si="23"/>
        <v>1340.71</v>
      </c>
      <c r="AB55" s="173">
        <f t="shared" si="23"/>
        <v>445.46</v>
      </c>
      <c r="AC55" s="294">
        <f t="shared" si="23"/>
        <v>19.690000000000001</v>
      </c>
      <c r="AD55" s="293">
        <f t="shared" si="23"/>
        <v>1654.39</v>
      </c>
      <c r="AE55" s="173">
        <f t="shared" si="23"/>
        <v>193.88</v>
      </c>
      <c r="AF55" s="173">
        <f t="shared" si="23"/>
        <v>0</v>
      </c>
      <c r="AG55" s="173">
        <f t="shared" si="23"/>
        <v>51.18</v>
      </c>
      <c r="AH55" s="296">
        <f t="shared" si="23"/>
        <v>168.69</v>
      </c>
      <c r="AI55" s="293">
        <f t="shared" si="23"/>
        <v>25.99</v>
      </c>
      <c r="AJ55" s="173">
        <f t="shared" si="23"/>
        <v>0</v>
      </c>
      <c r="AK55" s="173">
        <f t="shared" si="23"/>
        <v>0</v>
      </c>
      <c r="AL55" s="296">
        <f t="shared" si="23"/>
        <v>0</v>
      </c>
      <c r="AM55" s="293">
        <f t="shared" si="23"/>
        <v>188.38</v>
      </c>
      <c r="AN55" s="173">
        <f t="shared" si="23"/>
        <v>0</v>
      </c>
      <c r="AO55" s="173">
        <f t="shared" si="23"/>
        <v>0</v>
      </c>
      <c r="AP55" s="296">
        <f t="shared" si="23"/>
        <v>25.99</v>
      </c>
      <c r="AQ55" s="293">
        <f t="shared" si="23"/>
        <v>0</v>
      </c>
      <c r="AR55" s="173">
        <f t="shared" si="23"/>
        <v>0</v>
      </c>
      <c r="AS55" s="173">
        <f t="shared" si="23"/>
        <v>0</v>
      </c>
      <c r="AT55" s="173">
        <f t="shared" si="23"/>
        <v>0</v>
      </c>
      <c r="AU55" s="296">
        <f t="shared" si="23"/>
        <v>0</v>
      </c>
      <c r="AV55" s="293">
        <f t="shared" si="23"/>
        <v>0</v>
      </c>
      <c r="AW55" s="173">
        <f t="shared" si="23"/>
        <v>0</v>
      </c>
      <c r="AX55" s="173">
        <f t="shared" si="23"/>
        <v>0</v>
      </c>
      <c r="AY55" s="173">
        <f t="shared" si="23"/>
        <v>0</v>
      </c>
      <c r="AZ55" s="173">
        <f t="shared" si="23"/>
        <v>0</v>
      </c>
      <c r="BA55" s="173">
        <f t="shared" si="23"/>
        <v>0</v>
      </c>
      <c r="BB55" s="173">
        <f t="shared" si="23"/>
        <v>0</v>
      </c>
      <c r="BC55" s="173">
        <f t="shared" si="23"/>
        <v>0</v>
      </c>
    </row>
    <row r="56" spans="2:55" x14ac:dyDescent="0.25">
      <c r="B56" s="291" t="s">
        <v>847</v>
      </c>
      <c r="C56" s="292"/>
      <c r="D56" s="293">
        <f t="shared" ref="D56:BC56" si="24">D21</f>
        <v>130</v>
      </c>
      <c r="E56" s="173">
        <f t="shared" si="24"/>
        <v>465</v>
      </c>
      <c r="F56" s="173">
        <f t="shared" si="24"/>
        <v>761.85</v>
      </c>
      <c r="G56" s="173">
        <f t="shared" si="24"/>
        <v>32.950000000000003</v>
      </c>
      <c r="H56" s="294">
        <f t="shared" si="24"/>
        <v>500</v>
      </c>
      <c r="I56" s="295">
        <f t="shared" si="24"/>
        <v>400</v>
      </c>
      <c r="J56" s="173">
        <f t="shared" si="24"/>
        <v>1835</v>
      </c>
      <c r="K56" s="173">
        <f t="shared" si="24"/>
        <v>3812</v>
      </c>
      <c r="L56" s="296">
        <f t="shared" si="24"/>
        <v>920.95</v>
      </c>
      <c r="M56" s="293">
        <f t="shared" si="24"/>
        <v>3727.19</v>
      </c>
      <c r="N56" s="173">
        <f t="shared" si="24"/>
        <v>492.95</v>
      </c>
      <c r="O56" s="173">
        <f t="shared" si="24"/>
        <v>50</v>
      </c>
      <c r="P56" s="296">
        <f t="shared" si="24"/>
        <v>205.95</v>
      </c>
      <c r="Q56" s="293">
        <f t="shared" si="24"/>
        <v>225</v>
      </c>
      <c r="R56" s="173">
        <f t="shared" si="24"/>
        <v>1200</v>
      </c>
      <c r="S56" s="173">
        <f t="shared" si="24"/>
        <v>335.95</v>
      </c>
      <c r="T56" s="173">
        <f t="shared" si="24"/>
        <v>610</v>
      </c>
      <c r="U56" s="296">
        <f t="shared" si="24"/>
        <v>825</v>
      </c>
      <c r="V56" s="293">
        <f t="shared" si="24"/>
        <v>613.85</v>
      </c>
      <c r="W56" s="173">
        <f t="shared" si="24"/>
        <v>405.95</v>
      </c>
      <c r="X56" s="296">
        <f t="shared" si="24"/>
        <v>625</v>
      </c>
      <c r="Y56" s="173">
        <f t="shared" si="24"/>
        <v>713.92</v>
      </c>
      <c r="Z56" s="293">
        <f t="shared" si="24"/>
        <v>25</v>
      </c>
      <c r="AA56" s="173">
        <f t="shared" si="24"/>
        <v>395.6</v>
      </c>
      <c r="AB56" s="173">
        <f t="shared" si="24"/>
        <v>985</v>
      </c>
      <c r="AC56" s="294">
        <f t="shared" si="24"/>
        <v>650</v>
      </c>
      <c r="AD56" s="293">
        <f t="shared" si="24"/>
        <v>589.95000000000005</v>
      </c>
      <c r="AE56" s="173">
        <f t="shared" si="24"/>
        <v>325</v>
      </c>
      <c r="AF56" s="173">
        <f t="shared" si="24"/>
        <v>979.95</v>
      </c>
      <c r="AG56" s="173">
        <f t="shared" si="24"/>
        <v>125</v>
      </c>
      <c r="AH56" s="296">
        <f t="shared" si="24"/>
        <v>295</v>
      </c>
      <c r="AI56" s="293">
        <f t="shared" si="24"/>
        <v>250</v>
      </c>
      <c r="AJ56" s="173">
        <f t="shared" si="24"/>
        <v>1406.96</v>
      </c>
      <c r="AK56" s="173">
        <f t="shared" si="24"/>
        <v>492.85</v>
      </c>
      <c r="AL56" s="296">
        <f t="shared" si="24"/>
        <v>566.95000000000005</v>
      </c>
      <c r="AM56" s="293">
        <f t="shared" si="24"/>
        <v>638.91999999999996</v>
      </c>
      <c r="AN56" s="173">
        <f t="shared" si="24"/>
        <v>456.96</v>
      </c>
      <c r="AO56" s="173">
        <f t="shared" si="24"/>
        <v>535.9</v>
      </c>
      <c r="AP56" s="296">
        <f t="shared" si="24"/>
        <v>250</v>
      </c>
      <c r="AQ56" s="293">
        <f t="shared" si="24"/>
        <v>0</v>
      </c>
      <c r="AR56" s="173">
        <f t="shared" si="24"/>
        <v>0</v>
      </c>
      <c r="AS56" s="173">
        <f t="shared" si="24"/>
        <v>0</v>
      </c>
      <c r="AT56" s="173">
        <f t="shared" si="24"/>
        <v>0</v>
      </c>
      <c r="AU56" s="296">
        <f t="shared" si="24"/>
        <v>0</v>
      </c>
      <c r="AV56" s="293">
        <f t="shared" si="24"/>
        <v>0</v>
      </c>
      <c r="AW56" s="173">
        <f t="shared" si="24"/>
        <v>0</v>
      </c>
      <c r="AX56" s="173">
        <f t="shared" si="24"/>
        <v>0</v>
      </c>
      <c r="AY56" s="173">
        <f t="shared" si="24"/>
        <v>0</v>
      </c>
      <c r="AZ56" s="173">
        <f t="shared" si="24"/>
        <v>0</v>
      </c>
      <c r="BA56" s="173">
        <f t="shared" si="24"/>
        <v>0</v>
      </c>
      <c r="BB56" s="173">
        <f t="shared" si="24"/>
        <v>0</v>
      </c>
      <c r="BC56" s="173">
        <f t="shared" si="24"/>
        <v>0</v>
      </c>
    </row>
    <row r="57" spans="2:55" x14ac:dyDescent="0.25">
      <c r="B57" s="291" t="s">
        <v>848</v>
      </c>
      <c r="C57" s="292"/>
      <c r="D57" s="293">
        <f>+D47+D51+D54+D55</f>
        <v>243651.79</v>
      </c>
      <c r="E57" s="173">
        <f t="shared" ref="E57:BC57" si="25">+E47+E51+E54+E55</f>
        <v>252488.46000000002</v>
      </c>
      <c r="F57" s="173">
        <f t="shared" si="25"/>
        <v>255696.34999999998</v>
      </c>
      <c r="G57" s="173">
        <f t="shared" si="25"/>
        <v>213366.32999999996</v>
      </c>
      <c r="H57" s="294">
        <f t="shared" si="25"/>
        <v>260139.18</v>
      </c>
      <c r="I57" s="295">
        <f t="shared" si="25"/>
        <v>250820.12999999998</v>
      </c>
      <c r="J57" s="173">
        <f t="shared" si="25"/>
        <v>249212.21</v>
      </c>
      <c r="K57" s="173">
        <f t="shared" si="25"/>
        <v>261423.19999999998</v>
      </c>
      <c r="L57" s="296">
        <f t="shared" si="25"/>
        <v>256462.05</v>
      </c>
      <c r="M57" s="293">
        <f t="shared" si="25"/>
        <v>156454.69999999998</v>
      </c>
      <c r="N57" s="173">
        <f t="shared" si="25"/>
        <v>162695.23000000001</v>
      </c>
      <c r="O57" s="173">
        <f t="shared" si="25"/>
        <v>211213.07</v>
      </c>
      <c r="P57" s="296">
        <f t="shared" si="25"/>
        <v>239590.46</v>
      </c>
      <c r="Q57" s="293">
        <f t="shared" si="25"/>
        <v>229866.64</v>
      </c>
      <c r="R57" s="173">
        <f t="shared" si="25"/>
        <v>227147.83</v>
      </c>
      <c r="S57" s="173">
        <f t="shared" si="25"/>
        <v>201867.1</v>
      </c>
      <c r="T57" s="173">
        <f t="shared" si="25"/>
        <v>219682.91000000003</v>
      </c>
      <c r="U57" s="296">
        <f t="shared" si="25"/>
        <v>336259.42000000004</v>
      </c>
      <c r="V57" s="293">
        <f t="shared" si="25"/>
        <v>220080.43</v>
      </c>
      <c r="W57" s="173">
        <f t="shared" si="25"/>
        <v>258311.29</v>
      </c>
      <c r="X57" s="296">
        <f t="shared" si="25"/>
        <v>217537.91</v>
      </c>
      <c r="Y57" s="173">
        <f t="shared" si="25"/>
        <v>221715.94000000003</v>
      </c>
      <c r="Z57" s="293">
        <f t="shared" si="25"/>
        <v>213308.06000000006</v>
      </c>
      <c r="AA57" s="173">
        <f t="shared" si="25"/>
        <v>203589.65999999997</v>
      </c>
      <c r="AB57" s="173">
        <f t="shared" si="25"/>
        <v>288666.49</v>
      </c>
      <c r="AC57" s="294">
        <f t="shared" si="25"/>
        <v>215254.21999999997</v>
      </c>
      <c r="AD57" s="293">
        <f t="shared" si="25"/>
        <v>237604.19999999998</v>
      </c>
      <c r="AE57" s="173">
        <f t="shared" si="25"/>
        <v>223155.22</v>
      </c>
      <c r="AF57" s="173">
        <f t="shared" si="25"/>
        <v>229475.15999999997</v>
      </c>
      <c r="AG57" s="173">
        <f t="shared" si="25"/>
        <v>236051.00000000003</v>
      </c>
      <c r="AH57" s="296">
        <f t="shared" si="25"/>
        <v>223686.27000000002</v>
      </c>
      <c r="AI57" s="293">
        <f t="shared" si="25"/>
        <v>232323.97</v>
      </c>
      <c r="AJ57" s="173">
        <f t="shared" si="25"/>
        <v>234395.14000000004</v>
      </c>
      <c r="AK57" s="173">
        <f t="shared" si="25"/>
        <v>291447.86</v>
      </c>
      <c r="AL57" s="296">
        <f t="shared" si="25"/>
        <v>303496.00999999995</v>
      </c>
      <c r="AM57" s="293">
        <f t="shared" si="25"/>
        <v>243717.49</v>
      </c>
      <c r="AN57" s="173">
        <f t="shared" si="25"/>
        <v>232847.34000000003</v>
      </c>
      <c r="AO57" s="173">
        <f t="shared" si="25"/>
        <v>218689.41999999998</v>
      </c>
      <c r="AP57" s="296">
        <f t="shared" si="25"/>
        <v>249204.96000000002</v>
      </c>
      <c r="AQ57" s="293">
        <f t="shared" si="25"/>
        <v>0</v>
      </c>
      <c r="AR57" s="173">
        <f t="shared" si="25"/>
        <v>0</v>
      </c>
      <c r="AS57" s="173">
        <f t="shared" si="25"/>
        <v>0</v>
      </c>
      <c r="AT57" s="173">
        <f t="shared" si="25"/>
        <v>0</v>
      </c>
      <c r="AU57" s="296">
        <f t="shared" si="25"/>
        <v>0</v>
      </c>
      <c r="AV57" s="293">
        <f t="shared" si="25"/>
        <v>0</v>
      </c>
      <c r="AW57" s="173">
        <f t="shared" si="25"/>
        <v>0</v>
      </c>
      <c r="AX57" s="173">
        <f t="shared" si="25"/>
        <v>0</v>
      </c>
      <c r="AY57" s="173">
        <f t="shared" si="25"/>
        <v>0</v>
      </c>
      <c r="AZ57" s="173">
        <f t="shared" si="25"/>
        <v>0</v>
      </c>
      <c r="BA57" s="173">
        <f t="shared" si="25"/>
        <v>0</v>
      </c>
      <c r="BB57" s="173">
        <f t="shared" si="25"/>
        <v>0</v>
      </c>
      <c r="BC57" s="173">
        <f t="shared" si="25"/>
        <v>0</v>
      </c>
    </row>
    <row r="58" spans="2:55" x14ac:dyDescent="0.25">
      <c r="D58" s="281"/>
      <c r="H58" s="282"/>
      <c r="M58" s="281"/>
      <c r="Q58" s="281"/>
      <c r="V58" s="281"/>
      <c r="Z58" s="281"/>
      <c r="AC58" s="282"/>
      <c r="AD58" s="281"/>
      <c r="AI58" s="281"/>
      <c r="AM58" s="281"/>
      <c r="AQ58" s="281"/>
      <c r="AV58" s="281"/>
    </row>
    <row r="59" spans="2:55" x14ac:dyDescent="0.25">
      <c r="D59" s="281"/>
      <c r="F59" s="297"/>
      <c r="H59" s="282"/>
      <c r="I59" s="281"/>
      <c r="M59" s="281"/>
      <c r="Q59" s="281"/>
      <c r="V59" s="281"/>
      <c r="Z59" s="281"/>
      <c r="AC59" s="282"/>
      <c r="AD59" s="281"/>
      <c r="AI59" s="281"/>
      <c r="AM59" s="281"/>
      <c r="AQ59" s="281"/>
      <c r="AV59" s="281"/>
    </row>
    <row r="60" spans="2:55" x14ac:dyDescent="0.25">
      <c r="D60" s="298">
        <f t="shared" ref="D60:BC60" si="26">D1-364</f>
        <v>45591</v>
      </c>
      <c r="E60" s="299">
        <f t="shared" si="26"/>
        <v>45598</v>
      </c>
      <c r="F60" s="299">
        <f t="shared" si="26"/>
        <v>45605</v>
      </c>
      <c r="G60" s="299">
        <f t="shared" si="26"/>
        <v>45612</v>
      </c>
      <c r="H60" s="300">
        <f t="shared" si="26"/>
        <v>45619</v>
      </c>
      <c r="I60" s="298">
        <f t="shared" si="26"/>
        <v>45626</v>
      </c>
      <c r="J60" s="299">
        <f t="shared" si="26"/>
        <v>45633</v>
      </c>
      <c r="K60" s="299">
        <f t="shared" si="26"/>
        <v>45640</v>
      </c>
      <c r="L60" s="299">
        <f t="shared" si="26"/>
        <v>45647</v>
      </c>
      <c r="M60" s="298">
        <f t="shared" si="26"/>
        <v>45654</v>
      </c>
      <c r="N60" s="299">
        <f t="shared" si="26"/>
        <v>45661</v>
      </c>
      <c r="O60" s="299">
        <f t="shared" si="26"/>
        <v>45668</v>
      </c>
      <c r="P60" s="299">
        <f t="shared" si="26"/>
        <v>45675</v>
      </c>
      <c r="Q60" s="298">
        <f t="shared" si="26"/>
        <v>45682</v>
      </c>
      <c r="R60" s="299">
        <f t="shared" si="26"/>
        <v>45689</v>
      </c>
      <c r="S60" s="299">
        <f t="shared" si="26"/>
        <v>45696</v>
      </c>
      <c r="T60" s="299">
        <f t="shared" si="26"/>
        <v>45703</v>
      </c>
      <c r="U60" s="299">
        <f t="shared" si="26"/>
        <v>45710</v>
      </c>
      <c r="V60" s="298">
        <f t="shared" si="26"/>
        <v>45717</v>
      </c>
      <c r="W60" s="299">
        <f t="shared" si="26"/>
        <v>45724</v>
      </c>
      <c r="X60" s="299">
        <f t="shared" si="26"/>
        <v>45731</v>
      </c>
      <c r="Y60" s="299">
        <f t="shared" si="26"/>
        <v>45738</v>
      </c>
      <c r="Z60" s="298">
        <f t="shared" si="26"/>
        <v>45745</v>
      </c>
      <c r="AA60" s="299">
        <f t="shared" si="26"/>
        <v>45752</v>
      </c>
      <c r="AB60" s="299">
        <f t="shared" si="26"/>
        <v>45759</v>
      </c>
      <c r="AC60" s="300">
        <f t="shared" si="26"/>
        <v>45766</v>
      </c>
      <c r="AD60" s="298">
        <f t="shared" si="26"/>
        <v>45773</v>
      </c>
      <c r="AE60" s="301">
        <f t="shared" si="26"/>
        <v>45780</v>
      </c>
      <c r="AF60" s="301">
        <f t="shared" si="26"/>
        <v>45787</v>
      </c>
      <c r="AG60" s="301">
        <f t="shared" si="26"/>
        <v>45794</v>
      </c>
      <c r="AH60" s="301">
        <f t="shared" si="26"/>
        <v>45801</v>
      </c>
      <c r="AI60" s="298">
        <f t="shared" si="26"/>
        <v>45808</v>
      </c>
      <c r="AJ60" s="301">
        <f t="shared" si="26"/>
        <v>45815</v>
      </c>
      <c r="AK60" s="301">
        <f t="shared" si="26"/>
        <v>45822</v>
      </c>
      <c r="AL60" s="301">
        <f t="shared" si="26"/>
        <v>45829</v>
      </c>
      <c r="AM60" s="298">
        <f t="shared" si="26"/>
        <v>45836</v>
      </c>
      <c r="AN60" s="301">
        <f t="shared" si="26"/>
        <v>45843</v>
      </c>
      <c r="AO60" s="301">
        <f t="shared" si="26"/>
        <v>45850</v>
      </c>
      <c r="AP60" s="301">
        <f t="shared" si="26"/>
        <v>45857</v>
      </c>
      <c r="AQ60" s="298">
        <f t="shared" si="26"/>
        <v>45864</v>
      </c>
      <c r="AR60" s="299">
        <f t="shared" si="26"/>
        <v>45871</v>
      </c>
      <c r="AS60" s="299">
        <f t="shared" si="26"/>
        <v>45878</v>
      </c>
      <c r="AT60" s="299">
        <f t="shared" si="26"/>
        <v>45885</v>
      </c>
      <c r="AU60" s="299">
        <f t="shared" si="26"/>
        <v>45892</v>
      </c>
      <c r="AV60" s="298">
        <f t="shared" si="26"/>
        <v>45899</v>
      </c>
      <c r="AW60" s="301">
        <f t="shared" si="26"/>
        <v>45906</v>
      </c>
      <c r="AX60" s="301">
        <f t="shared" si="26"/>
        <v>45913</v>
      </c>
      <c r="AY60" s="301">
        <f t="shared" si="26"/>
        <v>45920</v>
      </c>
      <c r="AZ60" s="301">
        <f t="shared" si="26"/>
        <v>45927</v>
      </c>
      <c r="BA60" s="301">
        <f t="shared" si="26"/>
        <v>45934</v>
      </c>
      <c r="BB60" s="301">
        <f t="shared" si="26"/>
        <v>45941</v>
      </c>
      <c r="BC60" s="301">
        <f t="shared" si="26"/>
        <v>45948</v>
      </c>
    </row>
    <row r="61" spans="2:55" x14ac:dyDescent="0.25">
      <c r="B61" t="s">
        <v>775</v>
      </c>
      <c r="C61" s="79" t="s">
        <v>774</v>
      </c>
      <c r="D61" s="279">
        <v>56684.46</v>
      </c>
      <c r="E61" s="147">
        <v>59286.31</v>
      </c>
      <c r="F61" s="147">
        <v>56379.91</v>
      </c>
      <c r="G61" s="147">
        <v>49683.78</v>
      </c>
      <c r="H61" s="280">
        <v>58258.9</v>
      </c>
      <c r="I61" s="279">
        <v>52679.57</v>
      </c>
      <c r="J61" s="147">
        <v>66619.98</v>
      </c>
      <c r="K61" s="147">
        <v>62966.41</v>
      </c>
      <c r="L61" s="147">
        <v>60744.69</v>
      </c>
      <c r="M61" s="279">
        <v>47329.19</v>
      </c>
      <c r="N61" s="147">
        <v>40939.43</v>
      </c>
      <c r="O61" s="147">
        <v>83396.11</v>
      </c>
      <c r="P61" s="147">
        <v>49893.38</v>
      </c>
      <c r="Q61" s="279">
        <v>60432.37</v>
      </c>
      <c r="R61" s="147">
        <v>56333.1</v>
      </c>
      <c r="S61" s="147">
        <v>54632.51</v>
      </c>
      <c r="T61" s="147">
        <v>50353.83</v>
      </c>
      <c r="U61" s="147">
        <v>55502.37</v>
      </c>
      <c r="V61" s="279">
        <v>55302.79</v>
      </c>
      <c r="W61" s="147">
        <v>57734.25</v>
      </c>
      <c r="X61" s="147">
        <v>53372.73</v>
      </c>
      <c r="Y61" s="147">
        <v>61905.07</v>
      </c>
      <c r="Z61" s="279">
        <v>57080.11</v>
      </c>
      <c r="AA61" s="147">
        <v>56966.67</v>
      </c>
      <c r="AB61" s="147">
        <v>63593.73</v>
      </c>
      <c r="AC61" s="280">
        <v>60125.3</v>
      </c>
      <c r="AD61" s="279">
        <v>53126.51</v>
      </c>
      <c r="AE61" s="142">
        <v>64581.91</v>
      </c>
      <c r="AF61" s="142">
        <v>64039.46</v>
      </c>
      <c r="AG61" s="142">
        <v>64427.79</v>
      </c>
      <c r="AH61" s="142">
        <v>55506.22</v>
      </c>
      <c r="AI61" s="279">
        <v>66373.759999999995</v>
      </c>
      <c r="AJ61" s="142">
        <v>88051.85</v>
      </c>
      <c r="AK61" s="142">
        <v>65443.27</v>
      </c>
      <c r="AL61" s="142">
        <v>105095.63</v>
      </c>
      <c r="AM61" s="279">
        <v>78285.289999999994</v>
      </c>
      <c r="AN61" s="142">
        <v>73746.350000000006</v>
      </c>
      <c r="AO61" s="142">
        <v>71383.039999999994</v>
      </c>
      <c r="AP61" s="142">
        <v>65131.23</v>
      </c>
      <c r="AQ61" s="279">
        <v>62686.26</v>
      </c>
      <c r="AR61" s="147">
        <v>68570.92</v>
      </c>
      <c r="AS61" s="147">
        <v>62638.879999999997</v>
      </c>
      <c r="AT61" s="147">
        <v>62394.66</v>
      </c>
      <c r="AU61" s="147">
        <v>69753.929999999993</v>
      </c>
      <c r="AV61" s="279">
        <v>64658.44</v>
      </c>
      <c r="AW61" s="142">
        <v>57324.08</v>
      </c>
      <c r="AX61" s="142">
        <v>69395.45</v>
      </c>
      <c r="AY61" s="142">
        <v>59177.4</v>
      </c>
      <c r="AZ61" s="142">
        <v>68068.63</v>
      </c>
      <c r="BA61" s="142">
        <v>67365.66</v>
      </c>
      <c r="BB61" s="142">
        <v>60212.9</v>
      </c>
      <c r="BC61" s="142">
        <v>89770.85</v>
      </c>
    </row>
    <row r="62" spans="2:55" x14ac:dyDescent="0.25">
      <c r="B62" t="s">
        <v>779</v>
      </c>
      <c r="C62" s="79" t="s">
        <v>778</v>
      </c>
      <c r="D62" s="279">
        <v>9842.31</v>
      </c>
      <c r="E62" s="147">
        <v>10582.35</v>
      </c>
      <c r="F62" s="147">
        <v>9284.5300000000007</v>
      </c>
      <c r="G62" s="147">
        <v>8328.31</v>
      </c>
      <c r="H62" s="280">
        <v>10308.620000000001</v>
      </c>
      <c r="I62" s="279">
        <v>17972.25</v>
      </c>
      <c r="J62" s="147">
        <v>10814.09</v>
      </c>
      <c r="K62" s="147">
        <v>9521.06</v>
      </c>
      <c r="L62" s="147">
        <v>9472.92</v>
      </c>
      <c r="M62" s="279">
        <v>5768.79</v>
      </c>
      <c r="N62" s="147">
        <v>6357.5</v>
      </c>
      <c r="O62" s="147">
        <v>9349.09</v>
      </c>
      <c r="P62" s="147">
        <v>9419.4699999999993</v>
      </c>
      <c r="Q62" s="279">
        <v>14383.24</v>
      </c>
      <c r="R62" s="147">
        <v>10229.98</v>
      </c>
      <c r="S62" s="147">
        <v>7524.08</v>
      </c>
      <c r="T62" s="147">
        <v>9798.92</v>
      </c>
      <c r="U62" s="147">
        <v>8333.08</v>
      </c>
      <c r="V62" s="279">
        <v>10628.92</v>
      </c>
      <c r="W62" s="147">
        <v>9326.39</v>
      </c>
      <c r="X62" s="147">
        <v>8465.4599999999991</v>
      </c>
      <c r="Y62" s="147">
        <v>11599.56</v>
      </c>
      <c r="Z62" s="279">
        <v>9183.35</v>
      </c>
      <c r="AA62" s="147">
        <v>11075.85</v>
      </c>
      <c r="AB62" s="147">
        <v>9172.07</v>
      </c>
      <c r="AC62" s="280">
        <v>11258.9</v>
      </c>
      <c r="AD62" s="279">
        <v>10997.09</v>
      </c>
      <c r="AE62" s="142">
        <v>10362.67</v>
      </c>
      <c r="AF62" s="142">
        <v>9196.27</v>
      </c>
      <c r="AG62" s="142">
        <v>17425.39</v>
      </c>
      <c r="AH62" s="142">
        <v>10046.44</v>
      </c>
      <c r="AI62" s="279">
        <v>12172.05</v>
      </c>
      <c r="AJ62" s="142">
        <v>9656.93</v>
      </c>
      <c r="AK62" s="142">
        <v>11278.36</v>
      </c>
      <c r="AL62" s="142">
        <v>10985.43</v>
      </c>
      <c r="AM62" s="279">
        <v>11338.07</v>
      </c>
      <c r="AN62" s="142">
        <v>10164.94</v>
      </c>
      <c r="AO62" s="142">
        <v>9509.65</v>
      </c>
      <c r="AP62" s="142">
        <v>9199.93</v>
      </c>
      <c r="AQ62" s="279">
        <v>9674.17</v>
      </c>
      <c r="AR62" s="147">
        <v>11868.95</v>
      </c>
      <c r="AS62" s="147">
        <v>10584.11</v>
      </c>
      <c r="AT62" s="147">
        <v>9985.11</v>
      </c>
      <c r="AU62" s="147">
        <v>11063.73</v>
      </c>
      <c r="AV62" s="279">
        <v>11711.75</v>
      </c>
      <c r="AW62" s="142">
        <v>10582.84</v>
      </c>
      <c r="AX62" s="142">
        <v>11355.32</v>
      </c>
      <c r="AY62" s="142">
        <v>9437.0300000000007</v>
      </c>
      <c r="AZ62" s="142">
        <v>8753.42</v>
      </c>
      <c r="BA62" s="142">
        <v>8622.93</v>
      </c>
      <c r="BB62" s="142">
        <v>9323.5400000000009</v>
      </c>
      <c r="BC62" s="142">
        <v>11051.81</v>
      </c>
    </row>
    <row r="63" spans="2:55" x14ac:dyDescent="0.25">
      <c r="B63" t="s">
        <v>782</v>
      </c>
      <c r="C63" s="79" t="s">
        <v>781</v>
      </c>
      <c r="D63" s="279">
        <v>2456.2199999999998</v>
      </c>
      <c r="E63" s="147">
        <v>1722.17</v>
      </c>
      <c r="F63" s="147">
        <v>2133.15</v>
      </c>
      <c r="G63" s="147">
        <v>2446.92</v>
      </c>
      <c r="H63" s="280">
        <v>1909.75</v>
      </c>
      <c r="I63" s="279">
        <v>2186.2399999999998</v>
      </c>
      <c r="J63" s="147">
        <v>3255.91</v>
      </c>
      <c r="K63" s="147">
        <v>2593.62</v>
      </c>
      <c r="L63" s="147">
        <v>2515.83</v>
      </c>
      <c r="M63" s="279">
        <v>1483.75</v>
      </c>
      <c r="N63" s="147">
        <v>1458.99</v>
      </c>
      <c r="O63" s="147">
        <v>2227.88</v>
      </c>
      <c r="P63" s="147">
        <v>2440.8000000000002</v>
      </c>
      <c r="Q63" s="279">
        <v>1582.24</v>
      </c>
      <c r="R63" s="147">
        <v>6207.2</v>
      </c>
      <c r="S63" s="147">
        <v>2434.67</v>
      </c>
      <c r="T63" s="147">
        <v>2240.38</v>
      </c>
      <c r="U63" s="147">
        <v>1607.8</v>
      </c>
      <c r="V63" s="279">
        <v>2289.3000000000002</v>
      </c>
      <c r="W63" s="147">
        <v>2208.64</v>
      </c>
      <c r="X63" s="147">
        <v>2004.15</v>
      </c>
      <c r="Y63" s="147">
        <v>3366.91</v>
      </c>
      <c r="Z63" s="279">
        <v>1778.86</v>
      </c>
      <c r="AA63" s="147">
        <v>2097.11</v>
      </c>
      <c r="AB63" s="147">
        <v>2474.67</v>
      </c>
      <c r="AC63" s="280">
        <v>1943.59</v>
      </c>
      <c r="AD63" s="279">
        <v>1704.77</v>
      </c>
      <c r="AE63" s="142">
        <v>2127.4</v>
      </c>
      <c r="AF63" s="142">
        <v>2410.25</v>
      </c>
      <c r="AG63" s="142">
        <v>4582.62</v>
      </c>
      <c r="AH63" s="142">
        <v>2462.79</v>
      </c>
      <c r="AI63" s="279">
        <v>2162.3200000000002</v>
      </c>
      <c r="AJ63" s="142">
        <v>2254.59</v>
      </c>
      <c r="AK63" s="142">
        <v>2935.06</v>
      </c>
      <c r="AL63" s="142">
        <v>2898.1</v>
      </c>
      <c r="AM63" s="279">
        <v>3567.97</v>
      </c>
      <c r="AN63" s="142">
        <v>1817.31</v>
      </c>
      <c r="AO63" s="142">
        <v>1935.19</v>
      </c>
      <c r="AP63" s="142">
        <v>4250.09</v>
      </c>
      <c r="AQ63" s="279">
        <v>1648.97</v>
      </c>
      <c r="AR63" s="147">
        <v>2059.92</v>
      </c>
      <c r="AS63" s="147">
        <v>1930.5</v>
      </c>
      <c r="AT63" s="147">
        <v>5636.31</v>
      </c>
      <c r="AU63" s="147">
        <v>3107.72</v>
      </c>
      <c r="AV63" s="279">
        <v>2488.2199999999998</v>
      </c>
      <c r="AW63" s="142">
        <v>2320.62</v>
      </c>
      <c r="AX63" s="142">
        <v>2318.38</v>
      </c>
      <c r="AY63" s="142">
        <v>1898.9</v>
      </c>
      <c r="AZ63" s="142">
        <v>1929.14</v>
      </c>
      <c r="BA63" s="142">
        <v>1803.25</v>
      </c>
      <c r="BB63" s="142">
        <v>1873.03</v>
      </c>
      <c r="BC63" s="142">
        <v>1754.91</v>
      </c>
    </row>
    <row r="64" spans="2:55" x14ac:dyDescent="0.25">
      <c r="B64" t="s">
        <v>785</v>
      </c>
      <c r="C64" s="79" t="s">
        <v>784</v>
      </c>
      <c r="D64" s="279">
        <v>13484.92</v>
      </c>
      <c r="E64" s="147">
        <v>14435.57</v>
      </c>
      <c r="F64" s="147">
        <v>14142.3</v>
      </c>
      <c r="G64" s="147">
        <v>13156.6</v>
      </c>
      <c r="H64" s="280">
        <v>13632.89</v>
      </c>
      <c r="I64" s="279">
        <v>13724.81</v>
      </c>
      <c r="J64" s="147">
        <v>17165.38</v>
      </c>
      <c r="K64" s="147">
        <v>13676.37</v>
      </c>
      <c r="L64" s="147">
        <v>13391.62</v>
      </c>
      <c r="M64" s="279">
        <v>10735.99</v>
      </c>
      <c r="N64" s="147">
        <v>11186.92</v>
      </c>
      <c r="O64" s="147">
        <v>13931</v>
      </c>
      <c r="P64" s="147">
        <v>14677</v>
      </c>
      <c r="Q64" s="279">
        <v>12933</v>
      </c>
      <c r="R64" s="147">
        <v>13369.71</v>
      </c>
      <c r="S64" s="147">
        <v>14223.28</v>
      </c>
      <c r="T64" s="147">
        <v>14952.97</v>
      </c>
      <c r="U64" s="147">
        <v>13044.47</v>
      </c>
      <c r="V64" s="279">
        <v>14917.06</v>
      </c>
      <c r="W64" s="147">
        <v>15922.73</v>
      </c>
      <c r="X64" s="147">
        <v>13541.24</v>
      </c>
      <c r="Y64" s="147">
        <v>12705.56</v>
      </c>
      <c r="Z64" s="279">
        <v>12116.78</v>
      </c>
      <c r="AA64" s="147">
        <v>16092.4</v>
      </c>
      <c r="AB64" s="147">
        <v>14304.44</v>
      </c>
      <c r="AC64" s="280">
        <v>15817.64</v>
      </c>
      <c r="AD64" s="279">
        <v>12838</v>
      </c>
      <c r="AE64" s="142">
        <v>14666.12</v>
      </c>
      <c r="AF64" s="142">
        <v>16079.12</v>
      </c>
      <c r="AG64" s="142">
        <v>15204.28</v>
      </c>
      <c r="AH64" s="142">
        <v>14691.65</v>
      </c>
      <c r="AI64" s="279">
        <v>14084.56</v>
      </c>
      <c r="AJ64" s="142">
        <v>15982.75</v>
      </c>
      <c r="AK64" s="142">
        <v>16726.939999999999</v>
      </c>
      <c r="AL64" s="142">
        <v>15078.42</v>
      </c>
      <c r="AM64" s="279">
        <v>14946.58</v>
      </c>
      <c r="AN64" s="142">
        <v>13902.69</v>
      </c>
      <c r="AO64" s="142">
        <v>14500.37</v>
      </c>
      <c r="AP64" s="142">
        <v>12664.93</v>
      </c>
      <c r="AQ64" s="279">
        <v>13959.39</v>
      </c>
      <c r="AR64" s="147">
        <v>13277.08</v>
      </c>
      <c r="AS64" s="147">
        <v>12796.4</v>
      </c>
      <c r="AT64" s="147">
        <v>14288.52</v>
      </c>
      <c r="AU64" s="147">
        <v>16466.310000000001</v>
      </c>
      <c r="AV64" s="279">
        <v>14178.13</v>
      </c>
      <c r="AW64" s="142">
        <v>13512.24</v>
      </c>
      <c r="AX64" s="142">
        <v>16487.16</v>
      </c>
      <c r="AY64" s="142">
        <v>15260.64</v>
      </c>
      <c r="AZ64" s="142">
        <v>15497.86</v>
      </c>
      <c r="BA64" s="142">
        <v>14738.2</v>
      </c>
      <c r="BB64" s="142">
        <v>16555.73</v>
      </c>
      <c r="BC64" s="142">
        <v>24051.14</v>
      </c>
    </row>
    <row r="65" spans="2:55" x14ac:dyDescent="0.25">
      <c r="B65" t="s">
        <v>787</v>
      </c>
      <c r="C65" s="79" t="s">
        <v>786</v>
      </c>
      <c r="D65" s="279">
        <v>25681.41</v>
      </c>
      <c r="E65" s="147">
        <v>26381.79</v>
      </c>
      <c r="F65" s="147">
        <v>27555.360000000001</v>
      </c>
      <c r="G65" s="147">
        <v>20824.759999999998</v>
      </c>
      <c r="H65" s="280">
        <v>34621.519999999997</v>
      </c>
      <c r="I65" s="279">
        <v>27825.77</v>
      </c>
      <c r="J65" s="147">
        <v>26492.93</v>
      </c>
      <c r="K65" s="147">
        <v>26294.51</v>
      </c>
      <c r="L65" s="147">
        <v>43632.49</v>
      </c>
      <c r="M65" s="279">
        <v>22227.66</v>
      </c>
      <c r="N65" s="147">
        <v>21948.51</v>
      </c>
      <c r="O65" s="147">
        <v>18495</v>
      </c>
      <c r="P65" s="147">
        <v>21620</v>
      </c>
      <c r="Q65" s="279">
        <v>33567.800000000003</v>
      </c>
      <c r="R65" s="147">
        <v>27652.34</v>
      </c>
      <c r="S65" s="147">
        <v>26193.3</v>
      </c>
      <c r="T65" s="147">
        <v>30669.38</v>
      </c>
      <c r="U65" s="147">
        <v>44768.44</v>
      </c>
      <c r="V65" s="279">
        <v>26922.33</v>
      </c>
      <c r="W65" s="147">
        <v>34202.15</v>
      </c>
      <c r="X65" s="147">
        <v>27347.1</v>
      </c>
      <c r="Y65" s="147">
        <v>37219.17</v>
      </c>
      <c r="Z65" s="279">
        <v>25250.3</v>
      </c>
      <c r="AA65" s="147">
        <v>23816.62</v>
      </c>
      <c r="AB65" s="147">
        <v>25567.5</v>
      </c>
      <c r="AC65" s="280">
        <v>31303.46</v>
      </c>
      <c r="AD65" s="279">
        <v>32373</v>
      </c>
      <c r="AE65" s="142">
        <v>26086.15</v>
      </c>
      <c r="AF65" s="142">
        <v>26231.75</v>
      </c>
      <c r="AG65" s="142">
        <v>31131.06</v>
      </c>
      <c r="AH65" s="142">
        <v>37116</v>
      </c>
      <c r="AI65" s="279">
        <v>25876.35</v>
      </c>
      <c r="AJ65" s="142">
        <v>23006.73</v>
      </c>
      <c r="AK65" s="142">
        <v>35767.67</v>
      </c>
      <c r="AL65" s="142">
        <v>37766.870000000003</v>
      </c>
      <c r="AM65" s="279">
        <v>33788.15</v>
      </c>
      <c r="AN65" s="142">
        <v>24940.33</v>
      </c>
      <c r="AO65" s="142">
        <v>30253.34</v>
      </c>
      <c r="AP65" s="142">
        <v>36478.79</v>
      </c>
      <c r="AQ65" s="279">
        <v>24540.01</v>
      </c>
      <c r="AR65" s="147">
        <v>22624.83</v>
      </c>
      <c r="AS65" s="147">
        <v>24673.08</v>
      </c>
      <c r="AT65" s="147">
        <v>21234.41</v>
      </c>
      <c r="AU65" s="147">
        <v>32494.73</v>
      </c>
      <c r="AV65" s="279">
        <v>22138.38</v>
      </c>
      <c r="AW65" s="142">
        <v>23101.32</v>
      </c>
      <c r="AX65" s="142">
        <v>25606.59</v>
      </c>
      <c r="AY65" s="142">
        <v>39284.83</v>
      </c>
      <c r="AZ65" s="142">
        <v>26833.48</v>
      </c>
      <c r="BA65" s="142">
        <v>31424.13</v>
      </c>
      <c r="BB65" s="142">
        <v>30854.1</v>
      </c>
      <c r="BC65" s="142">
        <v>35051.39</v>
      </c>
    </row>
    <row r="66" spans="2:55" x14ac:dyDescent="0.25">
      <c r="B66" t="s">
        <v>790</v>
      </c>
      <c r="C66" s="79" t="s">
        <v>789</v>
      </c>
      <c r="D66" s="279">
        <v>2228.6999999999998</v>
      </c>
      <c r="E66" s="147">
        <v>1689.59</v>
      </c>
      <c r="F66" s="147">
        <v>1567.25</v>
      </c>
      <c r="G66" s="147">
        <v>3466.23</v>
      </c>
      <c r="H66" s="280">
        <v>2189.44</v>
      </c>
      <c r="I66" s="279">
        <v>2679.49</v>
      </c>
      <c r="J66" s="147">
        <v>2651.78</v>
      </c>
      <c r="K66" s="147">
        <v>2352.2800000000002</v>
      </c>
      <c r="L66" s="147">
        <v>2237.52</v>
      </c>
      <c r="M66" s="279">
        <v>1865.47</v>
      </c>
      <c r="N66" s="147">
        <v>1725.96</v>
      </c>
      <c r="O66" s="147">
        <v>2102.64</v>
      </c>
      <c r="P66" s="147">
        <v>1857.45</v>
      </c>
      <c r="Q66" s="279">
        <v>3188.69</v>
      </c>
      <c r="R66" s="147">
        <v>2001.26</v>
      </c>
      <c r="S66" s="147">
        <v>1380.7</v>
      </c>
      <c r="T66" s="147">
        <v>1867.58</v>
      </c>
      <c r="U66" s="147">
        <v>3707.03</v>
      </c>
      <c r="V66" s="279">
        <v>4136.25</v>
      </c>
      <c r="W66" s="147">
        <v>2855.78</v>
      </c>
      <c r="X66" s="147">
        <v>1981.76</v>
      </c>
      <c r="Y66" s="147">
        <v>2263.87</v>
      </c>
      <c r="Z66" s="279">
        <v>1772.49</v>
      </c>
      <c r="AA66" s="147">
        <v>1861.64</v>
      </c>
      <c r="AB66" s="147">
        <v>2836.49</v>
      </c>
      <c r="AC66" s="280">
        <v>2679.67</v>
      </c>
      <c r="AD66" s="279">
        <v>1810.37</v>
      </c>
      <c r="AE66" s="142">
        <v>2393.08</v>
      </c>
      <c r="AF66" s="142">
        <v>1706.31</v>
      </c>
      <c r="AG66" s="142">
        <v>3546.1</v>
      </c>
      <c r="AH66" s="142">
        <v>2457.64</v>
      </c>
      <c r="AI66" s="279">
        <v>2167.4899999999998</v>
      </c>
      <c r="AJ66" s="142">
        <v>1619.84</v>
      </c>
      <c r="AK66" s="142">
        <v>2822.11</v>
      </c>
      <c r="AL66" s="142">
        <v>2093.4499999999998</v>
      </c>
      <c r="AM66" s="279">
        <v>2463.31</v>
      </c>
      <c r="AN66" s="142">
        <v>1614.58</v>
      </c>
      <c r="AO66" s="142">
        <v>2193.2600000000002</v>
      </c>
      <c r="AP66" s="142">
        <v>1815.45</v>
      </c>
      <c r="AQ66" s="279">
        <v>1189.25</v>
      </c>
      <c r="AR66" s="147">
        <v>1474.94</v>
      </c>
      <c r="AS66" s="147">
        <v>1850.06</v>
      </c>
      <c r="AT66" s="147">
        <v>3143.41</v>
      </c>
      <c r="AU66" s="147">
        <v>2025.77</v>
      </c>
      <c r="AV66" s="279">
        <v>2078.54</v>
      </c>
      <c r="AW66" s="142">
        <v>2055.9899999999998</v>
      </c>
      <c r="AX66" s="142">
        <v>1820.42</v>
      </c>
      <c r="AY66" s="142">
        <v>2610.2800000000002</v>
      </c>
      <c r="AZ66" s="142">
        <v>1650.28</v>
      </c>
      <c r="BA66" s="142">
        <v>2429.1799999999998</v>
      </c>
      <c r="BB66" s="142">
        <v>2334.0500000000002</v>
      </c>
      <c r="BC66" s="142">
        <v>2346.8000000000002</v>
      </c>
    </row>
    <row r="67" spans="2:55" x14ac:dyDescent="0.25">
      <c r="B67" t="s">
        <v>793</v>
      </c>
      <c r="C67" s="79" t="s">
        <v>792</v>
      </c>
      <c r="D67" s="279">
        <v>1971.5</v>
      </c>
      <c r="E67" s="147">
        <v>855.6</v>
      </c>
      <c r="F67" s="147">
        <v>1570.5</v>
      </c>
      <c r="G67" s="147">
        <v>1264.8499999999999</v>
      </c>
      <c r="H67" s="280">
        <v>828.77</v>
      </c>
      <c r="I67" s="279">
        <v>1202.8630000000001</v>
      </c>
      <c r="J67" s="147">
        <v>1286.58</v>
      </c>
      <c r="K67" s="147">
        <v>1800.3</v>
      </c>
      <c r="L67" s="147">
        <v>1764.71</v>
      </c>
      <c r="M67" s="279">
        <v>959.3</v>
      </c>
      <c r="N67" s="147">
        <v>861.01</v>
      </c>
      <c r="O67" s="147">
        <v>1571.28</v>
      </c>
      <c r="P67" s="147">
        <v>1336.4</v>
      </c>
      <c r="Q67" s="279">
        <v>3577.91</v>
      </c>
      <c r="R67" s="147">
        <v>1048.3800000000001</v>
      </c>
      <c r="S67" s="147">
        <v>1093.25</v>
      </c>
      <c r="T67" s="147">
        <v>1128.4000000000001</v>
      </c>
      <c r="U67" s="147">
        <v>1030.49</v>
      </c>
      <c r="V67" s="279">
        <v>1924.71</v>
      </c>
      <c r="W67" s="147">
        <v>685.95</v>
      </c>
      <c r="X67" s="147">
        <v>914.92</v>
      </c>
      <c r="Y67" s="147">
        <v>1875.14</v>
      </c>
      <c r="Z67" s="279">
        <v>1285.8</v>
      </c>
      <c r="AA67" s="147">
        <v>1433.71</v>
      </c>
      <c r="AB67" s="147">
        <v>1089.33</v>
      </c>
      <c r="AC67" s="280">
        <v>1327.9</v>
      </c>
      <c r="AD67" s="279">
        <v>1751.69</v>
      </c>
      <c r="AE67" s="142">
        <v>1375.7</v>
      </c>
      <c r="AF67" s="142">
        <v>917.91</v>
      </c>
      <c r="AG67" s="142">
        <v>1726.14</v>
      </c>
      <c r="AH67" s="142">
        <v>997.94</v>
      </c>
      <c r="AI67" s="279">
        <v>1414.89</v>
      </c>
      <c r="AJ67" s="142">
        <v>2020.69</v>
      </c>
      <c r="AK67" s="142">
        <v>1855.97</v>
      </c>
      <c r="AL67" s="142">
        <v>1830.76</v>
      </c>
      <c r="AM67" s="279">
        <v>1814.98</v>
      </c>
      <c r="AN67" s="142">
        <v>1121.6500000000001</v>
      </c>
      <c r="AO67" s="142">
        <v>1597.69</v>
      </c>
      <c r="AP67" s="142">
        <v>1136.3499999999999</v>
      </c>
      <c r="AQ67" s="279">
        <v>459.51</v>
      </c>
      <c r="AR67" s="147">
        <v>941.87</v>
      </c>
      <c r="AS67" s="147">
        <v>1307.21</v>
      </c>
      <c r="AT67" s="147">
        <v>1492.66</v>
      </c>
      <c r="AU67" s="147">
        <v>2005.65</v>
      </c>
      <c r="AV67" s="279">
        <v>1325.11</v>
      </c>
      <c r="AW67" s="142">
        <v>1489.54</v>
      </c>
      <c r="AX67" s="142">
        <v>1382.01</v>
      </c>
      <c r="AY67" s="142">
        <v>1095.5899999999999</v>
      </c>
      <c r="AZ67" s="142">
        <v>979.86</v>
      </c>
      <c r="BA67" s="142">
        <v>1623.47</v>
      </c>
      <c r="BB67" s="142">
        <v>1755.61</v>
      </c>
      <c r="BC67" s="142">
        <v>900.02</v>
      </c>
    </row>
    <row r="68" spans="2:55" x14ac:dyDescent="0.25">
      <c r="B68" t="s">
        <v>796</v>
      </c>
      <c r="C68" s="79" t="s">
        <v>795</v>
      </c>
      <c r="D68" s="279">
        <v>27384.5</v>
      </c>
      <c r="E68" s="147">
        <v>23963.95</v>
      </c>
      <c r="F68" s="147">
        <v>23052.19</v>
      </c>
      <c r="G68" s="147">
        <v>19445.95</v>
      </c>
      <c r="H68" s="280">
        <v>19852.259999999998</v>
      </c>
      <c r="I68" s="279">
        <v>18713.84</v>
      </c>
      <c r="J68" s="147">
        <v>27089.94</v>
      </c>
      <c r="K68" s="147">
        <v>20897.900000000001</v>
      </c>
      <c r="L68" s="147">
        <v>27853.64</v>
      </c>
      <c r="M68" s="279">
        <v>15491.76</v>
      </c>
      <c r="N68" s="147">
        <v>21519.15</v>
      </c>
      <c r="O68" s="147">
        <v>22507.94</v>
      </c>
      <c r="P68" s="147">
        <v>26925.49</v>
      </c>
      <c r="Q68" s="279">
        <v>21147.38</v>
      </c>
      <c r="R68" s="147">
        <v>45488.88</v>
      </c>
      <c r="S68" s="147">
        <v>22105.37</v>
      </c>
      <c r="T68" s="147">
        <v>39371.410000000003</v>
      </c>
      <c r="U68" s="147">
        <v>20415.12</v>
      </c>
      <c r="V68" s="279">
        <v>76513.960000000006</v>
      </c>
      <c r="W68" s="147">
        <v>57061.02</v>
      </c>
      <c r="X68" s="147">
        <v>24648.71</v>
      </c>
      <c r="Y68" s="147">
        <v>26204.46</v>
      </c>
      <c r="Z68" s="279">
        <v>22123.040000000001</v>
      </c>
      <c r="AA68" s="147">
        <v>26642.83</v>
      </c>
      <c r="AB68" s="147">
        <v>35079.870000000003</v>
      </c>
      <c r="AC68" s="280">
        <v>26099.439999999999</v>
      </c>
      <c r="AD68" s="279">
        <v>25754.240000000002</v>
      </c>
      <c r="AE68" s="142">
        <v>29985.15</v>
      </c>
      <c r="AF68" s="142">
        <v>33059.949999999997</v>
      </c>
      <c r="AG68" s="142">
        <v>29718.95</v>
      </c>
      <c r="AH68" s="142">
        <v>24348.720000000001</v>
      </c>
      <c r="AI68" s="279">
        <v>36722.18</v>
      </c>
      <c r="AJ68" s="142">
        <v>30632.720000000001</v>
      </c>
      <c r="AK68" s="142">
        <v>27910.25</v>
      </c>
      <c r="AL68" s="142">
        <v>30125.1</v>
      </c>
      <c r="AM68" s="279">
        <v>29531.65</v>
      </c>
      <c r="AN68" s="142">
        <v>26950.32</v>
      </c>
      <c r="AO68" s="142">
        <v>99302.16</v>
      </c>
      <c r="AP68" s="142">
        <v>28427.16</v>
      </c>
      <c r="AQ68" s="279">
        <v>28932.42</v>
      </c>
      <c r="AR68" s="147">
        <v>35147.58</v>
      </c>
      <c r="AS68" s="147">
        <v>34319.199999999997</v>
      </c>
      <c r="AT68" s="147">
        <v>24454.26</v>
      </c>
      <c r="AU68" s="147">
        <v>29578.240000000002</v>
      </c>
      <c r="AV68" s="279">
        <v>29978.6</v>
      </c>
      <c r="AW68" s="142">
        <v>30028.12</v>
      </c>
      <c r="AX68" s="142">
        <v>31735.35</v>
      </c>
      <c r="AY68" s="142">
        <v>31473.66</v>
      </c>
      <c r="AZ68" s="142">
        <v>30521.98</v>
      </c>
      <c r="BA68" s="142">
        <v>27022.97</v>
      </c>
      <c r="BB68" s="142">
        <v>40081.769999999997</v>
      </c>
      <c r="BC68" s="142">
        <v>26195.88</v>
      </c>
    </row>
    <row r="69" spans="2:55" x14ac:dyDescent="0.25">
      <c r="B69" t="s">
        <v>798</v>
      </c>
      <c r="C69" s="79">
        <v>14</v>
      </c>
      <c r="D69" s="279">
        <v>29920.2</v>
      </c>
      <c r="E69" s="147">
        <v>34689.79</v>
      </c>
      <c r="F69" s="147">
        <v>14649.71</v>
      </c>
      <c r="G69" s="147">
        <v>8976.3700000000008</v>
      </c>
      <c r="H69" s="280">
        <v>12082.66</v>
      </c>
      <c r="I69" s="279">
        <v>12977.25</v>
      </c>
      <c r="J69" s="147">
        <v>18665.580000000002</v>
      </c>
      <c r="K69" s="147">
        <v>21352.422999999999</v>
      </c>
      <c r="L69" s="147">
        <v>18494.93</v>
      </c>
      <c r="M69" s="279">
        <v>9792.27</v>
      </c>
      <c r="N69" s="147">
        <v>9202.57</v>
      </c>
      <c r="O69" s="147">
        <v>12255.93</v>
      </c>
      <c r="P69" s="147">
        <v>11045.87</v>
      </c>
      <c r="Q69" s="279">
        <v>11143.6</v>
      </c>
      <c r="R69" s="147">
        <v>12472.19</v>
      </c>
      <c r="S69" s="147">
        <v>11841.61</v>
      </c>
      <c r="T69" s="147">
        <v>12380.34</v>
      </c>
      <c r="U69" s="147">
        <v>13583.94</v>
      </c>
      <c r="V69" s="279">
        <v>16130.87</v>
      </c>
      <c r="W69" s="147">
        <v>11327.23</v>
      </c>
      <c r="X69" s="147">
        <v>18715.87</v>
      </c>
      <c r="Y69" s="147">
        <v>11814.96</v>
      </c>
      <c r="Z69" s="279">
        <v>10600.4</v>
      </c>
      <c r="AA69" s="147">
        <v>14723.22</v>
      </c>
      <c r="AB69" s="147">
        <v>14100.97</v>
      </c>
      <c r="AC69" s="280">
        <v>14193.58</v>
      </c>
      <c r="AD69" s="279">
        <v>12443.56</v>
      </c>
      <c r="AE69" s="142">
        <v>12586.69</v>
      </c>
      <c r="AF69" s="142">
        <v>14817.83</v>
      </c>
      <c r="AG69" s="142">
        <v>9473.32</v>
      </c>
      <c r="AH69" s="142">
        <v>14098.28</v>
      </c>
      <c r="AI69" s="279">
        <v>13356.15</v>
      </c>
      <c r="AJ69" s="142">
        <v>11328.51</v>
      </c>
      <c r="AK69" s="142">
        <v>12464.18</v>
      </c>
      <c r="AL69" s="142">
        <v>18533.689999999999</v>
      </c>
      <c r="AM69" s="279">
        <v>12685.05</v>
      </c>
      <c r="AN69" s="142">
        <v>10634.53</v>
      </c>
      <c r="AO69" s="142">
        <v>17530.46</v>
      </c>
      <c r="AP69" s="142">
        <v>19573.86</v>
      </c>
      <c r="AQ69" s="279">
        <v>16030.43</v>
      </c>
      <c r="AR69" s="147">
        <v>12431.42</v>
      </c>
      <c r="AS69" s="147">
        <v>29841.99</v>
      </c>
      <c r="AT69" s="147">
        <v>11315.56</v>
      </c>
      <c r="AU69" s="147">
        <v>11002.54</v>
      </c>
      <c r="AV69" s="279">
        <v>12005.19</v>
      </c>
      <c r="AW69" s="142">
        <v>14505.93</v>
      </c>
      <c r="AX69" s="142">
        <v>11774.25</v>
      </c>
      <c r="AY69" s="142">
        <v>13623.03</v>
      </c>
      <c r="AZ69" s="142">
        <v>11017.24</v>
      </c>
      <c r="BA69" s="142">
        <v>13788.96</v>
      </c>
      <c r="BB69" s="142">
        <v>14122.01</v>
      </c>
      <c r="BC69" s="142">
        <v>16356</v>
      </c>
    </row>
    <row r="70" spans="2:55" x14ac:dyDescent="0.25">
      <c r="B70" t="s">
        <v>800</v>
      </c>
      <c r="C70" s="79" t="s">
        <v>799</v>
      </c>
      <c r="D70" s="279">
        <v>32.89</v>
      </c>
      <c r="E70" s="147">
        <v>0</v>
      </c>
      <c r="F70" s="147">
        <v>359.07</v>
      </c>
      <c r="G70" s="147">
        <v>0</v>
      </c>
      <c r="H70" s="280">
        <v>112.58</v>
      </c>
      <c r="I70" s="279">
        <v>441.67</v>
      </c>
      <c r="J70" s="147">
        <v>163.29</v>
      </c>
      <c r="K70" s="147">
        <v>79.69</v>
      </c>
      <c r="L70" s="147">
        <v>163.29</v>
      </c>
      <c r="M70" s="279">
        <v>0</v>
      </c>
      <c r="N70" s="147">
        <v>350.28</v>
      </c>
      <c r="O70" s="147">
        <v>163.29</v>
      </c>
      <c r="P70" s="147">
        <v>326.18</v>
      </c>
      <c r="Q70" s="279">
        <v>0</v>
      </c>
      <c r="R70" s="147">
        <v>0</v>
      </c>
      <c r="S70" s="147">
        <v>0</v>
      </c>
      <c r="T70" s="147">
        <v>326.58</v>
      </c>
      <c r="U70" s="147">
        <v>0</v>
      </c>
      <c r="V70" s="279">
        <v>382.17</v>
      </c>
      <c r="W70" s="147">
        <v>1404.11</v>
      </c>
      <c r="X70" s="147">
        <v>227.78</v>
      </c>
      <c r="Y70" s="147">
        <v>0</v>
      </c>
      <c r="Z70" s="279">
        <v>0</v>
      </c>
      <c r="AA70" s="147">
        <v>489.87</v>
      </c>
      <c r="AB70" s="147">
        <v>266.68</v>
      </c>
      <c r="AC70" s="280">
        <v>0</v>
      </c>
      <c r="AD70" s="279">
        <v>0</v>
      </c>
      <c r="AE70" s="142">
        <v>400.46</v>
      </c>
      <c r="AF70" s="142">
        <v>0</v>
      </c>
      <c r="AG70" s="142">
        <v>290.58</v>
      </c>
      <c r="AH70" s="142">
        <v>0</v>
      </c>
      <c r="AI70" s="279">
        <v>0</v>
      </c>
      <c r="AJ70" s="142">
        <v>0</v>
      </c>
      <c r="AK70" s="142">
        <v>0</v>
      </c>
      <c r="AL70" s="142">
        <v>314.58</v>
      </c>
      <c r="AM70" s="279">
        <v>0</v>
      </c>
      <c r="AN70" s="142">
        <v>314.58</v>
      </c>
      <c r="AO70" s="142">
        <v>79.69</v>
      </c>
      <c r="AP70" s="142">
        <v>0</v>
      </c>
      <c r="AQ70" s="279">
        <v>0</v>
      </c>
      <c r="AR70" s="147">
        <v>0</v>
      </c>
      <c r="AS70" s="147">
        <v>0</v>
      </c>
      <c r="AT70" s="147">
        <v>290.58</v>
      </c>
      <c r="AU70" s="147">
        <v>0</v>
      </c>
      <c r="AV70" s="279">
        <v>0</v>
      </c>
      <c r="AW70" s="142">
        <v>0</v>
      </c>
      <c r="AX70" s="142">
        <v>501.57</v>
      </c>
      <c r="AY70" s="142">
        <v>0</v>
      </c>
      <c r="AZ70" s="142">
        <v>314.58</v>
      </c>
      <c r="BA70" s="142">
        <v>0</v>
      </c>
      <c r="BB70" s="142">
        <v>290.58</v>
      </c>
      <c r="BC70" s="142">
        <v>0</v>
      </c>
    </row>
    <row r="71" spans="2:55" x14ac:dyDescent="0.25">
      <c r="B71" t="s">
        <v>803</v>
      </c>
      <c r="C71" s="79" t="s">
        <v>802</v>
      </c>
      <c r="D71" s="279">
        <v>1801.28</v>
      </c>
      <c r="E71" s="147">
        <v>1028.9000000000001</v>
      </c>
      <c r="F71" s="147">
        <v>797.21</v>
      </c>
      <c r="G71" s="147">
        <v>2045.74</v>
      </c>
      <c r="H71" s="280">
        <v>1865.32</v>
      </c>
      <c r="I71" s="279">
        <v>1566.46</v>
      </c>
      <c r="J71" s="147">
        <v>718.23</v>
      </c>
      <c r="K71" s="147">
        <v>2325.3200000000002</v>
      </c>
      <c r="L71" s="147">
        <v>902.21</v>
      </c>
      <c r="M71" s="279">
        <v>43.08</v>
      </c>
      <c r="N71" s="147">
        <v>2278.4299999999998</v>
      </c>
      <c r="O71" s="147">
        <v>191</v>
      </c>
      <c r="P71" s="147">
        <v>2312</v>
      </c>
      <c r="Q71" s="279">
        <v>93.46</v>
      </c>
      <c r="R71" s="147">
        <v>1318.52</v>
      </c>
      <c r="S71" s="147">
        <v>139.83000000000001</v>
      </c>
      <c r="T71" s="147">
        <v>1405</v>
      </c>
      <c r="U71" s="147">
        <v>122.35</v>
      </c>
      <c r="V71" s="279">
        <v>1674.07</v>
      </c>
      <c r="W71" s="147"/>
      <c r="X71" s="147">
        <v>694.66</v>
      </c>
      <c r="Y71" s="147">
        <v>1950.18</v>
      </c>
      <c r="Z71" s="279">
        <v>1609.98</v>
      </c>
      <c r="AA71" s="147">
        <v>3067.08</v>
      </c>
      <c r="AB71" s="147">
        <v>1001.61</v>
      </c>
      <c r="AC71" s="280">
        <v>161.43</v>
      </c>
      <c r="AD71" s="279">
        <v>1910</v>
      </c>
      <c r="AE71" s="142">
        <v>656.85</v>
      </c>
      <c r="AF71" s="142">
        <v>2136.2600000000002</v>
      </c>
      <c r="AG71" s="142">
        <v>1108.02</v>
      </c>
      <c r="AH71" s="142">
        <v>67.97</v>
      </c>
      <c r="AI71" s="279">
        <v>1679.67</v>
      </c>
      <c r="AJ71" s="142">
        <v>1517.48</v>
      </c>
      <c r="AK71" s="142">
        <v>978.04</v>
      </c>
      <c r="AL71" s="142">
        <v>524.96</v>
      </c>
      <c r="AM71" s="279">
        <v>1502.7</v>
      </c>
      <c r="AN71" s="142">
        <v>1179.83</v>
      </c>
      <c r="AO71" s="142">
        <v>1467.3</v>
      </c>
      <c r="AP71" s="142">
        <v>3460.99</v>
      </c>
      <c r="AQ71" s="279">
        <v>49.18</v>
      </c>
      <c r="AR71" s="147">
        <v>1770.53</v>
      </c>
      <c r="AS71" s="147">
        <v>49.18</v>
      </c>
      <c r="AT71" s="147">
        <v>2884.68</v>
      </c>
      <c r="AU71" s="147">
        <v>115.15</v>
      </c>
      <c r="AV71" s="279">
        <v>2273.34</v>
      </c>
      <c r="AW71" s="142">
        <v>24.59</v>
      </c>
      <c r="AX71" s="142">
        <v>1594.78</v>
      </c>
      <c r="AY71" s="142">
        <v>49.18</v>
      </c>
      <c r="AZ71" s="142">
        <v>1863.97</v>
      </c>
      <c r="BA71" s="142">
        <v>181.87</v>
      </c>
      <c r="BB71" s="142">
        <v>4126.6499999999996</v>
      </c>
      <c r="BC71" s="142">
        <v>0</v>
      </c>
    </row>
    <row r="72" spans="2:55" x14ac:dyDescent="0.25">
      <c r="B72" t="s">
        <v>804</v>
      </c>
      <c r="C72" s="79">
        <v>18</v>
      </c>
      <c r="D72" s="279">
        <v>5001.87</v>
      </c>
      <c r="E72" s="147">
        <v>4216.78</v>
      </c>
      <c r="F72" s="147">
        <v>4180.29</v>
      </c>
      <c r="G72" s="147">
        <v>4672.37</v>
      </c>
      <c r="H72" s="280">
        <v>4374.6400000000003</v>
      </c>
      <c r="I72" s="279">
        <v>4218.87</v>
      </c>
      <c r="J72" s="147">
        <v>5417.73</v>
      </c>
      <c r="K72" s="147">
        <v>4411.79</v>
      </c>
      <c r="L72" s="147">
        <v>3991.95</v>
      </c>
      <c r="M72" s="279">
        <v>2438.6999999999998</v>
      </c>
      <c r="N72" s="147">
        <v>3748.86</v>
      </c>
      <c r="O72" s="147">
        <v>4479.49</v>
      </c>
      <c r="P72" s="147">
        <v>5111.76</v>
      </c>
      <c r="Q72" s="279">
        <v>2263.1</v>
      </c>
      <c r="R72" s="147">
        <v>4521.84</v>
      </c>
      <c r="S72" s="147">
        <v>4573.6000000000004</v>
      </c>
      <c r="T72" s="147">
        <v>4875.5600000000004</v>
      </c>
      <c r="U72" s="147">
        <v>4217.45</v>
      </c>
      <c r="V72" s="279">
        <v>6587.48</v>
      </c>
      <c r="W72" s="147">
        <v>5457.21</v>
      </c>
      <c r="X72" s="147">
        <v>4434.82</v>
      </c>
      <c r="Y72" s="147">
        <v>5189.8100000000004</v>
      </c>
      <c r="Z72" s="279">
        <v>4565.1499999999996</v>
      </c>
      <c r="AA72" s="147">
        <v>5888.49</v>
      </c>
      <c r="AB72" s="147">
        <v>5156.42</v>
      </c>
      <c r="AC72" s="280">
        <v>5768.58</v>
      </c>
      <c r="AD72" s="279">
        <v>4649.1000000000004</v>
      </c>
      <c r="AE72" s="142">
        <v>7020.23</v>
      </c>
      <c r="AF72" s="142">
        <v>4831.88</v>
      </c>
      <c r="AG72" s="142">
        <v>4732.6400000000003</v>
      </c>
      <c r="AH72" s="142">
        <v>5442.99</v>
      </c>
      <c r="AI72" s="279">
        <v>6051.62</v>
      </c>
      <c r="AJ72" s="142">
        <v>5638.8</v>
      </c>
      <c r="AK72" s="142">
        <v>5119.66</v>
      </c>
      <c r="AL72" s="142">
        <v>5843.87</v>
      </c>
      <c r="AM72" s="279">
        <v>6400.35</v>
      </c>
      <c r="AN72" s="142">
        <v>5205.04</v>
      </c>
      <c r="AO72" s="142">
        <v>5455.92</v>
      </c>
      <c r="AP72" s="142">
        <v>6347.97</v>
      </c>
      <c r="AQ72" s="279">
        <v>5018.3500000000004</v>
      </c>
      <c r="AR72" s="147">
        <v>5000.5600000000004</v>
      </c>
      <c r="AS72" s="147">
        <v>4607.1099999999997</v>
      </c>
      <c r="AT72" s="147">
        <v>5660.78</v>
      </c>
      <c r="AU72" s="147">
        <v>4954.8999999999996</v>
      </c>
      <c r="AV72" s="279">
        <v>6237.09</v>
      </c>
      <c r="AW72" s="142">
        <v>5067.45</v>
      </c>
      <c r="AX72" s="142">
        <v>5465.4</v>
      </c>
      <c r="AY72" s="142">
        <v>5574.59</v>
      </c>
      <c r="AZ72" s="142">
        <v>5505.61</v>
      </c>
      <c r="BA72" s="142">
        <v>5226.5200000000004</v>
      </c>
      <c r="BB72" s="142">
        <v>5156.3500000000004</v>
      </c>
      <c r="BC72" s="142">
        <v>4863.1000000000004</v>
      </c>
    </row>
    <row r="73" spans="2:55" x14ac:dyDescent="0.25">
      <c r="B73" t="s">
        <v>805</v>
      </c>
      <c r="C73" s="79">
        <v>19</v>
      </c>
      <c r="D73" s="279">
        <v>1821.59</v>
      </c>
      <c r="E73" s="147">
        <v>1471.44</v>
      </c>
      <c r="F73" s="147">
        <v>974.2</v>
      </c>
      <c r="G73" s="147">
        <v>1214.04</v>
      </c>
      <c r="H73" s="280">
        <v>1251.46</v>
      </c>
      <c r="I73" s="279">
        <v>1290.1600000000001</v>
      </c>
      <c r="J73" s="147">
        <v>1552.03</v>
      </c>
      <c r="K73" s="147">
        <v>1806.98</v>
      </c>
      <c r="L73" s="147">
        <v>1213.7</v>
      </c>
      <c r="M73" s="279">
        <v>899.16</v>
      </c>
      <c r="N73" s="147">
        <v>848.03</v>
      </c>
      <c r="O73" s="147">
        <v>1021.82</v>
      </c>
      <c r="P73" s="147">
        <v>807.62</v>
      </c>
      <c r="Q73" s="279">
        <v>1211.03</v>
      </c>
      <c r="R73" s="147">
        <v>1334.43</v>
      </c>
      <c r="S73" s="147">
        <v>1373.75</v>
      </c>
      <c r="T73" s="147">
        <v>1675.4</v>
      </c>
      <c r="U73" s="147">
        <v>1231.01</v>
      </c>
      <c r="V73" s="279">
        <v>1228.6199999999999</v>
      </c>
      <c r="W73" s="147">
        <v>1234.3900000000001</v>
      </c>
      <c r="X73" s="147">
        <v>1205.6400000000001</v>
      </c>
      <c r="Y73" s="147">
        <v>839.79</v>
      </c>
      <c r="Z73" s="279">
        <v>1356.65</v>
      </c>
      <c r="AA73" s="147">
        <v>1830.64</v>
      </c>
      <c r="AB73" s="147">
        <v>1486.63</v>
      </c>
      <c r="AC73" s="280">
        <v>1589.29</v>
      </c>
      <c r="AD73" s="279">
        <v>771.5</v>
      </c>
      <c r="AE73" s="142">
        <v>1481.32</v>
      </c>
      <c r="AF73" s="142">
        <v>973.46</v>
      </c>
      <c r="AG73" s="142">
        <v>1298.3</v>
      </c>
      <c r="AH73" s="142">
        <v>1354.89</v>
      </c>
      <c r="AI73" s="279">
        <v>1056.08</v>
      </c>
      <c r="AJ73" s="142">
        <v>1049.51</v>
      </c>
      <c r="AK73" s="142">
        <v>2462.9499999999998</v>
      </c>
      <c r="AL73" s="142">
        <v>1271.52</v>
      </c>
      <c r="AM73" s="279">
        <v>2175.91</v>
      </c>
      <c r="AN73" s="142">
        <v>2019.52</v>
      </c>
      <c r="AO73" s="142">
        <v>1524.32</v>
      </c>
      <c r="AP73" s="142">
        <v>1141.1099999999999</v>
      </c>
      <c r="AQ73" s="279">
        <v>1826.47</v>
      </c>
      <c r="AR73" s="147">
        <v>1106.76</v>
      </c>
      <c r="AS73" s="147">
        <v>1419.15</v>
      </c>
      <c r="AT73" s="147">
        <v>1563.33</v>
      </c>
      <c r="AU73" s="147">
        <v>1295.21</v>
      </c>
      <c r="AV73" s="279">
        <v>1448.56</v>
      </c>
      <c r="AW73" s="142">
        <v>1855.92</v>
      </c>
      <c r="AX73" s="142">
        <v>1798.2</v>
      </c>
      <c r="AY73" s="142">
        <v>1923.82</v>
      </c>
      <c r="AZ73" s="142">
        <v>1258.8399999999999</v>
      </c>
      <c r="BA73" s="142">
        <v>1662.92</v>
      </c>
      <c r="BB73" s="142">
        <v>1611.71</v>
      </c>
      <c r="BC73" s="142">
        <v>1324.16</v>
      </c>
    </row>
    <row r="74" spans="2:55" x14ac:dyDescent="0.25">
      <c r="B74" t="s">
        <v>806</v>
      </c>
      <c r="C74" s="79">
        <v>20</v>
      </c>
      <c r="D74" s="279">
        <v>14291.81</v>
      </c>
      <c r="E74" s="147">
        <v>12918.4</v>
      </c>
      <c r="F74" s="147">
        <v>13682.66</v>
      </c>
      <c r="G74" s="147">
        <v>11926.17</v>
      </c>
      <c r="H74" s="280">
        <v>13334.24</v>
      </c>
      <c r="I74" s="279">
        <v>12830.97</v>
      </c>
      <c r="J74" s="147">
        <v>18987.66</v>
      </c>
      <c r="K74" s="147">
        <v>15081.45</v>
      </c>
      <c r="L74" s="147">
        <v>17448.939999999999</v>
      </c>
      <c r="M74" s="279">
        <v>9622.18</v>
      </c>
      <c r="N74" s="147">
        <v>10375.51</v>
      </c>
      <c r="O74" s="147">
        <v>13068.82</v>
      </c>
      <c r="P74" s="147">
        <v>11954.54</v>
      </c>
      <c r="Q74" s="279">
        <v>10884.93</v>
      </c>
      <c r="R74" s="147">
        <v>12878.03</v>
      </c>
      <c r="S74" s="147">
        <v>11704.5</v>
      </c>
      <c r="T74" s="147">
        <v>11671.99</v>
      </c>
      <c r="U74" s="147">
        <v>12778.55</v>
      </c>
      <c r="V74" s="279">
        <v>13041.38</v>
      </c>
      <c r="W74" s="147">
        <v>16669.97</v>
      </c>
      <c r="X74" s="147">
        <v>13637.76</v>
      </c>
      <c r="Y74" s="147">
        <v>12817.51</v>
      </c>
      <c r="Z74" s="279">
        <v>12386.4</v>
      </c>
      <c r="AA74" s="147">
        <v>16591.669999999998</v>
      </c>
      <c r="AB74" s="147">
        <v>13263.51</v>
      </c>
      <c r="AC74" s="280">
        <v>13350.72</v>
      </c>
      <c r="AD74" s="279">
        <v>12970.66</v>
      </c>
      <c r="AE74" s="142">
        <v>13311.49</v>
      </c>
      <c r="AF74" s="142">
        <v>14762.57</v>
      </c>
      <c r="AG74" s="142">
        <v>13244.08</v>
      </c>
      <c r="AH74" s="142">
        <v>14024.29</v>
      </c>
      <c r="AI74" s="279">
        <v>14055.58</v>
      </c>
      <c r="AJ74" s="142">
        <v>14005.2</v>
      </c>
      <c r="AK74" s="142">
        <v>19380.439999999999</v>
      </c>
      <c r="AL74" s="142">
        <v>14838.39</v>
      </c>
      <c r="AM74" s="279">
        <v>17291.03</v>
      </c>
      <c r="AN74" s="142">
        <v>15160.85</v>
      </c>
      <c r="AO74" s="142">
        <v>16108.04</v>
      </c>
      <c r="AP74" s="142">
        <v>13411.4</v>
      </c>
      <c r="AQ74" s="279">
        <v>16286.35</v>
      </c>
      <c r="AR74" s="147">
        <v>13184.43</v>
      </c>
      <c r="AS74" s="147">
        <v>12223.41</v>
      </c>
      <c r="AT74" s="147">
        <v>14250.53</v>
      </c>
      <c r="AU74" s="147">
        <v>15150.28</v>
      </c>
      <c r="AV74" s="279">
        <v>14962.25</v>
      </c>
      <c r="AW74" s="142">
        <v>15583.18</v>
      </c>
      <c r="AX74" s="142">
        <v>17171.47</v>
      </c>
      <c r="AY74" s="142">
        <v>12414.79</v>
      </c>
      <c r="AZ74" s="142">
        <v>15630.27</v>
      </c>
      <c r="BA74" s="142">
        <v>15298.41</v>
      </c>
      <c r="BB74" s="142">
        <v>15608.26</v>
      </c>
      <c r="BC74" s="142">
        <v>16794.16</v>
      </c>
    </row>
    <row r="75" spans="2:55" x14ac:dyDescent="0.25">
      <c r="B75" t="s">
        <v>808</v>
      </c>
      <c r="C75" s="79">
        <v>21</v>
      </c>
      <c r="D75" s="279">
        <v>8136.78</v>
      </c>
      <c r="E75" s="147">
        <v>7276.06</v>
      </c>
      <c r="F75" s="147">
        <v>10485.32</v>
      </c>
      <c r="G75" s="147">
        <v>6191.58</v>
      </c>
      <c r="H75" s="280">
        <v>7689.21</v>
      </c>
      <c r="I75" s="279">
        <v>10384.25</v>
      </c>
      <c r="J75" s="147">
        <v>9320.5</v>
      </c>
      <c r="K75" s="147">
        <v>9263.7999999999993</v>
      </c>
      <c r="L75" s="147">
        <v>10709.15</v>
      </c>
      <c r="M75" s="279">
        <v>6330.11</v>
      </c>
      <c r="N75" s="147">
        <v>4091.54</v>
      </c>
      <c r="O75" s="147">
        <v>7204.09</v>
      </c>
      <c r="P75" s="147">
        <v>7561.58</v>
      </c>
      <c r="Q75" s="279">
        <v>6402.64</v>
      </c>
      <c r="R75" s="147">
        <v>7814.58</v>
      </c>
      <c r="S75" s="147">
        <v>6425.68</v>
      </c>
      <c r="T75" s="147">
        <v>8093.61</v>
      </c>
      <c r="U75" s="147">
        <v>8439.2900000000009</v>
      </c>
      <c r="V75" s="279">
        <v>7710.85</v>
      </c>
      <c r="W75" s="147">
        <v>7078.89</v>
      </c>
      <c r="X75" s="147">
        <v>6241.79</v>
      </c>
      <c r="Y75" s="147">
        <v>7675.12</v>
      </c>
      <c r="Z75" s="279">
        <v>7843.04</v>
      </c>
      <c r="AA75" s="147">
        <v>7483.45</v>
      </c>
      <c r="AB75" s="147">
        <v>7389.15</v>
      </c>
      <c r="AC75" s="280">
        <v>7570.71</v>
      </c>
      <c r="AD75" s="279">
        <v>5958.19</v>
      </c>
      <c r="AE75" s="142">
        <v>9689.1200000000008</v>
      </c>
      <c r="AF75" s="142">
        <v>9143.11</v>
      </c>
      <c r="AG75" s="142">
        <v>9291.4500000000007</v>
      </c>
      <c r="AH75" s="142">
        <v>8697.2999999999993</v>
      </c>
      <c r="AI75" s="279">
        <v>6475.58</v>
      </c>
      <c r="AJ75" s="142">
        <v>8567.24</v>
      </c>
      <c r="AK75" s="142">
        <v>7263.76</v>
      </c>
      <c r="AL75" s="142">
        <v>9537.27</v>
      </c>
      <c r="AM75" s="279">
        <v>8959.2099999999991</v>
      </c>
      <c r="AN75" s="142">
        <v>7528.44</v>
      </c>
      <c r="AO75" s="142">
        <v>6912.82</v>
      </c>
      <c r="AP75" s="142">
        <v>7668.45</v>
      </c>
      <c r="AQ75" s="279">
        <v>8124.41</v>
      </c>
      <c r="AR75" s="147">
        <v>7266.04</v>
      </c>
      <c r="AS75" s="147">
        <v>7083.3</v>
      </c>
      <c r="AT75" s="147">
        <v>6978.04</v>
      </c>
      <c r="AU75" s="147">
        <v>8083.38</v>
      </c>
      <c r="AV75" s="279">
        <v>7143.39</v>
      </c>
      <c r="AW75" s="142">
        <v>6180.52</v>
      </c>
      <c r="AX75" s="142">
        <v>10521.37</v>
      </c>
      <c r="AY75" s="142">
        <v>7572.55</v>
      </c>
      <c r="AZ75" s="142">
        <v>9828.36</v>
      </c>
      <c r="BA75" s="142">
        <v>7233.83</v>
      </c>
      <c r="BB75" s="142">
        <v>7422.11</v>
      </c>
      <c r="BC75" s="142">
        <v>7349.52</v>
      </c>
    </row>
    <row r="76" spans="2:55" x14ac:dyDescent="0.25">
      <c r="B76" t="s">
        <v>809</v>
      </c>
      <c r="C76" s="79">
        <v>22</v>
      </c>
      <c r="D76" s="279">
        <v>15626.57</v>
      </c>
      <c r="E76" s="147">
        <v>15016.23</v>
      </c>
      <c r="F76" s="147">
        <v>18215.34</v>
      </c>
      <c r="G76" s="147">
        <v>15571.39</v>
      </c>
      <c r="H76" s="280">
        <v>25070.560000000001</v>
      </c>
      <c r="I76" s="279">
        <v>17065.54</v>
      </c>
      <c r="J76" s="147">
        <v>19378.22</v>
      </c>
      <c r="K76" s="147">
        <v>16723.93</v>
      </c>
      <c r="L76" s="147">
        <v>29922.67</v>
      </c>
      <c r="M76" s="279">
        <v>16245.81</v>
      </c>
      <c r="N76" s="147">
        <v>11407.82</v>
      </c>
      <c r="O76" s="147">
        <v>15881.21</v>
      </c>
      <c r="P76" s="147">
        <v>15611.66</v>
      </c>
      <c r="Q76" s="279">
        <v>24224.06</v>
      </c>
      <c r="R76" s="147">
        <v>14665.03</v>
      </c>
      <c r="S76" s="147">
        <v>17082.689999999999</v>
      </c>
      <c r="T76" s="147">
        <v>15754.67</v>
      </c>
      <c r="U76" s="147">
        <v>26646.73</v>
      </c>
      <c r="V76" s="279">
        <v>17432.82</v>
      </c>
      <c r="W76" s="147">
        <v>17800.669999999998</v>
      </c>
      <c r="X76" s="147">
        <v>17286.330000000002</v>
      </c>
      <c r="Y76" s="147">
        <v>25343.38</v>
      </c>
      <c r="Z76" s="279">
        <v>15036.67</v>
      </c>
      <c r="AA76" s="147">
        <v>18629.68</v>
      </c>
      <c r="AB76" s="147">
        <v>16151.91</v>
      </c>
      <c r="AC76" s="280">
        <v>18102.84</v>
      </c>
      <c r="AD76" s="279">
        <v>25881.599999999999</v>
      </c>
      <c r="AE76" s="142">
        <v>17677.580000000002</v>
      </c>
      <c r="AF76" s="142">
        <v>17546.810000000001</v>
      </c>
      <c r="AG76" s="142">
        <v>19621.580000000002</v>
      </c>
      <c r="AH76" s="142">
        <v>25073.54</v>
      </c>
      <c r="AI76" s="279">
        <v>19359.689999999999</v>
      </c>
      <c r="AJ76" s="142">
        <v>18490.62</v>
      </c>
      <c r="AK76" s="142">
        <v>19399.88</v>
      </c>
      <c r="AL76" s="142">
        <v>25152.27</v>
      </c>
      <c r="AM76" s="279">
        <v>21273.78</v>
      </c>
      <c r="AN76" s="142">
        <v>17776.189999999999</v>
      </c>
      <c r="AO76" s="142">
        <v>17173.02</v>
      </c>
      <c r="AP76" s="142">
        <v>26497.439999999999</v>
      </c>
      <c r="AQ76" s="279">
        <v>17758.14</v>
      </c>
      <c r="AR76" s="147">
        <v>18197.05</v>
      </c>
      <c r="AS76" s="147">
        <v>15256.95</v>
      </c>
      <c r="AT76" s="147">
        <v>16120.1</v>
      </c>
      <c r="AU76" s="147">
        <v>24265.26</v>
      </c>
      <c r="AV76" s="279">
        <v>17708.009999999998</v>
      </c>
      <c r="AW76" s="142">
        <v>15366.4</v>
      </c>
      <c r="AX76" s="142">
        <v>18774.580000000002</v>
      </c>
      <c r="AY76" s="142">
        <v>25238.27</v>
      </c>
      <c r="AZ76" s="142">
        <v>16056.45</v>
      </c>
      <c r="BA76" s="142">
        <v>13604.09</v>
      </c>
      <c r="BB76" s="142">
        <v>15803.05</v>
      </c>
      <c r="BC76" s="142">
        <v>21871.1</v>
      </c>
    </row>
    <row r="77" spans="2:55" x14ac:dyDescent="0.25">
      <c r="B77" t="s">
        <v>810</v>
      </c>
      <c r="C77" s="79">
        <v>23</v>
      </c>
      <c r="D77" s="279">
        <v>2333.6</v>
      </c>
      <c r="E77" s="147">
        <v>1498.19</v>
      </c>
      <c r="F77" s="147">
        <v>3957.83</v>
      </c>
      <c r="G77" s="147">
        <v>3737.05</v>
      </c>
      <c r="H77" s="280">
        <v>3912.04</v>
      </c>
      <c r="I77" s="279">
        <v>2312.7600000000002</v>
      </c>
      <c r="J77" s="147">
        <v>1291.3900000000001</v>
      </c>
      <c r="K77" s="147">
        <v>2184.33</v>
      </c>
      <c r="L77" s="147">
        <v>1379.52</v>
      </c>
      <c r="M77" s="279">
        <v>2303.6999999999998</v>
      </c>
      <c r="N77" s="147">
        <v>2749.37</v>
      </c>
      <c r="O77" s="147">
        <v>3547.78</v>
      </c>
      <c r="P77" s="147">
        <v>1419.46</v>
      </c>
      <c r="Q77" s="279">
        <v>3596.26</v>
      </c>
      <c r="R77" s="147">
        <v>2315.4899999999998</v>
      </c>
      <c r="S77" s="147">
        <v>2091.91</v>
      </c>
      <c r="T77" s="147">
        <v>1877.53</v>
      </c>
      <c r="U77" s="147">
        <v>2360.1999999999998</v>
      </c>
      <c r="V77" s="279">
        <v>2507.9899999999998</v>
      </c>
      <c r="W77" s="147">
        <v>3005.24</v>
      </c>
      <c r="X77" s="147">
        <v>2222.4499999999998</v>
      </c>
      <c r="Y77" s="147">
        <v>2083.2800000000002</v>
      </c>
      <c r="Z77" s="279">
        <v>3271.47</v>
      </c>
      <c r="AA77" s="147">
        <v>2133.75</v>
      </c>
      <c r="AB77" s="147">
        <v>3157.98</v>
      </c>
      <c r="AC77" s="280">
        <v>2969.67</v>
      </c>
      <c r="AD77" s="279">
        <v>2579.08</v>
      </c>
      <c r="AE77" s="142">
        <v>3136.13</v>
      </c>
      <c r="AF77" s="142">
        <v>3564.96</v>
      </c>
      <c r="AG77" s="142">
        <v>2238.04</v>
      </c>
      <c r="AH77" s="142">
        <v>3390.9</v>
      </c>
      <c r="AI77" s="279">
        <v>3066.21</v>
      </c>
      <c r="AJ77" s="142">
        <v>2827.54</v>
      </c>
      <c r="AK77" s="142">
        <v>4315.33</v>
      </c>
      <c r="AL77" s="142">
        <v>3571.94</v>
      </c>
      <c r="AM77" s="279">
        <v>2920.7</v>
      </c>
      <c r="AN77" s="142">
        <v>2257.1799999999998</v>
      </c>
      <c r="AO77" s="142">
        <v>2660.34</v>
      </c>
      <c r="AP77" s="142">
        <v>1988.14</v>
      </c>
      <c r="AQ77" s="279">
        <v>3809.7</v>
      </c>
      <c r="AR77" s="147">
        <v>4656.8100000000004</v>
      </c>
      <c r="AS77" s="147">
        <v>2236.75</v>
      </c>
      <c r="AT77" s="147">
        <v>3978.86</v>
      </c>
      <c r="AU77" s="147">
        <v>4277.5</v>
      </c>
      <c r="AV77" s="279">
        <v>2922.5</v>
      </c>
      <c r="AW77" s="142">
        <v>2191.5700000000002</v>
      </c>
      <c r="AX77" s="142">
        <v>2485.23</v>
      </c>
      <c r="AY77" s="142">
        <v>2400.2600000000002</v>
      </c>
      <c r="AZ77" s="142">
        <v>1731.9</v>
      </c>
      <c r="BA77" s="142">
        <v>2561.75</v>
      </c>
      <c r="BB77" s="142">
        <v>2365.8200000000002</v>
      </c>
      <c r="BC77" s="142">
        <v>2066.5300000000002</v>
      </c>
    </row>
    <row r="78" spans="2:55" x14ac:dyDescent="0.25">
      <c r="B78" t="s">
        <v>812</v>
      </c>
      <c r="C78" s="79">
        <v>28</v>
      </c>
      <c r="D78" s="279">
        <v>450.21</v>
      </c>
      <c r="E78" s="147">
        <v>345.26</v>
      </c>
      <c r="F78" s="147">
        <v>658.3</v>
      </c>
      <c r="G78" s="147">
        <v>767.32</v>
      </c>
      <c r="H78" s="280">
        <v>629.76</v>
      </c>
      <c r="I78" s="279">
        <v>1030.24</v>
      </c>
      <c r="J78" s="147">
        <v>575.77</v>
      </c>
      <c r="K78" s="147">
        <v>938.72</v>
      </c>
      <c r="L78" s="147">
        <v>1462.91</v>
      </c>
      <c r="M78" s="279">
        <v>909.34</v>
      </c>
      <c r="N78" s="147">
        <v>500.85</v>
      </c>
      <c r="O78" s="147">
        <v>845.33</v>
      </c>
      <c r="P78" s="147">
        <v>488.9</v>
      </c>
      <c r="Q78" s="279">
        <v>431.69</v>
      </c>
      <c r="R78" s="147">
        <v>1091.49</v>
      </c>
      <c r="S78" s="147">
        <v>1606.92</v>
      </c>
      <c r="T78" s="147">
        <v>1151.08</v>
      </c>
      <c r="U78" s="147">
        <v>1330.58</v>
      </c>
      <c r="V78" s="279">
        <v>1498.9</v>
      </c>
      <c r="W78" s="147">
        <v>992.83</v>
      </c>
      <c r="X78" s="147">
        <v>1151.82</v>
      </c>
      <c r="Y78" s="147">
        <v>1078.1199999999999</v>
      </c>
      <c r="Z78" s="279">
        <v>843.17</v>
      </c>
      <c r="AA78" s="147">
        <v>1470.44</v>
      </c>
      <c r="AB78" s="147">
        <v>785.9</v>
      </c>
      <c r="AC78" s="280">
        <v>796.93</v>
      </c>
      <c r="AD78" s="279">
        <v>583.16999999999996</v>
      </c>
      <c r="AE78" s="142">
        <v>501.28</v>
      </c>
      <c r="AF78" s="142">
        <v>582.66</v>
      </c>
      <c r="AG78" s="142">
        <v>1431.73</v>
      </c>
      <c r="AH78" s="142">
        <v>686.85</v>
      </c>
      <c r="AI78" s="279">
        <v>1180.4100000000001</v>
      </c>
      <c r="AJ78" s="142">
        <v>810.64</v>
      </c>
      <c r="AK78" s="142">
        <v>811.16</v>
      </c>
      <c r="AL78" s="142">
        <v>404.82</v>
      </c>
      <c r="AM78" s="279">
        <v>1128.73</v>
      </c>
      <c r="AN78" s="142">
        <v>485.28</v>
      </c>
      <c r="AO78" s="142">
        <v>842.13</v>
      </c>
      <c r="AP78" s="142">
        <v>458.41</v>
      </c>
      <c r="AQ78" s="279">
        <v>1089.3599999999999</v>
      </c>
      <c r="AR78" s="147">
        <v>530.91999999999996</v>
      </c>
      <c r="AS78" s="147">
        <v>603.89</v>
      </c>
      <c r="AT78" s="147">
        <v>1466.77</v>
      </c>
      <c r="AU78" s="147">
        <v>279.81</v>
      </c>
      <c r="AV78" s="279">
        <v>1081.83</v>
      </c>
      <c r="AW78" s="142">
        <v>816.51</v>
      </c>
      <c r="AX78" s="142">
        <v>745.32</v>
      </c>
      <c r="AY78" s="142">
        <v>-18.27</v>
      </c>
      <c r="AZ78" s="142">
        <v>848.02</v>
      </c>
      <c r="BA78" s="142">
        <v>524.15</v>
      </c>
      <c r="BB78" s="142">
        <v>161.66</v>
      </c>
      <c r="BC78" s="142">
        <v>100.03</v>
      </c>
    </row>
    <row r="79" spans="2:55" x14ac:dyDescent="0.25">
      <c r="B79" t="s">
        <v>813</v>
      </c>
      <c r="C79" s="79">
        <v>29</v>
      </c>
      <c r="D79" s="279">
        <v>9499.69</v>
      </c>
      <c r="E79" s="147">
        <v>7817.46</v>
      </c>
      <c r="F79" s="147">
        <v>7038.76</v>
      </c>
      <c r="G79" s="147">
        <v>7081.27</v>
      </c>
      <c r="H79" s="280">
        <v>7827.42</v>
      </c>
      <c r="I79" s="279">
        <v>6542.24</v>
      </c>
      <c r="J79" s="147">
        <v>9093.3700000000008</v>
      </c>
      <c r="K79" s="147">
        <v>7798.34</v>
      </c>
      <c r="L79" s="147">
        <v>10679.1</v>
      </c>
      <c r="M79" s="279">
        <v>5218.1499999999996</v>
      </c>
      <c r="N79" s="147">
        <v>6152.02</v>
      </c>
      <c r="O79" s="147">
        <v>7493.27</v>
      </c>
      <c r="P79" s="147">
        <v>7416.33</v>
      </c>
      <c r="Q79" s="279">
        <v>8149.24</v>
      </c>
      <c r="R79" s="147">
        <v>7498.76</v>
      </c>
      <c r="S79" s="147">
        <v>9920.9500000000007</v>
      </c>
      <c r="T79" s="147">
        <v>7133.71</v>
      </c>
      <c r="U79" s="147">
        <v>7199.12</v>
      </c>
      <c r="V79" s="279">
        <v>7843.99</v>
      </c>
      <c r="W79" s="147">
        <v>9781.61</v>
      </c>
      <c r="X79" s="147">
        <v>6964.05</v>
      </c>
      <c r="Y79" s="147">
        <v>7955.76</v>
      </c>
      <c r="Z79" s="279">
        <v>8202.69</v>
      </c>
      <c r="AA79" s="147">
        <v>10061.83</v>
      </c>
      <c r="AB79" s="147">
        <v>9166.5400000000009</v>
      </c>
      <c r="AC79" s="280">
        <v>9320.0300000000007</v>
      </c>
      <c r="AD79" s="279">
        <v>11125.5</v>
      </c>
      <c r="AE79" s="142">
        <v>13343.97</v>
      </c>
      <c r="AF79" s="142">
        <v>8017.98</v>
      </c>
      <c r="AG79" s="142">
        <v>10815.03</v>
      </c>
      <c r="AH79" s="142">
        <v>11685.06</v>
      </c>
      <c r="AI79" s="279">
        <v>17483.63</v>
      </c>
      <c r="AJ79" s="142">
        <v>13691.03</v>
      </c>
      <c r="AK79" s="142">
        <v>12975.48</v>
      </c>
      <c r="AL79" s="142">
        <v>12676.58</v>
      </c>
      <c r="AM79" s="279">
        <v>12462.4</v>
      </c>
      <c r="AN79" s="142">
        <v>7440.69</v>
      </c>
      <c r="AO79" s="142">
        <v>13741.84</v>
      </c>
      <c r="AP79" s="142">
        <v>11375.3</v>
      </c>
      <c r="AQ79" s="279">
        <v>10052.9</v>
      </c>
      <c r="AR79" s="147">
        <v>9641.73</v>
      </c>
      <c r="AS79" s="147">
        <v>12586.98</v>
      </c>
      <c r="AT79" s="147">
        <v>8810.49</v>
      </c>
      <c r="AU79" s="147">
        <v>14107.03</v>
      </c>
      <c r="AV79" s="279">
        <v>10447.86</v>
      </c>
      <c r="AW79" s="142">
        <v>8542.09</v>
      </c>
      <c r="AX79" s="142">
        <v>10418.629999999999</v>
      </c>
      <c r="AY79" s="142">
        <v>10972.65</v>
      </c>
      <c r="AZ79" s="142">
        <v>10847.15</v>
      </c>
      <c r="BA79" s="142">
        <v>7331.92</v>
      </c>
      <c r="BB79" s="142">
        <v>7478.72</v>
      </c>
      <c r="BC79" s="142">
        <v>9623.69</v>
      </c>
    </row>
    <row r="80" spans="2:55" x14ac:dyDescent="0.25">
      <c r="B80" t="s">
        <v>815</v>
      </c>
      <c r="C80" s="79" t="s">
        <v>814</v>
      </c>
      <c r="D80" s="279">
        <v>2800</v>
      </c>
      <c r="E80" s="147">
        <v>1810</v>
      </c>
      <c r="F80" s="147">
        <v>2885.04</v>
      </c>
      <c r="G80" s="147">
        <v>2175</v>
      </c>
      <c r="H80" s="280">
        <v>2750.05</v>
      </c>
      <c r="I80" s="279">
        <v>4618.9799999999996</v>
      </c>
      <c r="J80" s="147">
        <v>2305</v>
      </c>
      <c r="K80" s="147">
        <v>9450.01</v>
      </c>
      <c r="L80" s="147">
        <v>6450</v>
      </c>
      <c r="M80" s="279">
        <v>4160</v>
      </c>
      <c r="N80" s="147">
        <v>2500</v>
      </c>
      <c r="O80" s="147">
        <v>1150</v>
      </c>
      <c r="P80" s="147">
        <v>260</v>
      </c>
      <c r="Q80" s="279">
        <v>325</v>
      </c>
      <c r="R80" s="147">
        <v>60</v>
      </c>
      <c r="S80" s="147">
        <v>530</v>
      </c>
      <c r="T80" s="147">
        <v>920</v>
      </c>
      <c r="U80" s="147">
        <v>250</v>
      </c>
      <c r="V80" s="279">
        <v>1020</v>
      </c>
      <c r="W80" s="147">
        <v>118.99</v>
      </c>
      <c r="X80" s="147">
        <v>125</v>
      </c>
      <c r="Y80" s="147">
        <v>130</v>
      </c>
      <c r="Z80" s="279">
        <v>160</v>
      </c>
      <c r="AA80" s="147">
        <v>30</v>
      </c>
      <c r="AB80" s="147">
        <v>725</v>
      </c>
      <c r="AC80" s="280">
        <v>1340</v>
      </c>
      <c r="AD80" s="279">
        <v>115</v>
      </c>
      <c r="AE80" s="142">
        <v>1082.99</v>
      </c>
      <c r="AF80" s="142">
        <v>500</v>
      </c>
      <c r="AG80" s="142">
        <v>400</v>
      </c>
      <c r="AH80" s="142">
        <v>510</v>
      </c>
      <c r="AI80" s="279">
        <v>620</v>
      </c>
      <c r="AJ80" s="142">
        <v>270</v>
      </c>
      <c r="AK80" s="142">
        <v>25</v>
      </c>
      <c r="AL80" s="142">
        <v>520</v>
      </c>
      <c r="AM80" s="279">
        <v>325</v>
      </c>
      <c r="AN80" s="142">
        <v>560</v>
      </c>
      <c r="AO80" s="142">
        <v>975</v>
      </c>
      <c r="AP80" s="142">
        <v>445</v>
      </c>
      <c r="AQ80" s="279">
        <v>300</v>
      </c>
      <c r="AR80" s="147">
        <v>835</v>
      </c>
      <c r="AS80" s="147">
        <v>580</v>
      </c>
      <c r="AT80" s="147">
        <v>625</v>
      </c>
      <c r="AU80" s="147">
        <v>275</v>
      </c>
      <c r="AV80" s="279">
        <v>35</v>
      </c>
      <c r="AW80" s="142">
        <v>150</v>
      </c>
      <c r="AX80" s="142">
        <v>375</v>
      </c>
      <c r="AY80" s="142">
        <v>100</v>
      </c>
      <c r="AZ80" s="142">
        <v>250</v>
      </c>
      <c r="BA80" s="142">
        <v>407.99</v>
      </c>
      <c r="BB80" s="142">
        <v>75</v>
      </c>
      <c r="BC80" s="142">
        <v>287.98</v>
      </c>
    </row>
    <row r="81" spans="2:55" x14ac:dyDescent="0.25">
      <c r="B81" t="s">
        <v>831</v>
      </c>
      <c r="C81" s="79">
        <v>43</v>
      </c>
      <c r="D81" s="279">
        <v>24.77</v>
      </c>
      <c r="E81" s="147">
        <v>14.67</v>
      </c>
      <c r="F81" s="147">
        <v>0</v>
      </c>
      <c r="G81" s="147">
        <v>0</v>
      </c>
      <c r="H81" s="280">
        <v>37.74</v>
      </c>
      <c r="I81" s="279">
        <v>72.94</v>
      </c>
      <c r="J81" s="147">
        <v>70.92</v>
      </c>
      <c r="K81" s="147">
        <v>56.91</v>
      </c>
      <c r="L81" s="147">
        <v>95.92</v>
      </c>
      <c r="M81" s="279">
        <v>45.75</v>
      </c>
      <c r="N81" s="147">
        <v>19.559999999999999</v>
      </c>
      <c r="O81" s="147">
        <v>20.97</v>
      </c>
      <c r="P81" s="147">
        <v>14.99</v>
      </c>
      <c r="Q81" s="279">
        <v>16.77</v>
      </c>
      <c r="R81" s="147">
        <v>0</v>
      </c>
      <c r="S81" s="147">
        <v>31.98</v>
      </c>
      <c r="T81" s="147">
        <v>48.93</v>
      </c>
      <c r="U81" s="147">
        <v>14.99</v>
      </c>
      <c r="V81" s="279">
        <v>18.97</v>
      </c>
      <c r="W81" s="147">
        <v>32.97</v>
      </c>
      <c r="X81" s="147">
        <v>13.98</v>
      </c>
      <c r="Y81" s="147">
        <v>11.98</v>
      </c>
      <c r="Z81" s="279">
        <v>0</v>
      </c>
      <c r="AA81" s="147">
        <v>14.99</v>
      </c>
      <c r="AB81" s="147">
        <v>0</v>
      </c>
      <c r="AC81" s="280">
        <v>0</v>
      </c>
      <c r="AD81" s="279">
        <v>0</v>
      </c>
      <c r="AE81" s="142">
        <v>0</v>
      </c>
      <c r="AF81" s="142">
        <v>0</v>
      </c>
      <c r="AG81" s="142">
        <v>0</v>
      </c>
      <c r="AH81" s="142">
        <v>16.989999999999998</v>
      </c>
      <c r="AI81" s="279">
        <v>5.99</v>
      </c>
      <c r="AJ81" s="142">
        <v>0</v>
      </c>
      <c r="AK81" s="142">
        <v>0</v>
      </c>
      <c r="AL81" s="142">
        <v>0</v>
      </c>
      <c r="AM81" s="279">
        <v>0</v>
      </c>
      <c r="AN81" s="142">
        <v>0</v>
      </c>
      <c r="AO81" s="142">
        <v>0</v>
      </c>
      <c r="AP81" s="142">
        <v>0</v>
      </c>
      <c r="AQ81" s="279">
        <v>0</v>
      </c>
      <c r="AR81" s="147">
        <v>0</v>
      </c>
      <c r="AS81" s="147">
        <v>0</v>
      </c>
      <c r="AT81" s="147">
        <v>0</v>
      </c>
      <c r="AU81" s="147">
        <v>0</v>
      </c>
      <c r="AV81" s="279">
        <v>0</v>
      </c>
      <c r="AW81" s="142">
        <v>0</v>
      </c>
      <c r="AX81" s="142">
        <v>0</v>
      </c>
      <c r="AY81" s="142">
        <v>0</v>
      </c>
      <c r="AZ81" s="142">
        <v>0</v>
      </c>
      <c r="BA81" s="142">
        <v>0</v>
      </c>
      <c r="BB81" s="142">
        <v>0</v>
      </c>
      <c r="BC81" s="142">
        <v>1079.48</v>
      </c>
    </row>
    <row r="82" spans="2:55" x14ac:dyDescent="0.25">
      <c r="B82" t="s">
        <v>818</v>
      </c>
      <c r="C82" s="79">
        <v>45</v>
      </c>
      <c r="D82" s="279">
        <v>0</v>
      </c>
      <c r="E82" s="147">
        <v>0</v>
      </c>
      <c r="F82" s="147">
        <v>0</v>
      </c>
      <c r="G82" s="147">
        <v>0</v>
      </c>
      <c r="H82" s="280">
        <v>0</v>
      </c>
      <c r="I82" s="279">
        <v>0</v>
      </c>
      <c r="J82" s="147">
        <v>0</v>
      </c>
      <c r="K82" s="147">
        <v>0</v>
      </c>
      <c r="L82" s="147">
        <v>0</v>
      </c>
      <c r="M82" s="279">
        <v>0</v>
      </c>
      <c r="N82" s="147">
        <v>0</v>
      </c>
      <c r="O82" s="147">
        <v>0</v>
      </c>
      <c r="P82" s="147">
        <v>0</v>
      </c>
      <c r="Q82" s="279">
        <v>0</v>
      </c>
      <c r="R82" s="147">
        <v>0</v>
      </c>
      <c r="S82" s="147">
        <v>0</v>
      </c>
      <c r="T82" s="147">
        <v>0</v>
      </c>
      <c r="U82" s="147">
        <v>0</v>
      </c>
      <c r="V82" s="279">
        <v>0</v>
      </c>
      <c r="W82" s="147">
        <v>0</v>
      </c>
      <c r="X82" s="147">
        <v>0</v>
      </c>
      <c r="Y82" s="147">
        <v>0</v>
      </c>
      <c r="Z82" s="279">
        <v>0</v>
      </c>
      <c r="AA82" s="147">
        <v>0</v>
      </c>
      <c r="AB82" s="147">
        <v>0</v>
      </c>
      <c r="AC82" s="280">
        <v>0</v>
      </c>
      <c r="AD82" s="279">
        <v>0</v>
      </c>
      <c r="AE82" s="142">
        <v>0</v>
      </c>
      <c r="AF82" s="142">
        <v>0</v>
      </c>
      <c r="AG82" s="142">
        <v>0</v>
      </c>
      <c r="AH82" s="142">
        <v>0</v>
      </c>
      <c r="AI82" s="279">
        <v>0</v>
      </c>
      <c r="AJ82" s="142">
        <v>0</v>
      </c>
      <c r="AK82" s="142">
        <v>0</v>
      </c>
      <c r="AL82" s="142">
        <v>0</v>
      </c>
      <c r="AM82" s="279">
        <v>0</v>
      </c>
      <c r="AN82" s="142">
        <v>0</v>
      </c>
      <c r="AO82" s="142">
        <v>0</v>
      </c>
      <c r="AP82" s="142">
        <v>0</v>
      </c>
      <c r="AQ82" s="279">
        <v>0</v>
      </c>
      <c r="AR82" s="147">
        <v>0</v>
      </c>
      <c r="AS82" s="147">
        <v>0</v>
      </c>
      <c r="AT82" s="147">
        <v>0</v>
      </c>
      <c r="AU82" s="147">
        <v>0</v>
      </c>
      <c r="AV82" s="279">
        <v>0</v>
      </c>
      <c r="AW82" s="142">
        <v>0</v>
      </c>
      <c r="AX82" s="142">
        <v>0</v>
      </c>
      <c r="AY82" s="142">
        <v>0</v>
      </c>
      <c r="AZ82" s="142">
        <v>0</v>
      </c>
      <c r="BA82" s="142">
        <v>0</v>
      </c>
      <c r="BB82" s="142">
        <v>0</v>
      </c>
      <c r="BC82" s="142">
        <v>0</v>
      </c>
    </row>
    <row r="83" spans="2:55" x14ac:dyDescent="0.25">
      <c r="B83" t="s">
        <v>819</v>
      </c>
      <c r="C83" s="79">
        <v>47</v>
      </c>
      <c r="D83" s="279">
        <v>983.05</v>
      </c>
      <c r="E83" s="147">
        <v>637.54</v>
      </c>
      <c r="F83" s="147">
        <v>1256.95</v>
      </c>
      <c r="G83" s="147">
        <v>717.01</v>
      </c>
      <c r="H83" s="280">
        <v>937.79</v>
      </c>
      <c r="I83" s="279">
        <v>587.88</v>
      </c>
      <c r="J83" s="147">
        <v>928.98</v>
      </c>
      <c r="K83" s="147">
        <v>877.51</v>
      </c>
      <c r="L83" s="147">
        <v>1236.83</v>
      </c>
      <c r="M83" s="279">
        <v>490.95</v>
      </c>
      <c r="N83" s="147">
        <v>584.34</v>
      </c>
      <c r="O83" s="147">
        <v>1586.21</v>
      </c>
      <c r="P83" s="147">
        <v>354.81</v>
      </c>
      <c r="Q83" s="279">
        <v>742.93</v>
      </c>
      <c r="R83" s="147">
        <v>945.13</v>
      </c>
      <c r="S83" s="147">
        <v>541.97</v>
      </c>
      <c r="T83" s="147">
        <v>806.44</v>
      </c>
      <c r="U83" s="147">
        <v>705.14</v>
      </c>
      <c r="V83" s="279">
        <v>329.9</v>
      </c>
      <c r="W83" s="147">
        <v>1202.79</v>
      </c>
      <c r="X83" s="147">
        <v>246.19</v>
      </c>
      <c r="Y83" s="147">
        <v>1053.31</v>
      </c>
      <c r="Z83" s="279">
        <v>850.67</v>
      </c>
      <c r="AA83" s="147">
        <v>2306.3000000000002</v>
      </c>
      <c r="AB83" s="147">
        <v>901.51</v>
      </c>
      <c r="AC83" s="280">
        <v>746.69</v>
      </c>
      <c r="AD83" s="279">
        <v>837.94</v>
      </c>
      <c r="AE83" s="142">
        <v>1254.26</v>
      </c>
      <c r="AF83" s="142">
        <v>697.21</v>
      </c>
      <c r="AG83" s="142">
        <v>544.04</v>
      </c>
      <c r="AH83" s="142">
        <v>683.18</v>
      </c>
      <c r="AI83" s="279">
        <v>708.4</v>
      </c>
      <c r="AJ83" s="142">
        <v>581.15</v>
      </c>
      <c r="AK83" s="142">
        <v>494.33</v>
      </c>
      <c r="AL83" s="142">
        <v>1110.92</v>
      </c>
      <c r="AM83" s="279">
        <v>642.39</v>
      </c>
      <c r="AN83" s="142">
        <v>983.31</v>
      </c>
      <c r="AO83" s="142">
        <v>2377.6999999999998</v>
      </c>
      <c r="AP83" s="142">
        <v>895.98</v>
      </c>
      <c r="AQ83" s="279">
        <v>448.28</v>
      </c>
      <c r="AR83" s="147">
        <v>555.35</v>
      </c>
      <c r="AS83" s="147">
        <v>418.79</v>
      </c>
      <c r="AT83" s="147">
        <v>654.88</v>
      </c>
      <c r="AU83" s="147">
        <v>1248.44</v>
      </c>
      <c r="AV83" s="279">
        <v>1214.56</v>
      </c>
      <c r="AW83" s="142">
        <v>755.11</v>
      </c>
      <c r="AX83" s="142">
        <v>486.34</v>
      </c>
      <c r="AY83" s="142">
        <v>316.72000000000003</v>
      </c>
      <c r="AZ83" s="142">
        <v>726.42</v>
      </c>
      <c r="BA83" s="142">
        <v>687.21</v>
      </c>
      <c r="BB83" s="142">
        <v>1176.01</v>
      </c>
      <c r="BC83" s="142">
        <v>840.33</v>
      </c>
    </row>
    <row r="84" spans="2:55" x14ac:dyDescent="0.25">
      <c r="B84" t="s">
        <v>821</v>
      </c>
      <c r="C84" s="79">
        <v>53</v>
      </c>
      <c r="D84" s="279">
        <v>8536.58</v>
      </c>
      <c r="E84" s="147">
        <v>8122.76</v>
      </c>
      <c r="F84" s="147">
        <v>9965.3799999999992</v>
      </c>
      <c r="G84" s="147">
        <v>8056.24</v>
      </c>
      <c r="H84" s="280">
        <v>7874.41</v>
      </c>
      <c r="I84" s="279">
        <v>9533.6299999999992</v>
      </c>
      <c r="J84" s="147">
        <v>9401.7199999999993</v>
      </c>
      <c r="K84" s="147">
        <v>9400.1</v>
      </c>
      <c r="L84" s="147">
        <v>9240.5300000000007</v>
      </c>
      <c r="M84" s="279">
        <v>7014.88</v>
      </c>
      <c r="N84" s="147">
        <v>7758.02</v>
      </c>
      <c r="O84" s="147">
        <v>8931.94</v>
      </c>
      <c r="P84" s="147">
        <v>8163.2</v>
      </c>
      <c r="Q84" s="279">
        <v>9543.7900000000009</v>
      </c>
      <c r="R84" s="147">
        <v>8278.44</v>
      </c>
      <c r="S84" s="147">
        <v>7865.37</v>
      </c>
      <c r="T84" s="147">
        <v>7355.66</v>
      </c>
      <c r="U84" s="147">
        <v>7739.6</v>
      </c>
      <c r="V84" s="279">
        <v>9747.32</v>
      </c>
      <c r="W84" s="147">
        <v>9576.36</v>
      </c>
      <c r="X84" s="147">
        <v>8132.53</v>
      </c>
      <c r="Y84" s="147">
        <v>8657.9699999999993</v>
      </c>
      <c r="Z84" s="279">
        <v>8043.19</v>
      </c>
      <c r="AA84" s="147">
        <v>9248.1299999999992</v>
      </c>
      <c r="AB84" s="147">
        <v>9603.7199999999993</v>
      </c>
      <c r="AC84" s="280">
        <v>9140.98</v>
      </c>
      <c r="AD84" s="279">
        <v>8551.06</v>
      </c>
      <c r="AE84" s="142">
        <v>8993.8799999999992</v>
      </c>
      <c r="AF84" s="142">
        <v>10633.47</v>
      </c>
      <c r="AG84" s="142">
        <v>9971.9</v>
      </c>
      <c r="AH84" s="142">
        <v>8882.5400000000009</v>
      </c>
      <c r="AI84" s="279">
        <v>11341.02</v>
      </c>
      <c r="AJ84" s="142">
        <v>10894.9</v>
      </c>
      <c r="AK84" s="142">
        <v>9627.7199999999993</v>
      </c>
      <c r="AL84" s="142">
        <v>10346.709999999999</v>
      </c>
      <c r="AM84" s="279">
        <v>10177.950000000001</v>
      </c>
      <c r="AN84" s="142">
        <v>10281.14</v>
      </c>
      <c r="AO84" s="142">
        <v>9509.42</v>
      </c>
      <c r="AP84" s="142">
        <v>10057.91</v>
      </c>
      <c r="AQ84" s="279">
        <v>9346.59</v>
      </c>
      <c r="AR84" s="147">
        <v>10459.799999999999</v>
      </c>
      <c r="AS84" s="147">
        <v>9809.2999999999993</v>
      </c>
      <c r="AT84" s="147">
        <v>8977.7099999999991</v>
      </c>
      <c r="AU84" s="147">
        <v>8795.6299999999992</v>
      </c>
      <c r="AV84" s="279">
        <v>10647.79</v>
      </c>
      <c r="AW84" s="142">
        <v>10326.959999999999</v>
      </c>
      <c r="AX84" s="142">
        <v>10650.21</v>
      </c>
      <c r="AY84" s="142">
        <v>10279.91</v>
      </c>
      <c r="AZ84" s="142">
        <v>9990.68</v>
      </c>
      <c r="BA84" s="142">
        <v>10052.86</v>
      </c>
      <c r="BB84" s="142">
        <v>10034.299999999999</v>
      </c>
      <c r="BC84" s="142">
        <v>10191.68</v>
      </c>
    </row>
    <row r="85" spans="2:55" x14ac:dyDescent="0.25">
      <c r="B85" t="s">
        <v>822</v>
      </c>
      <c r="C85" s="79">
        <v>55</v>
      </c>
      <c r="D85" s="279"/>
      <c r="E85" s="147"/>
      <c r="F85" s="147">
        <v>0</v>
      </c>
      <c r="G85" s="147">
        <v>0</v>
      </c>
      <c r="H85" s="280">
        <v>0</v>
      </c>
      <c r="I85" s="279">
        <v>0</v>
      </c>
      <c r="J85" s="147">
        <v>0</v>
      </c>
      <c r="K85" s="147">
        <v>0</v>
      </c>
      <c r="L85" s="147">
        <v>0</v>
      </c>
      <c r="M85" s="279">
        <v>0</v>
      </c>
      <c r="N85" s="147">
        <v>0</v>
      </c>
      <c r="O85" s="147">
        <v>0</v>
      </c>
      <c r="P85" s="147">
        <v>0</v>
      </c>
      <c r="Q85" s="279">
        <v>0</v>
      </c>
      <c r="R85" s="147">
        <v>0</v>
      </c>
      <c r="S85" s="147">
        <v>0</v>
      </c>
      <c r="T85" s="147">
        <v>0</v>
      </c>
      <c r="U85" s="147">
        <v>0</v>
      </c>
      <c r="V85" s="279">
        <v>0</v>
      </c>
      <c r="W85" s="147">
        <v>0</v>
      </c>
      <c r="X85" s="147">
        <v>0</v>
      </c>
      <c r="Y85" s="147">
        <v>0</v>
      </c>
      <c r="Z85" s="279">
        <v>0</v>
      </c>
      <c r="AA85" s="147">
        <v>0</v>
      </c>
      <c r="AB85" s="147">
        <v>0</v>
      </c>
      <c r="AC85" s="280">
        <v>0</v>
      </c>
      <c r="AD85" s="279">
        <v>0</v>
      </c>
      <c r="AE85" s="142">
        <v>0</v>
      </c>
      <c r="AF85" s="142">
        <v>0</v>
      </c>
      <c r="AG85" s="142">
        <v>0</v>
      </c>
      <c r="AH85" s="142">
        <v>0</v>
      </c>
      <c r="AI85" s="279">
        <v>0</v>
      </c>
      <c r="AJ85" s="142">
        <v>0</v>
      </c>
      <c r="AK85" s="142">
        <v>0</v>
      </c>
      <c r="AL85" s="142">
        <v>0</v>
      </c>
      <c r="AM85" s="279">
        <v>0</v>
      </c>
      <c r="AN85" s="142">
        <v>0</v>
      </c>
      <c r="AO85" s="142">
        <v>0</v>
      </c>
      <c r="AP85" s="142">
        <v>0</v>
      </c>
      <c r="AQ85" s="279">
        <v>0</v>
      </c>
      <c r="AR85" s="147">
        <v>0</v>
      </c>
      <c r="AS85" s="147">
        <v>0</v>
      </c>
      <c r="AT85" s="147">
        <v>0</v>
      </c>
      <c r="AU85" s="147">
        <v>0</v>
      </c>
      <c r="AV85" s="279">
        <v>0</v>
      </c>
      <c r="AW85" s="142">
        <v>0</v>
      </c>
      <c r="AX85" s="142">
        <v>0</v>
      </c>
      <c r="AY85" s="142">
        <v>0</v>
      </c>
      <c r="AZ85" s="142">
        <v>0</v>
      </c>
      <c r="BA85" s="142">
        <v>0</v>
      </c>
      <c r="BB85" s="142">
        <v>0</v>
      </c>
      <c r="BC85" s="142">
        <v>0</v>
      </c>
    </row>
    <row r="86" spans="2:55" x14ac:dyDescent="0.25">
      <c r="B86" t="s">
        <v>823</v>
      </c>
      <c r="C86" s="79">
        <v>56</v>
      </c>
      <c r="D86" s="279">
        <v>10.47</v>
      </c>
      <c r="E86" s="147">
        <v>17.45</v>
      </c>
      <c r="F86" s="147">
        <v>0</v>
      </c>
      <c r="G86" s="147">
        <v>0</v>
      </c>
      <c r="H86" s="280">
        <v>0</v>
      </c>
      <c r="I86" s="279">
        <v>0</v>
      </c>
      <c r="J86" s="147">
        <v>0</v>
      </c>
      <c r="K86" s="147">
        <v>0</v>
      </c>
      <c r="L86" s="147">
        <v>0</v>
      </c>
      <c r="M86" s="279">
        <v>0</v>
      </c>
      <c r="N86" s="147">
        <v>0</v>
      </c>
      <c r="O86" s="147">
        <v>0</v>
      </c>
      <c r="P86" s="147">
        <v>0</v>
      </c>
      <c r="Q86" s="279">
        <v>0</v>
      </c>
      <c r="R86" s="147">
        <v>0</v>
      </c>
      <c r="S86" s="147">
        <v>0</v>
      </c>
      <c r="T86" s="147">
        <v>0</v>
      </c>
      <c r="U86" s="147">
        <v>0</v>
      </c>
      <c r="V86" s="279">
        <v>0</v>
      </c>
      <c r="W86" s="147">
        <v>0</v>
      </c>
      <c r="X86" s="147">
        <v>0</v>
      </c>
      <c r="Y86" s="147">
        <v>0</v>
      </c>
      <c r="Z86" s="279">
        <v>0</v>
      </c>
      <c r="AA86" s="147">
        <v>0</v>
      </c>
      <c r="AB86" s="147">
        <v>0</v>
      </c>
      <c r="AC86" s="280">
        <v>0</v>
      </c>
      <c r="AD86" s="279">
        <v>0</v>
      </c>
      <c r="AE86" s="142">
        <v>0</v>
      </c>
      <c r="AF86" s="142">
        <v>0</v>
      </c>
      <c r="AG86" s="142">
        <v>0</v>
      </c>
      <c r="AH86" s="142">
        <v>0</v>
      </c>
      <c r="AI86" s="279">
        <v>0</v>
      </c>
      <c r="AJ86" s="142">
        <v>0</v>
      </c>
      <c r="AK86" s="142">
        <v>0</v>
      </c>
      <c r="AL86" s="142">
        <v>0</v>
      </c>
      <c r="AM86" s="279">
        <v>0</v>
      </c>
      <c r="AN86" s="142">
        <v>0</v>
      </c>
      <c r="AO86" s="142">
        <v>0</v>
      </c>
      <c r="AP86" s="142">
        <v>0</v>
      </c>
      <c r="AQ86" s="279">
        <v>0</v>
      </c>
      <c r="AR86" s="147">
        <v>0</v>
      </c>
      <c r="AS86" s="147">
        <v>0</v>
      </c>
      <c r="AT86" s="147">
        <v>0</v>
      </c>
      <c r="AU86" s="147">
        <v>0</v>
      </c>
      <c r="AV86" s="279">
        <v>0</v>
      </c>
      <c r="AW86" s="142">
        <v>0</v>
      </c>
      <c r="AX86" s="142">
        <v>0</v>
      </c>
      <c r="AY86" s="142">
        <v>0</v>
      </c>
      <c r="AZ86" s="142">
        <v>0</v>
      </c>
      <c r="BA86" s="142">
        <v>0</v>
      </c>
      <c r="BB86" s="142">
        <v>0</v>
      </c>
      <c r="BC86" s="142">
        <v>0</v>
      </c>
    </row>
    <row r="87" spans="2:55" x14ac:dyDescent="0.25">
      <c r="B87" t="s">
        <v>824</v>
      </c>
      <c r="C87" s="79">
        <v>39</v>
      </c>
      <c r="D87" s="279">
        <v>2663.85</v>
      </c>
      <c r="E87" s="147">
        <v>2443.15</v>
      </c>
      <c r="F87" s="147">
        <v>2628.2</v>
      </c>
      <c r="G87" s="147">
        <v>2040.4</v>
      </c>
      <c r="H87" s="280">
        <v>2416.15</v>
      </c>
      <c r="I87" s="279">
        <v>2173.35</v>
      </c>
      <c r="J87" s="147">
        <v>3153</v>
      </c>
      <c r="K87" s="147">
        <v>2392</v>
      </c>
      <c r="L87" s="147">
        <v>3782.35</v>
      </c>
      <c r="M87" s="279">
        <v>1979.15</v>
      </c>
      <c r="N87" s="147">
        <v>2495.85</v>
      </c>
      <c r="O87" s="147">
        <v>2550.9499999999998</v>
      </c>
      <c r="P87" s="147">
        <v>2623.9</v>
      </c>
      <c r="Q87" s="279">
        <v>2413.6</v>
      </c>
      <c r="R87" s="147">
        <v>4332.7</v>
      </c>
      <c r="S87" s="147">
        <v>2689.05</v>
      </c>
      <c r="T87" s="147">
        <v>4572.05</v>
      </c>
      <c r="U87" s="147">
        <v>2542.5500000000002</v>
      </c>
      <c r="V87" s="279">
        <v>4694.8500000000004</v>
      </c>
      <c r="W87" s="147">
        <v>6766.4</v>
      </c>
      <c r="X87" s="147">
        <v>2946.65</v>
      </c>
      <c r="Y87" s="147">
        <v>3165.9</v>
      </c>
      <c r="Z87" s="279">
        <v>2509.9</v>
      </c>
      <c r="AA87" s="147">
        <v>2920.15</v>
      </c>
      <c r="AB87" s="147">
        <v>3830.75</v>
      </c>
      <c r="AC87" s="280">
        <v>2839.05</v>
      </c>
      <c r="AD87" s="279">
        <v>3099.4</v>
      </c>
      <c r="AE87" s="142">
        <v>3670.8</v>
      </c>
      <c r="AF87" s="142">
        <v>8420.2000000000007</v>
      </c>
      <c r="AG87" s="142">
        <v>3197.55</v>
      </c>
      <c r="AH87" s="142">
        <v>2669.85</v>
      </c>
      <c r="AI87" s="279">
        <v>8664.75</v>
      </c>
      <c r="AJ87" s="142">
        <v>8221.4500000000007</v>
      </c>
      <c r="AK87" s="142">
        <v>8137.85</v>
      </c>
      <c r="AL87" s="142">
        <v>3452.7</v>
      </c>
      <c r="AM87" s="279">
        <v>3568.3</v>
      </c>
      <c r="AN87" s="142">
        <v>8221.5499999999993</v>
      </c>
      <c r="AO87" s="142">
        <v>7195.7</v>
      </c>
      <c r="AP87" s="142">
        <v>7782.3</v>
      </c>
      <c r="AQ87" s="279">
        <v>2774.05</v>
      </c>
      <c r="AR87" s="147">
        <v>9056.1</v>
      </c>
      <c r="AS87" s="147">
        <v>3027.85</v>
      </c>
      <c r="AT87" s="147">
        <v>2735.65</v>
      </c>
      <c r="AU87" s="147">
        <v>7693.25</v>
      </c>
      <c r="AV87" s="279">
        <v>8494.65</v>
      </c>
      <c r="AW87" s="142">
        <v>2985.5</v>
      </c>
      <c r="AX87" s="142">
        <v>7998.2</v>
      </c>
      <c r="AY87" s="142">
        <v>3158.8</v>
      </c>
      <c r="AZ87" s="142">
        <v>8181.1</v>
      </c>
      <c r="BA87" s="142">
        <v>7583.9</v>
      </c>
      <c r="BB87" s="142">
        <v>3156.35</v>
      </c>
      <c r="BC87" s="142">
        <v>3119.65</v>
      </c>
    </row>
    <row r="88" spans="2:55" x14ac:dyDescent="0.25">
      <c r="B88" t="s">
        <v>826</v>
      </c>
      <c r="C88" s="79">
        <v>40</v>
      </c>
      <c r="D88" s="279">
        <v>560.46</v>
      </c>
      <c r="E88" s="147">
        <v>555.17999999999995</v>
      </c>
      <c r="F88" s="147">
        <v>567.29</v>
      </c>
      <c r="G88" s="147">
        <v>449.1</v>
      </c>
      <c r="H88" s="280">
        <v>517.9</v>
      </c>
      <c r="I88" s="279">
        <v>467.25</v>
      </c>
      <c r="J88" s="147">
        <v>628.34</v>
      </c>
      <c r="K88" s="147">
        <v>502.28</v>
      </c>
      <c r="L88" s="147">
        <v>694.67</v>
      </c>
      <c r="M88" s="279">
        <v>437.14</v>
      </c>
      <c r="N88" s="147">
        <v>515.78</v>
      </c>
      <c r="O88" s="147">
        <v>573.73</v>
      </c>
      <c r="P88" s="147">
        <v>539.96</v>
      </c>
      <c r="Q88" s="279">
        <v>503.73</v>
      </c>
      <c r="R88" s="147">
        <v>800.19</v>
      </c>
      <c r="S88" s="147">
        <v>592.52</v>
      </c>
      <c r="T88" s="147">
        <v>820.56</v>
      </c>
      <c r="U88" s="147">
        <v>584.98</v>
      </c>
      <c r="V88" s="279">
        <v>1088.93</v>
      </c>
      <c r="W88" s="147">
        <v>1150.49</v>
      </c>
      <c r="X88" s="147">
        <v>718.9</v>
      </c>
      <c r="Y88" s="147">
        <v>733.46</v>
      </c>
      <c r="Z88" s="279">
        <v>569.91999999999996</v>
      </c>
      <c r="AA88" s="147">
        <v>673.6</v>
      </c>
      <c r="AB88" s="147">
        <v>808.6</v>
      </c>
      <c r="AC88" s="280">
        <v>639.87</v>
      </c>
      <c r="AD88" s="279">
        <v>742.88</v>
      </c>
      <c r="AE88" s="142">
        <v>843.85</v>
      </c>
      <c r="AF88" s="142">
        <v>2211.7800000000002</v>
      </c>
      <c r="AG88" s="142">
        <v>727.54</v>
      </c>
      <c r="AH88" s="142">
        <v>607.48</v>
      </c>
      <c r="AI88" s="279">
        <v>2324.4699999999998</v>
      </c>
      <c r="AJ88" s="142">
        <v>2098.35</v>
      </c>
      <c r="AK88" s="142">
        <v>2056.8200000000002</v>
      </c>
      <c r="AL88" s="142">
        <v>674.13</v>
      </c>
      <c r="AM88" s="279">
        <v>700.48</v>
      </c>
      <c r="AN88" s="142">
        <v>2188.77</v>
      </c>
      <c r="AO88" s="142">
        <v>1174.96</v>
      </c>
      <c r="AP88" s="142">
        <v>2005.13</v>
      </c>
      <c r="AQ88" s="279">
        <v>464.75</v>
      </c>
      <c r="AR88" s="147">
        <v>2050.7399999999998</v>
      </c>
      <c r="AS88" s="147">
        <v>536.42999999999995</v>
      </c>
      <c r="AT88" s="147">
        <v>487.77</v>
      </c>
      <c r="AU88" s="147">
        <v>1969.45</v>
      </c>
      <c r="AV88" s="279">
        <v>2154.9899999999998</v>
      </c>
      <c r="AW88" s="142">
        <v>551.74</v>
      </c>
      <c r="AX88" s="142">
        <v>2013.52</v>
      </c>
      <c r="AY88" s="142">
        <v>566.29999999999995</v>
      </c>
      <c r="AZ88" s="142">
        <v>2005.4</v>
      </c>
      <c r="BA88" s="142">
        <v>1973.74</v>
      </c>
      <c r="BB88" s="142">
        <v>487.24</v>
      </c>
      <c r="BC88" s="142">
        <v>578.01</v>
      </c>
    </row>
    <row r="89" spans="2:55" x14ac:dyDescent="0.25">
      <c r="B89" t="s">
        <v>832</v>
      </c>
      <c r="D89" s="279">
        <v>6</v>
      </c>
      <c r="E89" s="147">
        <v>9</v>
      </c>
      <c r="F89" s="147">
        <v>15</v>
      </c>
      <c r="G89" s="147">
        <v>53.65</v>
      </c>
      <c r="H89" s="280">
        <v>6</v>
      </c>
      <c r="I89" s="279">
        <v>6</v>
      </c>
      <c r="J89" s="147">
        <v>6</v>
      </c>
      <c r="K89" s="147">
        <v>12</v>
      </c>
      <c r="L89" s="147">
        <v>0</v>
      </c>
      <c r="M89" s="279">
        <v>0</v>
      </c>
      <c r="N89" s="147">
        <v>3</v>
      </c>
      <c r="O89" s="147">
        <v>3</v>
      </c>
      <c r="P89" s="147">
        <v>6</v>
      </c>
      <c r="Q89" s="279">
        <v>6</v>
      </c>
      <c r="R89" s="147">
        <v>12</v>
      </c>
      <c r="S89" s="147">
        <v>3</v>
      </c>
      <c r="T89" s="147">
        <v>18</v>
      </c>
      <c r="U89" s="147">
        <v>3</v>
      </c>
      <c r="V89" s="279">
        <v>9</v>
      </c>
      <c r="W89" s="147">
        <v>12</v>
      </c>
      <c r="X89" s="147">
        <v>9</v>
      </c>
      <c r="Y89" s="147">
        <v>12</v>
      </c>
      <c r="Z89" s="279">
        <v>6</v>
      </c>
      <c r="AA89" s="147">
        <v>6</v>
      </c>
      <c r="AB89" s="147">
        <v>15</v>
      </c>
      <c r="AC89" s="280">
        <v>3</v>
      </c>
      <c r="AD89" s="279">
        <v>12</v>
      </c>
      <c r="AE89" s="142">
        <v>18</v>
      </c>
      <c r="AF89" s="142">
        <v>9</v>
      </c>
      <c r="AG89" s="142">
        <v>9</v>
      </c>
      <c r="AH89" s="142">
        <v>9</v>
      </c>
      <c r="AI89" s="279">
        <v>12</v>
      </c>
      <c r="AJ89" s="142">
        <v>15</v>
      </c>
      <c r="AK89" s="142">
        <v>15</v>
      </c>
      <c r="AL89" s="142">
        <v>15</v>
      </c>
      <c r="AM89" s="279">
        <v>15</v>
      </c>
      <c r="AN89" s="142">
        <v>6</v>
      </c>
      <c r="AO89" s="142">
        <v>12</v>
      </c>
      <c r="AP89" s="142">
        <v>15</v>
      </c>
      <c r="AQ89" s="279">
        <v>9</v>
      </c>
      <c r="AR89" s="147">
        <v>12</v>
      </c>
      <c r="AS89" s="147">
        <v>3</v>
      </c>
      <c r="AT89" s="147">
        <v>12</v>
      </c>
      <c r="AU89" s="147">
        <v>9</v>
      </c>
      <c r="AV89" s="279">
        <v>6</v>
      </c>
      <c r="AW89" s="142">
        <v>12</v>
      </c>
      <c r="AX89" s="142">
        <v>12</v>
      </c>
      <c r="AY89" s="142">
        <v>12</v>
      </c>
      <c r="AZ89" s="142">
        <v>15</v>
      </c>
      <c r="BA89" s="142">
        <v>6</v>
      </c>
      <c r="BB89" s="142">
        <v>12</v>
      </c>
      <c r="BC89" s="142">
        <v>6</v>
      </c>
    </row>
    <row r="90" spans="2:55" x14ac:dyDescent="0.25">
      <c r="B90" t="s">
        <v>828</v>
      </c>
      <c r="C90"/>
      <c r="D90" s="281">
        <v>3342</v>
      </c>
      <c r="E90">
        <v>3330</v>
      </c>
      <c r="F90">
        <v>3431</v>
      </c>
      <c r="G90">
        <v>2971</v>
      </c>
      <c r="H90" s="282">
        <v>2919</v>
      </c>
      <c r="I90" s="281">
        <v>2942</v>
      </c>
      <c r="J90">
        <v>2678</v>
      </c>
      <c r="K90">
        <v>3110</v>
      </c>
      <c r="L90">
        <v>3131</v>
      </c>
      <c r="M90" s="281">
        <v>2481</v>
      </c>
      <c r="N90">
        <v>2481</v>
      </c>
      <c r="O90">
        <v>2888</v>
      </c>
      <c r="P90">
        <v>3036</v>
      </c>
      <c r="Q90" s="281">
        <v>3059</v>
      </c>
      <c r="R90">
        <v>3072</v>
      </c>
      <c r="S90">
        <v>2998</v>
      </c>
      <c r="T90">
        <v>3090</v>
      </c>
      <c r="U90">
        <v>3180</v>
      </c>
      <c r="V90" s="281">
        <v>3281</v>
      </c>
      <c r="W90">
        <v>3462</v>
      </c>
      <c r="X90">
        <v>3145</v>
      </c>
      <c r="Y90">
        <v>3383</v>
      </c>
      <c r="Z90" s="281">
        <v>3028</v>
      </c>
      <c r="AA90">
        <v>3478</v>
      </c>
      <c r="AB90">
        <v>3379</v>
      </c>
      <c r="AC90" s="282">
        <v>3521</v>
      </c>
      <c r="AD90" s="281">
        <v>3286</v>
      </c>
      <c r="AE90">
        <v>3404</v>
      </c>
      <c r="AF90">
        <v>3373</v>
      </c>
      <c r="AG90">
        <v>3395</v>
      </c>
      <c r="AH90">
        <v>3335</v>
      </c>
      <c r="AI90" s="281">
        <v>3479</v>
      </c>
      <c r="AJ90">
        <v>3531</v>
      </c>
      <c r="AK90">
        <v>3639</v>
      </c>
      <c r="AL90">
        <v>3631</v>
      </c>
      <c r="AM90" s="281">
        <v>3763</v>
      </c>
      <c r="AN90">
        <v>3275</v>
      </c>
      <c r="AO90">
        <v>3576</v>
      </c>
      <c r="AP90">
        <v>3419</v>
      </c>
      <c r="AQ90" s="281">
        <v>3399</v>
      </c>
      <c r="AR90">
        <v>3594</v>
      </c>
      <c r="AS90">
        <v>3347</v>
      </c>
      <c r="AT90">
        <v>3416</v>
      </c>
      <c r="AU90">
        <v>3547</v>
      </c>
      <c r="AV90" s="281">
        <v>3588</v>
      </c>
      <c r="AW90" s="98">
        <v>3292</v>
      </c>
      <c r="AX90" s="98">
        <v>3386</v>
      </c>
      <c r="AY90" s="98">
        <v>3553</v>
      </c>
      <c r="AZ90" s="98">
        <v>3437</v>
      </c>
      <c r="BA90" s="98">
        <v>3366</v>
      </c>
      <c r="BB90" s="98">
        <v>3461</v>
      </c>
      <c r="BC90" s="98">
        <v>3365</v>
      </c>
    </row>
    <row r="91" spans="2:55" x14ac:dyDescent="0.25">
      <c r="D91" s="302">
        <f t="shared" ref="D91:I91" si="27">D60</f>
        <v>45591</v>
      </c>
      <c r="E91" s="303">
        <f t="shared" si="27"/>
        <v>45598</v>
      </c>
      <c r="F91" s="303">
        <f t="shared" si="27"/>
        <v>45605</v>
      </c>
      <c r="G91" s="303">
        <f t="shared" si="27"/>
        <v>45612</v>
      </c>
      <c r="H91" s="304">
        <f t="shared" si="27"/>
        <v>45619</v>
      </c>
      <c r="I91" s="302">
        <f t="shared" si="27"/>
        <v>45626</v>
      </c>
      <c r="J91" s="303">
        <f>J60</f>
        <v>45633</v>
      </c>
      <c r="K91" s="303">
        <f t="shared" ref="K91:BC91" si="28">K60</f>
        <v>45640</v>
      </c>
      <c r="L91" s="303">
        <f t="shared" si="28"/>
        <v>45647</v>
      </c>
      <c r="M91" s="302">
        <f t="shared" si="28"/>
        <v>45654</v>
      </c>
      <c r="N91" s="303">
        <f t="shared" si="28"/>
        <v>45661</v>
      </c>
      <c r="O91" s="303">
        <f t="shared" si="28"/>
        <v>45668</v>
      </c>
      <c r="P91" s="303">
        <f t="shared" si="28"/>
        <v>45675</v>
      </c>
      <c r="Q91" s="302">
        <f t="shared" si="28"/>
        <v>45682</v>
      </c>
      <c r="R91" s="303">
        <f t="shared" si="28"/>
        <v>45689</v>
      </c>
      <c r="S91" s="303">
        <f t="shared" si="28"/>
        <v>45696</v>
      </c>
      <c r="T91" s="303">
        <f t="shared" si="28"/>
        <v>45703</v>
      </c>
      <c r="U91" s="303">
        <f t="shared" si="28"/>
        <v>45710</v>
      </c>
      <c r="V91" s="302">
        <f t="shared" si="28"/>
        <v>45717</v>
      </c>
      <c r="W91" s="303">
        <f t="shared" si="28"/>
        <v>45724</v>
      </c>
      <c r="X91" s="303">
        <f t="shared" si="28"/>
        <v>45731</v>
      </c>
      <c r="Y91" s="303">
        <f t="shared" si="28"/>
        <v>45738</v>
      </c>
      <c r="Z91" s="302">
        <f t="shared" si="28"/>
        <v>45745</v>
      </c>
      <c r="AA91" s="303">
        <f t="shared" si="28"/>
        <v>45752</v>
      </c>
      <c r="AB91" s="303">
        <f t="shared" si="28"/>
        <v>45759</v>
      </c>
      <c r="AC91" s="304">
        <f t="shared" si="28"/>
        <v>45766</v>
      </c>
      <c r="AD91" s="302">
        <f t="shared" si="28"/>
        <v>45773</v>
      </c>
      <c r="AE91" s="303">
        <f t="shared" si="28"/>
        <v>45780</v>
      </c>
      <c r="AF91" s="303">
        <f t="shared" si="28"/>
        <v>45787</v>
      </c>
      <c r="AG91" s="303">
        <f t="shared" si="28"/>
        <v>45794</v>
      </c>
      <c r="AH91" s="303">
        <f t="shared" si="28"/>
        <v>45801</v>
      </c>
      <c r="AI91" s="302">
        <f t="shared" si="28"/>
        <v>45808</v>
      </c>
      <c r="AJ91" s="303">
        <f t="shared" si="28"/>
        <v>45815</v>
      </c>
      <c r="AK91" s="303">
        <f t="shared" si="28"/>
        <v>45822</v>
      </c>
      <c r="AL91" s="303">
        <f t="shared" si="28"/>
        <v>45829</v>
      </c>
      <c r="AM91" s="302">
        <f t="shared" si="28"/>
        <v>45836</v>
      </c>
      <c r="AN91" s="303">
        <f t="shared" si="28"/>
        <v>45843</v>
      </c>
      <c r="AO91" s="303">
        <f t="shared" si="28"/>
        <v>45850</v>
      </c>
      <c r="AP91" s="303">
        <f t="shared" si="28"/>
        <v>45857</v>
      </c>
      <c r="AQ91" s="302">
        <f t="shared" si="28"/>
        <v>45864</v>
      </c>
      <c r="AR91" s="303">
        <f t="shared" si="28"/>
        <v>45871</v>
      </c>
      <c r="AS91" s="303">
        <f t="shared" si="28"/>
        <v>45878</v>
      </c>
      <c r="AT91" s="303">
        <f t="shared" si="28"/>
        <v>45885</v>
      </c>
      <c r="AU91" s="303">
        <f t="shared" si="28"/>
        <v>45892</v>
      </c>
      <c r="AV91" s="302">
        <f t="shared" si="28"/>
        <v>45899</v>
      </c>
      <c r="AW91" s="303">
        <f t="shared" si="28"/>
        <v>45906</v>
      </c>
      <c r="AX91" s="303">
        <f t="shared" si="28"/>
        <v>45913</v>
      </c>
      <c r="AY91" s="303">
        <f t="shared" si="28"/>
        <v>45920</v>
      </c>
      <c r="AZ91" s="303">
        <f t="shared" si="28"/>
        <v>45927</v>
      </c>
      <c r="BA91" s="303">
        <f t="shared" si="28"/>
        <v>45934</v>
      </c>
      <c r="BB91" s="303">
        <f t="shared" si="28"/>
        <v>45941</v>
      </c>
      <c r="BC91" s="303">
        <f t="shared" si="28"/>
        <v>45948</v>
      </c>
    </row>
    <row r="92" spans="2:55" x14ac:dyDescent="0.25">
      <c r="B92" s="142" t="s">
        <v>833</v>
      </c>
      <c r="D92" s="279">
        <f t="shared" ref="D92:BC92" si="29">D61+D87+D88+D89</f>
        <v>59914.77</v>
      </c>
      <c r="E92" s="147">
        <f t="shared" si="29"/>
        <v>62293.64</v>
      </c>
      <c r="F92" s="147">
        <f t="shared" si="29"/>
        <v>59590.400000000001</v>
      </c>
      <c r="G92" s="147">
        <f t="shared" si="29"/>
        <v>52226.93</v>
      </c>
      <c r="H92" s="280">
        <f t="shared" si="29"/>
        <v>61198.950000000004</v>
      </c>
      <c r="I92" s="279">
        <f t="shared" si="29"/>
        <v>55326.17</v>
      </c>
      <c r="J92" s="147">
        <f t="shared" si="29"/>
        <v>70407.319999999992</v>
      </c>
      <c r="K92" s="147">
        <f t="shared" si="29"/>
        <v>65872.69</v>
      </c>
      <c r="L92" s="147">
        <f t="shared" si="29"/>
        <v>65221.71</v>
      </c>
      <c r="M92" s="279">
        <f t="shared" si="29"/>
        <v>49745.48</v>
      </c>
      <c r="N92" s="147">
        <f t="shared" si="29"/>
        <v>43954.06</v>
      </c>
      <c r="O92" s="147">
        <f t="shared" si="29"/>
        <v>86523.79</v>
      </c>
      <c r="P92" s="147">
        <f t="shared" si="29"/>
        <v>53063.24</v>
      </c>
      <c r="Q92" s="279">
        <f t="shared" si="29"/>
        <v>63355.700000000004</v>
      </c>
      <c r="R92" s="147">
        <f t="shared" si="29"/>
        <v>61477.99</v>
      </c>
      <c r="S92" s="147">
        <f t="shared" si="29"/>
        <v>57917.08</v>
      </c>
      <c r="T92" s="147">
        <f t="shared" si="29"/>
        <v>55764.44</v>
      </c>
      <c r="U92" s="147">
        <f t="shared" si="29"/>
        <v>58632.900000000009</v>
      </c>
      <c r="V92" s="279">
        <f t="shared" si="29"/>
        <v>61095.57</v>
      </c>
      <c r="W92" s="147">
        <f t="shared" si="29"/>
        <v>65663.14</v>
      </c>
      <c r="X92" s="147">
        <f t="shared" si="29"/>
        <v>57047.280000000006</v>
      </c>
      <c r="Y92" s="147">
        <f t="shared" si="29"/>
        <v>65816.430000000008</v>
      </c>
      <c r="Z92" s="279">
        <f t="shared" si="29"/>
        <v>60165.93</v>
      </c>
      <c r="AA92" s="147">
        <f t="shared" si="29"/>
        <v>60566.42</v>
      </c>
      <c r="AB92" s="147">
        <f t="shared" si="29"/>
        <v>68248.080000000016</v>
      </c>
      <c r="AC92" s="280">
        <f t="shared" si="29"/>
        <v>63607.220000000008</v>
      </c>
      <c r="AD92" s="279">
        <f t="shared" si="29"/>
        <v>56980.79</v>
      </c>
      <c r="AE92" s="142">
        <f t="shared" si="29"/>
        <v>69114.560000000012</v>
      </c>
      <c r="AF92" s="142">
        <f t="shared" si="29"/>
        <v>74680.44</v>
      </c>
      <c r="AG92" s="142">
        <f t="shared" si="29"/>
        <v>68361.87999999999</v>
      </c>
      <c r="AH92" s="142">
        <f t="shared" si="29"/>
        <v>58792.55</v>
      </c>
      <c r="AI92" s="279">
        <f t="shared" si="29"/>
        <v>77374.98</v>
      </c>
      <c r="AJ92" s="142">
        <f t="shared" si="29"/>
        <v>98386.650000000009</v>
      </c>
      <c r="AK92" s="142">
        <f t="shared" si="29"/>
        <v>75652.94</v>
      </c>
      <c r="AL92" s="142">
        <f t="shared" si="29"/>
        <v>109237.46</v>
      </c>
      <c r="AM92" s="279">
        <f t="shared" si="29"/>
        <v>82569.069999999992</v>
      </c>
      <c r="AN92" s="142">
        <f t="shared" si="29"/>
        <v>84162.670000000013</v>
      </c>
      <c r="AO92" s="142">
        <f t="shared" si="29"/>
        <v>79765.7</v>
      </c>
      <c r="AP92" s="142">
        <f t="shared" si="29"/>
        <v>74933.66</v>
      </c>
      <c r="AQ92" s="279">
        <f t="shared" si="29"/>
        <v>65934.06</v>
      </c>
      <c r="AR92" s="147">
        <f t="shared" si="29"/>
        <v>79689.760000000009</v>
      </c>
      <c r="AS92" s="147">
        <f t="shared" si="29"/>
        <v>66206.159999999989</v>
      </c>
      <c r="AT92" s="147">
        <f t="shared" si="29"/>
        <v>65630.080000000002</v>
      </c>
      <c r="AU92" s="147">
        <f t="shared" si="29"/>
        <v>79425.62999999999</v>
      </c>
      <c r="AV92" s="279">
        <f t="shared" si="29"/>
        <v>75314.080000000002</v>
      </c>
      <c r="AW92" s="142">
        <f t="shared" si="29"/>
        <v>60873.32</v>
      </c>
      <c r="AX92" s="142">
        <f t="shared" si="29"/>
        <v>79419.17</v>
      </c>
      <c r="AY92" s="142">
        <f t="shared" si="29"/>
        <v>62914.500000000007</v>
      </c>
      <c r="AZ92" s="142">
        <f t="shared" si="29"/>
        <v>78270.13</v>
      </c>
      <c r="BA92" s="142">
        <f t="shared" si="29"/>
        <v>76929.3</v>
      </c>
      <c r="BB92" s="142">
        <f t="shared" si="29"/>
        <v>63868.49</v>
      </c>
      <c r="BC92" s="142">
        <f t="shared" si="29"/>
        <v>93474.51</v>
      </c>
    </row>
    <row r="93" spans="2:55" x14ac:dyDescent="0.25">
      <c r="B93" s="142" t="s">
        <v>834</v>
      </c>
      <c r="D93" s="279">
        <f t="shared" ref="D93:J94" si="30">D62</f>
        <v>9842.31</v>
      </c>
      <c r="E93" s="147">
        <f t="shared" si="30"/>
        <v>10582.35</v>
      </c>
      <c r="F93" s="147">
        <f t="shared" si="30"/>
        <v>9284.5300000000007</v>
      </c>
      <c r="G93" s="147">
        <f t="shared" si="30"/>
        <v>8328.31</v>
      </c>
      <c r="H93" s="280">
        <f t="shared" si="30"/>
        <v>10308.620000000001</v>
      </c>
      <c r="I93" s="279">
        <f t="shared" si="30"/>
        <v>17972.25</v>
      </c>
      <c r="J93" s="147">
        <f t="shared" si="30"/>
        <v>10814.09</v>
      </c>
      <c r="K93" s="147">
        <f>K62</f>
        <v>9521.06</v>
      </c>
      <c r="L93" s="147">
        <f t="shared" ref="L93:BC94" si="31">L62</f>
        <v>9472.92</v>
      </c>
      <c r="M93" s="279">
        <f t="shared" si="31"/>
        <v>5768.79</v>
      </c>
      <c r="N93" s="147">
        <f t="shared" si="31"/>
        <v>6357.5</v>
      </c>
      <c r="O93" s="147">
        <f t="shared" si="31"/>
        <v>9349.09</v>
      </c>
      <c r="P93" s="147">
        <f t="shared" si="31"/>
        <v>9419.4699999999993</v>
      </c>
      <c r="Q93" s="279">
        <f t="shared" si="31"/>
        <v>14383.24</v>
      </c>
      <c r="R93" s="147">
        <f t="shared" si="31"/>
        <v>10229.98</v>
      </c>
      <c r="S93" s="147">
        <f t="shared" si="31"/>
        <v>7524.08</v>
      </c>
      <c r="T93" s="147">
        <f t="shared" si="31"/>
        <v>9798.92</v>
      </c>
      <c r="U93" s="147">
        <f t="shared" si="31"/>
        <v>8333.08</v>
      </c>
      <c r="V93" s="279">
        <f t="shared" si="31"/>
        <v>10628.92</v>
      </c>
      <c r="W93" s="147">
        <f t="shared" si="31"/>
        <v>9326.39</v>
      </c>
      <c r="X93" s="147">
        <f t="shared" si="31"/>
        <v>8465.4599999999991</v>
      </c>
      <c r="Y93" s="147">
        <f t="shared" si="31"/>
        <v>11599.56</v>
      </c>
      <c r="Z93" s="279">
        <f t="shared" si="31"/>
        <v>9183.35</v>
      </c>
      <c r="AA93" s="147">
        <f t="shared" si="31"/>
        <v>11075.85</v>
      </c>
      <c r="AB93" s="147">
        <f t="shared" si="31"/>
        <v>9172.07</v>
      </c>
      <c r="AC93" s="280">
        <f t="shared" si="31"/>
        <v>11258.9</v>
      </c>
      <c r="AD93" s="279">
        <f t="shared" si="31"/>
        <v>10997.09</v>
      </c>
      <c r="AE93" s="142">
        <f t="shared" si="31"/>
        <v>10362.67</v>
      </c>
      <c r="AF93" s="142">
        <f t="shared" si="31"/>
        <v>9196.27</v>
      </c>
      <c r="AG93" s="142">
        <f t="shared" si="31"/>
        <v>17425.39</v>
      </c>
      <c r="AH93" s="142">
        <f t="shared" si="31"/>
        <v>10046.44</v>
      </c>
      <c r="AI93" s="279">
        <f t="shared" si="31"/>
        <v>12172.05</v>
      </c>
      <c r="AJ93" s="142">
        <f t="shared" si="31"/>
        <v>9656.93</v>
      </c>
      <c r="AK93" s="142">
        <f t="shared" si="31"/>
        <v>11278.36</v>
      </c>
      <c r="AL93" s="142">
        <f t="shared" si="31"/>
        <v>10985.43</v>
      </c>
      <c r="AM93" s="279">
        <f t="shared" si="31"/>
        <v>11338.07</v>
      </c>
      <c r="AN93" s="142">
        <f t="shared" si="31"/>
        <v>10164.94</v>
      </c>
      <c r="AO93" s="142">
        <f t="shared" si="31"/>
        <v>9509.65</v>
      </c>
      <c r="AP93" s="142">
        <f t="shared" si="31"/>
        <v>9199.93</v>
      </c>
      <c r="AQ93" s="279">
        <f t="shared" si="31"/>
        <v>9674.17</v>
      </c>
      <c r="AR93" s="147">
        <f t="shared" si="31"/>
        <v>11868.95</v>
      </c>
      <c r="AS93" s="147">
        <f t="shared" si="31"/>
        <v>10584.11</v>
      </c>
      <c r="AT93" s="147">
        <f t="shared" si="31"/>
        <v>9985.11</v>
      </c>
      <c r="AU93" s="147">
        <f t="shared" si="31"/>
        <v>11063.73</v>
      </c>
      <c r="AV93" s="279">
        <f t="shared" si="31"/>
        <v>11711.75</v>
      </c>
      <c r="AW93" s="142">
        <f t="shared" si="31"/>
        <v>10582.84</v>
      </c>
      <c r="AX93" s="142">
        <f t="shared" si="31"/>
        <v>11355.32</v>
      </c>
      <c r="AY93" s="142">
        <f t="shared" si="31"/>
        <v>9437.0300000000007</v>
      </c>
      <c r="AZ93" s="142">
        <f t="shared" si="31"/>
        <v>8753.42</v>
      </c>
      <c r="BA93" s="142">
        <f t="shared" si="31"/>
        <v>8622.93</v>
      </c>
      <c r="BB93" s="142">
        <f t="shared" si="31"/>
        <v>9323.5400000000009</v>
      </c>
      <c r="BC93" s="142">
        <f t="shared" si="31"/>
        <v>11051.81</v>
      </c>
    </row>
    <row r="94" spans="2:55" x14ac:dyDescent="0.25">
      <c r="B94" s="142" t="s">
        <v>782</v>
      </c>
      <c r="D94" s="279">
        <f t="shared" si="30"/>
        <v>2456.2199999999998</v>
      </c>
      <c r="E94" s="147">
        <f t="shared" si="30"/>
        <v>1722.17</v>
      </c>
      <c r="F94" s="147">
        <f t="shared" si="30"/>
        <v>2133.15</v>
      </c>
      <c r="G94" s="147">
        <f t="shared" si="30"/>
        <v>2446.92</v>
      </c>
      <c r="H94" s="280">
        <f t="shared" si="30"/>
        <v>1909.75</v>
      </c>
      <c r="I94" s="279">
        <f t="shared" si="30"/>
        <v>2186.2399999999998</v>
      </c>
      <c r="J94" s="147">
        <f t="shared" si="30"/>
        <v>3255.91</v>
      </c>
      <c r="K94" s="147">
        <f>K63</f>
        <v>2593.62</v>
      </c>
      <c r="L94" s="147">
        <f t="shared" si="31"/>
        <v>2515.83</v>
      </c>
      <c r="M94" s="279">
        <f t="shared" si="31"/>
        <v>1483.75</v>
      </c>
      <c r="N94" s="147">
        <f t="shared" si="31"/>
        <v>1458.99</v>
      </c>
      <c r="O94" s="147">
        <f t="shared" si="31"/>
        <v>2227.88</v>
      </c>
      <c r="P94" s="147">
        <f t="shared" si="31"/>
        <v>2440.8000000000002</v>
      </c>
      <c r="Q94" s="279">
        <f t="shared" si="31"/>
        <v>1582.24</v>
      </c>
      <c r="R94" s="147">
        <f t="shared" si="31"/>
        <v>6207.2</v>
      </c>
      <c r="S94" s="147">
        <f t="shared" si="31"/>
        <v>2434.67</v>
      </c>
      <c r="T94" s="147">
        <f t="shared" si="31"/>
        <v>2240.38</v>
      </c>
      <c r="U94" s="147">
        <f t="shared" si="31"/>
        <v>1607.8</v>
      </c>
      <c r="V94" s="279">
        <f t="shared" si="31"/>
        <v>2289.3000000000002</v>
      </c>
      <c r="W94" s="147">
        <f t="shared" si="31"/>
        <v>2208.64</v>
      </c>
      <c r="X94" s="147">
        <f t="shared" si="31"/>
        <v>2004.15</v>
      </c>
      <c r="Y94" s="147">
        <f t="shared" si="31"/>
        <v>3366.91</v>
      </c>
      <c r="Z94" s="279">
        <f t="shared" si="31"/>
        <v>1778.86</v>
      </c>
      <c r="AA94" s="147">
        <f t="shared" si="31"/>
        <v>2097.11</v>
      </c>
      <c r="AB94" s="147">
        <f t="shared" si="31"/>
        <v>2474.67</v>
      </c>
      <c r="AC94" s="280">
        <f t="shared" si="31"/>
        <v>1943.59</v>
      </c>
      <c r="AD94" s="279">
        <f t="shared" si="31"/>
        <v>1704.77</v>
      </c>
      <c r="AE94" s="142">
        <f t="shared" si="31"/>
        <v>2127.4</v>
      </c>
      <c r="AF94" s="142">
        <f t="shared" si="31"/>
        <v>2410.25</v>
      </c>
      <c r="AG94" s="142">
        <f t="shared" si="31"/>
        <v>4582.62</v>
      </c>
      <c r="AH94" s="142">
        <f t="shared" si="31"/>
        <v>2462.79</v>
      </c>
      <c r="AI94" s="279">
        <f t="shared" si="31"/>
        <v>2162.3200000000002</v>
      </c>
      <c r="AJ94" s="142">
        <f t="shared" si="31"/>
        <v>2254.59</v>
      </c>
      <c r="AK94" s="142">
        <f t="shared" si="31"/>
        <v>2935.06</v>
      </c>
      <c r="AL94" s="142">
        <f t="shared" si="31"/>
        <v>2898.1</v>
      </c>
      <c r="AM94" s="279">
        <f t="shared" si="31"/>
        <v>3567.97</v>
      </c>
      <c r="AN94" s="142">
        <f t="shared" si="31"/>
        <v>1817.31</v>
      </c>
      <c r="AO94" s="142">
        <f t="shared" si="31"/>
        <v>1935.19</v>
      </c>
      <c r="AP94" s="142">
        <f t="shared" si="31"/>
        <v>4250.09</v>
      </c>
      <c r="AQ94" s="279">
        <f t="shared" si="31"/>
        <v>1648.97</v>
      </c>
      <c r="AR94" s="147">
        <f t="shared" si="31"/>
        <v>2059.92</v>
      </c>
      <c r="AS94" s="147">
        <f t="shared" si="31"/>
        <v>1930.5</v>
      </c>
      <c r="AT94" s="147">
        <f t="shared" si="31"/>
        <v>5636.31</v>
      </c>
      <c r="AU94" s="147">
        <f t="shared" si="31"/>
        <v>3107.72</v>
      </c>
      <c r="AV94" s="279">
        <f t="shared" si="31"/>
        <v>2488.2199999999998</v>
      </c>
      <c r="AW94" s="142">
        <f t="shared" si="31"/>
        <v>2320.62</v>
      </c>
      <c r="AX94" s="142">
        <f t="shared" si="31"/>
        <v>2318.38</v>
      </c>
      <c r="AY94" s="142">
        <f t="shared" si="31"/>
        <v>1898.9</v>
      </c>
      <c r="AZ94" s="142">
        <f t="shared" si="31"/>
        <v>1929.14</v>
      </c>
      <c r="BA94" s="142">
        <f t="shared" si="31"/>
        <v>1803.25</v>
      </c>
      <c r="BB94" s="142">
        <f t="shared" si="31"/>
        <v>1873.03</v>
      </c>
      <c r="BC94" s="142">
        <f t="shared" si="31"/>
        <v>1754.91</v>
      </c>
    </row>
    <row r="95" spans="2:55" x14ac:dyDescent="0.25">
      <c r="B95" s="142" t="s">
        <v>835</v>
      </c>
      <c r="D95" s="283">
        <f t="shared" ref="D95:J95" si="32">D66+D67</f>
        <v>4200.2</v>
      </c>
      <c r="E95" s="284">
        <f t="shared" si="32"/>
        <v>2545.19</v>
      </c>
      <c r="F95" s="284">
        <f t="shared" si="32"/>
        <v>3137.75</v>
      </c>
      <c r="G95" s="284">
        <f t="shared" si="32"/>
        <v>4731.08</v>
      </c>
      <c r="H95" s="285">
        <f t="shared" si="32"/>
        <v>3018.21</v>
      </c>
      <c r="I95" s="283">
        <f t="shared" si="32"/>
        <v>3882.3530000000001</v>
      </c>
      <c r="J95" s="284">
        <f t="shared" si="32"/>
        <v>3938.36</v>
      </c>
      <c r="K95" s="284">
        <f>K66+K67</f>
        <v>4152.58</v>
      </c>
      <c r="L95" s="284">
        <f t="shared" ref="L95:BC95" si="33">L66+L67</f>
        <v>4002.23</v>
      </c>
      <c r="M95" s="283">
        <f t="shared" si="33"/>
        <v>2824.77</v>
      </c>
      <c r="N95" s="284">
        <f t="shared" si="33"/>
        <v>2586.9700000000003</v>
      </c>
      <c r="O95" s="284">
        <f t="shared" si="33"/>
        <v>3673.92</v>
      </c>
      <c r="P95" s="284">
        <f t="shared" si="33"/>
        <v>3193.8500000000004</v>
      </c>
      <c r="Q95" s="283">
        <f t="shared" si="33"/>
        <v>6766.6</v>
      </c>
      <c r="R95" s="284">
        <f t="shared" si="33"/>
        <v>3049.6400000000003</v>
      </c>
      <c r="S95" s="284">
        <f t="shared" si="33"/>
        <v>2473.9499999999998</v>
      </c>
      <c r="T95" s="284">
        <f t="shared" si="33"/>
        <v>2995.98</v>
      </c>
      <c r="U95" s="284">
        <f t="shared" si="33"/>
        <v>4737.5200000000004</v>
      </c>
      <c r="V95" s="283">
        <f t="shared" si="33"/>
        <v>6060.96</v>
      </c>
      <c r="W95" s="284">
        <f t="shared" si="33"/>
        <v>3541.7300000000005</v>
      </c>
      <c r="X95" s="284">
        <f t="shared" si="33"/>
        <v>2896.68</v>
      </c>
      <c r="Y95" s="284">
        <f t="shared" si="33"/>
        <v>4139.01</v>
      </c>
      <c r="Z95" s="283">
        <f t="shared" si="33"/>
        <v>3058.29</v>
      </c>
      <c r="AA95" s="284">
        <f t="shared" si="33"/>
        <v>3295.3500000000004</v>
      </c>
      <c r="AB95" s="284">
        <f t="shared" si="33"/>
        <v>3925.8199999999997</v>
      </c>
      <c r="AC95" s="285">
        <f t="shared" si="33"/>
        <v>4007.57</v>
      </c>
      <c r="AD95" s="283">
        <f t="shared" si="33"/>
        <v>3562.06</v>
      </c>
      <c r="AE95" s="284">
        <f t="shared" si="33"/>
        <v>3768.7799999999997</v>
      </c>
      <c r="AF95" s="284">
        <f t="shared" si="33"/>
        <v>2624.22</v>
      </c>
      <c r="AG95" s="284">
        <f t="shared" si="33"/>
        <v>5272.24</v>
      </c>
      <c r="AH95" s="284">
        <f t="shared" si="33"/>
        <v>3455.58</v>
      </c>
      <c r="AI95" s="283">
        <f t="shared" si="33"/>
        <v>3582.38</v>
      </c>
      <c r="AJ95" s="284">
        <f t="shared" si="33"/>
        <v>3640.5299999999997</v>
      </c>
      <c r="AK95" s="284">
        <f t="shared" si="33"/>
        <v>4678.08</v>
      </c>
      <c r="AL95" s="284">
        <f t="shared" si="33"/>
        <v>3924.21</v>
      </c>
      <c r="AM95" s="283">
        <f t="shared" si="33"/>
        <v>4278.29</v>
      </c>
      <c r="AN95" s="284">
        <f t="shared" si="33"/>
        <v>2736.23</v>
      </c>
      <c r="AO95" s="284">
        <f t="shared" si="33"/>
        <v>3790.9500000000003</v>
      </c>
      <c r="AP95" s="284">
        <f t="shared" si="33"/>
        <v>2951.8</v>
      </c>
      <c r="AQ95" s="283">
        <f t="shared" si="33"/>
        <v>1648.76</v>
      </c>
      <c r="AR95" s="284">
        <f t="shared" si="33"/>
        <v>2416.81</v>
      </c>
      <c r="AS95" s="284">
        <f t="shared" si="33"/>
        <v>3157.27</v>
      </c>
      <c r="AT95" s="284">
        <f t="shared" si="33"/>
        <v>4636.07</v>
      </c>
      <c r="AU95" s="284">
        <f t="shared" si="33"/>
        <v>4031.42</v>
      </c>
      <c r="AV95" s="283">
        <f t="shared" si="33"/>
        <v>3403.6499999999996</v>
      </c>
      <c r="AW95" s="284">
        <f t="shared" si="33"/>
        <v>3545.5299999999997</v>
      </c>
      <c r="AX95" s="284">
        <f t="shared" si="33"/>
        <v>3202.4300000000003</v>
      </c>
      <c r="AY95" s="284">
        <f t="shared" si="33"/>
        <v>3705.87</v>
      </c>
      <c r="AZ95" s="284">
        <f t="shared" si="33"/>
        <v>2630.14</v>
      </c>
      <c r="BA95" s="284">
        <f t="shared" si="33"/>
        <v>4052.6499999999996</v>
      </c>
      <c r="BB95" s="284">
        <f t="shared" si="33"/>
        <v>4089.66</v>
      </c>
      <c r="BC95" s="284">
        <f t="shared" si="33"/>
        <v>3246.82</v>
      </c>
    </row>
    <row r="96" spans="2:55" x14ac:dyDescent="0.25">
      <c r="B96" s="255" t="s">
        <v>833</v>
      </c>
      <c r="D96" s="286">
        <f t="shared" ref="D96:F96" si="34">SUM(D92:D95)</f>
        <v>76413.5</v>
      </c>
      <c r="E96" s="287">
        <f t="shared" si="34"/>
        <v>77143.350000000006</v>
      </c>
      <c r="F96" s="287">
        <f t="shared" si="34"/>
        <v>74145.83</v>
      </c>
      <c r="G96" s="287">
        <f t="shared" ref="G96:J96" si="35">SUM(G92:G95)</f>
        <v>67733.239999999991</v>
      </c>
      <c r="H96" s="288">
        <f t="shared" si="35"/>
        <v>76435.530000000013</v>
      </c>
      <c r="I96" s="286">
        <f t="shared" si="35"/>
        <v>79367.013000000006</v>
      </c>
      <c r="J96" s="287">
        <f t="shared" si="35"/>
        <v>88415.679999999993</v>
      </c>
      <c r="K96" s="287">
        <f>SUM(K92:K95)</f>
        <v>82139.95</v>
      </c>
      <c r="L96" s="287">
        <f t="shared" ref="L96:BC96" si="36">SUM(L92:L95)</f>
        <v>81212.69</v>
      </c>
      <c r="M96" s="286">
        <f t="shared" si="36"/>
        <v>59822.79</v>
      </c>
      <c r="N96" s="287">
        <f t="shared" si="36"/>
        <v>54357.52</v>
      </c>
      <c r="O96" s="287">
        <f t="shared" si="36"/>
        <v>101774.68</v>
      </c>
      <c r="P96" s="287">
        <f t="shared" si="36"/>
        <v>68117.36</v>
      </c>
      <c r="Q96" s="286">
        <f t="shared" si="36"/>
        <v>86087.780000000013</v>
      </c>
      <c r="R96" s="287">
        <f t="shared" si="36"/>
        <v>80964.81</v>
      </c>
      <c r="S96" s="287">
        <f t="shared" si="36"/>
        <v>70349.78</v>
      </c>
      <c r="T96" s="287">
        <f t="shared" si="36"/>
        <v>70799.72</v>
      </c>
      <c r="U96" s="287">
        <f t="shared" si="36"/>
        <v>73311.300000000017</v>
      </c>
      <c r="V96" s="286">
        <f t="shared" si="36"/>
        <v>80074.750000000015</v>
      </c>
      <c r="W96" s="287">
        <f t="shared" si="36"/>
        <v>80739.899999999994</v>
      </c>
      <c r="X96" s="287">
        <f t="shared" si="36"/>
        <v>70413.569999999992</v>
      </c>
      <c r="Y96" s="287">
        <f t="shared" si="36"/>
        <v>84921.91</v>
      </c>
      <c r="Z96" s="286">
        <f t="shared" si="36"/>
        <v>74186.429999999993</v>
      </c>
      <c r="AA96" s="287">
        <f t="shared" si="36"/>
        <v>77034.73000000001</v>
      </c>
      <c r="AB96" s="287">
        <f t="shared" si="36"/>
        <v>83820.640000000014</v>
      </c>
      <c r="AC96" s="288">
        <f t="shared" si="36"/>
        <v>80817.280000000013</v>
      </c>
      <c r="AD96" s="286">
        <f t="shared" si="36"/>
        <v>73244.710000000006</v>
      </c>
      <c r="AE96" s="255">
        <f t="shared" si="36"/>
        <v>85373.41</v>
      </c>
      <c r="AF96" s="255">
        <f t="shared" si="36"/>
        <v>88911.180000000008</v>
      </c>
      <c r="AG96" s="255">
        <f t="shared" si="36"/>
        <v>95642.12999999999</v>
      </c>
      <c r="AH96" s="255">
        <f t="shared" si="36"/>
        <v>74757.36</v>
      </c>
      <c r="AI96" s="286">
        <f t="shared" si="36"/>
        <v>95291.73000000001</v>
      </c>
      <c r="AJ96" s="255">
        <f t="shared" si="36"/>
        <v>113938.70000000001</v>
      </c>
      <c r="AK96" s="255">
        <f t="shared" si="36"/>
        <v>94544.44</v>
      </c>
      <c r="AL96" s="255">
        <f t="shared" si="36"/>
        <v>127045.20000000003</v>
      </c>
      <c r="AM96" s="286">
        <f t="shared" si="36"/>
        <v>101753.39999999998</v>
      </c>
      <c r="AN96" s="255">
        <f t="shared" si="36"/>
        <v>98881.150000000009</v>
      </c>
      <c r="AO96" s="255">
        <f t="shared" si="36"/>
        <v>95001.489999999991</v>
      </c>
      <c r="AP96" s="255">
        <f t="shared" si="36"/>
        <v>91335.48</v>
      </c>
      <c r="AQ96" s="286">
        <f t="shared" si="36"/>
        <v>78905.959999999992</v>
      </c>
      <c r="AR96" s="287">
        <f t="shared" si="36"/>
        <v>96035.44</v>
      </c>
      <c r="AS96" s="287">
        <f t="shared" si="36"/>
        <v>81878.039999999994</v>
      </c>
      <c r="AT96" s="287">
        <f t="shared" si="36"/>
        <v>85887.57</v>
      </c>
      <c r="AU96" s="287">
        <f t="shared" si="36"/>
        <v>97628.499999999985</v>
      </c>
      <c r="AV96" s="286">
        <f t="shared" si="36"/>
        <v>92917.7</v>
      </c>
      <c r="AW96" s="255">
        <f t="shared" si="36"/>
        <v>77322.31</v>
      </c>
      <c r="AX96" s="255">
        <f t="shared" si="36"/>
        <v>96295.299999999988</v>
      </c>
      <c r="AY96" s="255">
        <f t="shared" si="36"/>
        <v>77956.3</v>
      </c>
      <c r="AZ96" s="255">
        <f t="shared" si="36"/>
        <v>91582.83</v>
      </c>
      <c r="BA96" s="255">
        <f t="shared" si="36"/>
        <v>91408.13</v>
      </c>
      <c r="BB96" s="255">
        <f t="shared" si="36"/>
        <v>79154.720000000001</v>
      </c>
      <c r="BC96" s="255">
        <f t="shared" si="36"/>
        <v>109528.05</v>
      </c>
    </row>
    <row r="97" spans="2:55" x14ac:dyDescent="0.25">
      <c r="B97" s="255" t="s">
        <v>836</v>
      </c>
      <c r="D97" s="279">
        <f t="shared" ref="D97:BC98" si="37">D68</f>
        <v>27384.5</v>
      </c>
      <c r="E97" s="147">
        <f t="shared" si="37"/>
        <v>23963.95</v>
      </c>
      <c r="F97" s="147">
        <f t="shared" si="37"/>
        <v>23052.19</v>
      </c>
      <c r="G97" s="147">
        <f t="shared" si="37"/>
        <v>19445.95</v>
      </c>
      <c r="H97" s="280">
        <f t="shared" si="37"/>
        <v>19852.259999999998</v>
      </c>
      <c r="I97" s="279">
        <f t="shared" si="37"/>
        <v>18713.84</v>
      </c>
      <c r="J97" s="147">
        <f t="shared" si="37"/>
        <v>27089.94</v>
      </c>
      <c r="K97" s="147">
        <f t="shared" si="37"/>
        <v>20897.900000000001</v>
      </c>
      <c r="L97" s="147">
        <f t="shared" si="37"/>
        <v>27853.64</v>
      </c>
      <c r="M97" s="279">
        <f t="shared" si="37"/>
        <v>15491.76</v>
      </c>
      <c r="N97" s="147">
        <f t="shared" si="37"/>
        <v>21519.15</v>
      </c>
      <c r="O97" s="147">
        <f t="shared" si="37"/>
        <v>22507.94</v>
      </c>
      <c r="P97" s="147">
        <f t="shared" si="37"/>
        <v>26925.49</v>
      </c>
      <c r="Q97" s="279">
        <f t="shared" si="37"/>
        <v>21147.38</v>
      </c>
      <c r="R97" s="147">
        <f t="shared" si="37"/>
        <v>45488.88</v>
      </c>
      <c r="S97" s="147">
        <f t="shared" si="37"/>
        <v>22105.37</v>
      </c>
      <c r="T97" s="147">
        <f t="shared" si="37"/>
        <v>39371.410000000003</v>
      </c>
      <c r="U97" s="147">
        <f t="shared" si="37"/>
        <v>20415.12</v>
      </c>
      <c r="V97" s="279">
        <f t="shared" si="37"/>
        <v>76513.960000000006</v>
      </c>
      <c r="W97" s="147">
        <f t="shared" si="37"/>
        <v>57061.02</v>
      </c>
      <c r="X97" s="147">
        <f t="shared" si="37"/>
        <v>24648.71</v>
      </c>
      <c r="Y97" s="147">
        <f t="shared" si="37"/>
        <v>26204.46</v>
      </c>
      <c r="Z97" s="279">
        <f t="shared" si="37"/>
        <v>22123.040000000001</v>
      </c>
      <c r="AA97" s="147">
        <f t="shared" si="37"/>
        <v>26642.83</v>
      </c>
      <c r="AB97" s="147">
        <f t="shared" si="37"/>
        <v>35079.870000000003</v>
      </c>
      <c r="AC97" s="280">
        <f t="shared" si="37"/>
        <v>26099.439999999999</v>
      </c>
      <c r="AD97" s="279">
        <f t="shared" si="37"/>
        <v>25754.240000000002</v>
      </c>
      <c r="AE97" s="142">
        <f t="shared" si="37"/>
        <v>29985.15</v>
      </c>
      <c r="AF97" s="142">
        <f t="shared" si="37"/>
        <v>33059.949999999997</v>
      </c>
      <c r="AG97" s="142">
        <f t="shared" si="37"/>
        <v>29718.95</v>
      </c>
      <c r="AH97" s="142">
        <f t="shared" si="37"/>
        <v>24348.720000000001</v>
      </c>
      <c r="AI97" s="279">
        <f t="shared" si="37"/>
        <v>36722.18</v>
      </c>
      <c r="AJ97" s="142">
        <f t="shared" si="37"/>
        <v>30632.720000000001</v>
      </c>
      <c r="AK97" s="142">
        <f t="shared" si="37"/>
        <v>27910.25</v>
      </c>
      <c r="AL97" s="142">
        <f t="shared" si="37"/>
        <v>30125.1</v>
      </c>
      <c r="AM97" s="279">
        <f t="shared" si="37"/>
        <v>29531.65</v>
      </c>
      <c r="AN97" s="142">
        <f t="shared" si="37"/>
        <v>26950.32</v>
      </c>
      <c r="AO97" s="142">
        <f t="shared" si="37"/>
        <v>99302.16</v>
      </c>
      <c r="AP97" s="142">
        <f t="shared" si="37"/>
        <v>28427.16</v>
      </c>
      <c r="AQ97" s="279">
        <f t="shared" si="37"/>
        <v>28932.42</v>
      </c>
      <c r="AR97" s="147">
        <f t="shared" si="37"/>
        <v>35147.58</v>
      </c>
      <c r="AS97" s="147">
        <f t="shared" si="37"/>
        <v>34319.199999999997</v>
      </c>
      <c r="AT97" s="147">
        <f t="shared" si="37"/>
        <v>24454.26</v>
      </c>
      <c r="AU97" s="147">
        <f t="shared" si="37"/>
        <v>29578.240000000002</v>
      </c>
      <c r="AV97" s="279">
        <f t="shared" si="37"/>
        <v>29978.6</v>
      </c>
      <c r="AW97" s="142">
        <f t="shared" si="37"/>
        <v>30028.12</v>
      </c>
      <c r="AX97" s="142">
        <f t="shared" si="37"/>
        <v>31735.35</v>
      </c>
      <c r="AY97" s="142">
        <f t="shared" si="37"/>
        <v>31473.66</v>
      </c>
      <c r="AZ97" s="142">
        <f t="shared" si="37"/>
        <v>30521.98</v>
      </c>
      <c r="BA97" s="142">
        <f t="shared" si="37"/>
        <v>27022.97</v>
      </c>
      <c r="BB97" s="142">
        <f t="shared" si="37"/>
        <v>40081.769999999997</v>
      </c>
      <c r="BC97" s="142">
        <f t="shared" si="37"/>
        <v>26195.88</v>
      </c>
    </row>
    <row r="98" spans="2:55" x14ac:dyDescent="0.25">
      <c r="B98" s="255" t="s">
        <v>798</v>
      </c>
      <c r="D98" s="279">
        <f t="shared" si="37"/>
        <v>29920.2</v>
      </c>
      <c r="E98" s="147">
        <f t="shared" si="37"/>
        <v>34689.79</v>
      </c>
      <c r="F98" s="147">
        <f t="shared" si="37"/>
        <v>14649.71</v>
      </c>
      <c r="G98" s="147">
        <f t="shared" si="37"/>
        <v>8976.3700000000008</v>
      </c>
      <c r="H98" s="280">
        <f t="shared" si="37"/>
        <v>12082.66</v>
      </c>
      <c r="I98" s="279">
        <f t="shared" si="37"/>
        <v>12977.25</v>
      </c>
      <c r="J98" s="147">
        <f t="shared" si="37"/>
        <v>18665.580000000002</v>
      </c>
      <c r="K98" s="147">
        <f>K69</f>
        <v>21352.422999999999</v>
      </c>
      <c r="L98" s="147">
        <f t="shared" si="37"/>
        <v>18494.93</v>
      </c>
      <c r="M98" s="279">
        <f t="shared" si="37"/>
        <v>9792.27</v>
      </c>
      <c r="N98" s="147">
        <f t="shared" si="37"/>
        <v>9202.57</v>
      </c>
      <c r="O98" s="147">
        <f t="shared" si="37"/>
        <v>12255.93</v>
      </c>
      <c r="P98" s="147">
        <f t="shared" si="37"/>
        <v>11045.87</v>
      </c>
      <c r="Q98" s="279">
        <f t="shared" si="37"/>
        <v>11143.6</v>
      </c>
      <c r="R98" s="147">
        <f t="shared" si="37"/>
        <v>12472.19</v>
      </c>
      <c r="S98" s="147">
        <f t="shared" si="37"/>
        <v>11841.61</v>
      </c>
      <c r="T98" s="147">
        <f t="shared" si="37"/>
        <v>12380.34</v>
      </c>
      <c r="U98" s="147">
        <f t="shared" si="37"/>
        <v>13583.94</v>
      </c>
      <c r="V98" s="279">
        <f t="shared" si="37"/>
        <v>16130.87</v>
      </c>
      <c r="W98" s="147">
        <f t="shared" si="37"/>
        <v>11327.23</v>
      </c>
      <c r="X98" s="147">
        <f t="shared" si="37"/>
        <v>18715.87</v>
      </c>
      <c r="Y98" s="147">
        <f t="shared" si="37"/>
        <v>11814.96</v>
      </c>
      <c r="Z98" s="279">
        <f t="shared" si="37"/>
        <v>10600.4</v>
      </c>
      <c r="AA98" s="147">
        <f t="shared" si="37"/>
        <v>14723.22</v>
      </c>
      <c r="AB98" s="147">
        <f t="shared" si="37"/>
        <v>14100.97</v>
      </c>
      <c r="AC98" s="280">
        <f t="shared" si="37"/>
        <v>14193.58</v>
      </c>
      <c r="AD98" s="279">
        <f t="shared" si="37"/>
        <v>12443.56</v>
      </c>
      <c r="AE98" s="142">
        <f t="shared" si="37"/>
        <v>12586.69</v>
      </c>
      <c r="AF98" s="142">
        <f t="shared" si="37"/>
        <v>14817.83</v>
      </c>
      <c r="AG98" s="142">
        <f t="shared" si="37"/>
        <v>9473.32</v>
      </c>
      <c r="AH98" s="142">
        <f t="shared" si="37"/>
        <v>14098.28</v>
      </c>
      <c r="AI98" s="279">
        <f t="shared" si="37"/>
        <v>13356.15</v>
      </c>
      <c r="AJ98" s="142">
        <f t="shared" si="37"/>
        <v>11328.51</v>
      </c>
      <c r="AK98" s="142">
        <f t="shared" si="37"/>
        <v>12464.18</v>
      </c>
      <c r="AL98" s="142">
        <f t="shared" si="37"/>
        <v>18533.689999999999</v>
      </c>
      <c r="AM98" s="279">
        <f t="shared" si="37"/>
        <v>12685.05</v>
      </c>
      <c r="AN98" s="142">
        <f t="shared" si="37"/>
        <v>10634.53</v>
      </c>
      <c r="AO98" s="142">
        <f t="shared" si="37"/>
        <v>17530.46</v>
      </c>
      <c r="AP98" s="142">
        <f t="shared" si="37"/>
        <v>19573.86</v>
      </c>
      <c r="AQ98" s="279">
        <f t="shared" si="37"/>
        <v>16030.43</v>
      </c>
      <c r="AR98" s="147">
        <f t="shared" si="37"/>
        <v>12431.42</v>
      </c>
      <c r="AS98" s="147">
        <f t="shared" si="37"/>
        <v>29841.99</v>
      </c>
      <c r="AT98" s="147">
        <f t="shared" si="37"/>
        <v>11315.56</v>
      </c>
      <c r="AU98" s="147">
        <f t="shared" si="37"/>
        <v>11002.54</v>
      </c>
      <c r="AV98" s="279">
        <f t="shared" si="37"/>
        <v>12005.19</v>
      </c>
      <c r="AW98" s="142">
        <f t="shared" si="37"/>
        <v>14505.93</v>
      </c>
      <c r="AX98" s="142">
        <f t="shared" si="37"/>
        <v>11774.25</v>
      </c>
      <c r="AY98" s="142">
        <f t="shared" si="37"/>
        <v>13623.03</v>
      </c>
      <c r="AZ98" s="142">
        <f t="shared" si="37"/>
        <v>11017.24</v>
      </c>
      <c r="BA98" s="142">
        <f t="shared" si="37"/>
        <v>13788.96</v>
      </c>
      <c r="BB98" s="142">
        <f t="shared" si="37"/>
        <v>14122.01</v>
      </c>
      <c r="BC98" s="142">
        <f t="shared" si="37"/>
        <v>16356</v>
      </c>
    </row>
    <row r="99" spans="2:55" x14ac:dyDescent="0.25">
      <c r="B99" s="255" t="s">
        <v>808</v>
      </c>
      <c r="D99" s="279">
        <f t="shared" ref="D99:BC99" si="38">D75+D72</f>
        <v>13138.65</v>
      </c>
      <c r="E99" s="147">
        <f t="shared" si="38"/>
        <v>11492.84</v>
      </c>
      <c r="F99" s="147">
        <f t="shared" si="38"/>
        <v>14665.61</v>
      </c>
      <c r="G99" s="147">
        <f t="shared" si="38"/>
        <v>10863.95</v>
      </c>
      <c r="H99" s="280">
        <f t="shared" si="38"/>
        <v>12063.85</v>
      </c>
      <c r="I99" s="279">
        <f t="shared" si="38"/>
        <v>14603.119999999999</v>
      </c>
      <c r="J99" s="147">
        <f t="shared" si="38"/>
        <v>14738.23</v>
      </c>
      <c r="K99" s="147">
        <f t="shared" si="38"/>
        <v>13675.59</v>
      </c>
      <c r="L99" s="147">
        <f t="shared" si="38"/>
        <v>14701.099999999999</v>
      </c>
      <c r="M99" s="279">
        <f t="shared" si="38"/>
        <v>8768.81</v>
      </c>
      <c r="N99" s="147">
        <f t="shared" si="38"/>
        <v>7840.4</v>
      </c>
      <c r="O99" s="147">
        <f t="shared" si="38"/>
        <v>11683.58</v>
      </c>
      <c r="P99" s="147">
        <f t="shared" si="38"/>
        <v>12673.34</v>
      </c>
      <c r="Q99" s="279">
        <f t="shared" si="38"/>
        <v>8665.74</v>
      </c>
      <c r="R99" s="147">
        <f t="shared" si="38"/>
        <v>12336.42</v>
      </c>
      <c r="S99" s="147">
        <f t="shared" si="38"/>
        <v>10999.28</v>
      </c>
      <c r="T99" s="147">
        <f t="shared" si="38"/>
        <v>12969.17</v>
      </c>
      <c r="U99" s="147">
        <f t="shared" si="38"/>
        <v>12656.740000000002</v>
      </c>
      <c r="V99" s="279">
        <f t="shared" si="38"/>
        <v>14298.33</v>
      </c>
      <c r="W99" s="147">
        <f t="shared" si="38"/>
        <v>12536.1</v>
      </c>
      <c r="X99" s="147">
        <f t="shared" si="38"/>
        <v>10676.61</v>
      </c>
      <c r="Y99" s="147">
        <f t="shared" si="38"/>
        <v>12864.93</v>
      </c>
      <c r="Z99" s="279">
        <f t="shared" si="38"/>
        <v>12408.189999999999</v>
      </c>
      <c r="AA99" s="147">
        <f t="shared" si="38"/>
        <v>13371.939999999999</v>
      </c>
      <c r="AB99" s="147">
        <f t="shared" si="38"/>
        <v>12545.57</v>
      </c>
      <c r="AC99" s="280">
        <f t="shared" si="38"/>
        <v>13339.29</v>
      </c>
      <c r="AD99" s="279">
        <f t="shared" si="38"/>
        <v>10607.29</v>
      </c>
      <c r="AE99" s="142">
        <f t="shared" si="38"/>
        <v>16709.349999999999</v>
      </c>
      <c r="AF99" s="142">
        <f t="shared" si="38"/>
        <v>13974.990000000002</v>
      </c>
      <c r="AG99" s="142">
        <f t="shared" si="38"/>
        <v>14024.09</v>
      </c>
      <c r="AH99" s="142">
        <f t="shared" si="38"/>
        <v>14140.289999999999</v>
      </c>
      <c r="AI99" s="279">
        <f t="shared" si="38"/>
        <v>12527.2</v>
      </c>
      <c r="AJ99" s="142">
        <f t="shared" si="38"/>
        <v>14206.04</v>
      </c>
      <c r="AK99" s="142">
        <f t="shared" si="38"/>
        <v>12383.42</v>
      </c>
      <c r="AL99" s="142">
        <f t="shared" si="38"/>
        <v>15381.14</v>
      </c>
      <c r="AM99" s="279">
        <f t="shared" si="38"/>
        <v>15359.56</v>
      </c>
      <c r="AN99" s="142">
        <f t="shared" si="38"/>
        <v>12733.48</v>
      </c>
      <c r="AO99" s="142">
        <f t="shared" si="38"/>
        <v>12368.74</v>
      </c>
      <c r="AP99" s="142">
        <f t="shared" si="38"/>
        <v>14016.42</v>
      </c>
      <c r="AQ99" s="279">
        <f t="shared" si="38"/>
        <v>13142.76</v>
      </c>
      <c r="AR99" s="147">
        <f t="shared" si="38"/>
        <v>12266.6</v>
      </c>
      <c r="AS99" s="147">
        <f t="shared" si="38"/>
        <v>11690.41</v>
      </c>
      <c r="AT99" s="147">
        <f t="shared" si="38"/>
        <v>12638.82</v>
      </c>
      <c r="AU99" s="147">
        <f t="shared" si="38"/>
        <v>13038.279999999999</v>
      </c>
      <c r="AV99" s="279">
        <f t="shared" si="38"/>
        <v>13380.48</v>
      </c>
      <c r="AW99" s="142">
        <f t="shared" si="38"/>
        <v>11247.970000000001</v>
      </c>
      <c r="AX99" s="142">
        <f t="shared" si="38"/>
        <v>15986.77</v>
      </c>
      <c r="AY99" s="142">
        <f t="shared" si="38"/>
        <v>13147.14</v>
      </c>
      <c r="AZ99" s="142">
        <f t="shared" si="38"/>
        <v>15333.970000000001</v>
      </c>
      <c r="BA99" s="142">
        <f t="shared" si="38"/>
        <v>12460.35</v>
      </c>
      <c r="BB99" s="142">
        <f t="shared" si="38"/>
        <v>12578.46</v>
      </c>
      <c r="BC99" s="142">
        <f t="shared" si="38"/>
        <v>12212.62</v>
      </c>
    </row>
    <row r="100" spans="2:55" x14ac:dyDescent="0.25">
      <c r="B100" s="142" t="s">
        <v>806</v>
      </c>
      <c r="D100" s="279">
        <f t="shared" ref="D100:BC100" si="39">D74+D78</f>
        <v>14742.019999999999</v>
      </c>
      <c r="E100" s="147">
        <f t="shared" si="39"/>
        <v>13263.66</v>
      </c>
      <c r="F100" s="147">
        <f t="shared" si="39"/>
        <v>14340.96</v>
      </c>
      <c r="G100" s="147">
        <f t="shared" si="39"/>
        <v>12693.49</v>
      </c>
      <c r="H100" s="280">
        <f t="shared" si="39"/>
        <v>13964</v>
      </c>
      <c r="I100" s="279">
        <f t="shared" si="39"/>
        <v>13861.21</v>
      </c>
      <c r="J100" s="147">
        <f t="shared" si="39"/>
        <v>19563.43</v>
      </c>
      <c r="K100" s="147">
        <f t="shared" si="39"/>
        <v>16020.17</v>
      </c>
      <c r="L100" s="147">
        <f t="shared" si="39"/>
        <v>18911.849999999999</v>
      </c>
      <c r="M100" s="279">
        <f t="shared" si="39"/>
        <v>10531.52</v>
      </c>
      <c r="N100" s="147">
        <f t="shared" si="39"/>
        <v>10876.36</v>
      </c>
      <c r="O100" s="147">
        <f t="shared" si="39"/>
        <v>13914.15</v>
      </c>
      <c r="P100" s="147">
        <f t="shared" si="39"/>
        <v>12443.44</v>
      </c>
      <c r="Q100" s="279">
        <f t="shared" si="39"/>
        <v>11316.62</v>
      </c>
      <c r="R100" s="147">
        <f t="shared" si="39"/>
        <v>13969.52</v>
      </c>
      <c r="S100" s="147">
        <f t="shared" si="39"/>
        <v>13311.42</v>
      </c>
      <c r="T100" s="147">
        <f t="shared" si="39"/>
        <v>12823.07</v>
      </c>
      <c r="U100" s="147">
        <f t="shared" si="39"/>
        <v>14109.13</v>
      </c>
      <c r="V100" s="279">
        <f t="shared" si="39"/>
        <v>14540.279999999999</v>
      </c>
      <c r="W100" s="147">
        <f t="shared" si="39"/>
        <v>17662.800000000003</v>
      </c>
      <c r="X100" s="147">
        <f t="shared" si="39"/>
        <v>14789.58</v>
      </c>
      <c r="Y100" s="147">
        <f t="shared" si="39"/>
        <v>13895.630000000001</v>
      </c>
      <c r="Z100" s="279">
        <f t="shared" si="39"/>
        <v>13229.57</v>
      </c>
      <c r="AA100" s="147">
        <f t="shared" si="39"/>
        <v>18062.109999999997</v>
      </c>
      <c r="AB100" s="147">
        <f t="shared" si="39"/>
        <v>14049.41</v>
      </c>
      <c r="AC100" s="280">
        <f t="shared" si="39"/>
        <v>14147.65</v>
      </c>
      <c r="AD100" s="279">
        <f t="shared" si="39"/>
        <v>13553.83</v>
      </c>
      <c r="AE100" s="142">
        <f t="shared" si="39"/>
        <v>13812.77</v>
      </c>
      <c r="AF100" s="142">
        <f t="shared" si="39"/>
        <v>15345.23</v>
      </c>
      <c r="AG100" s="142">
        <f t="shared" si="39"/>
        <v>14675.81</v>
      </c>
      <c r="AH100" s="142">
        <f t="shared" si="39"/>
        <v>14711.140000000001</v>
      </c>
      <c r="AI100" s="279">
        <f t="shared" si="39"/>
        <v>15235.99</v>
      </c>
      <c r="AJ100" s="142">
        <f t="shared" si="39"/>
        <v>14815.84</v>
      </c>
      <c r="AK100" s="142">
        <f t="shared" si="39"/>
        <v>20191.599999999999</v>
      </c>
      <c r="AL100" s="142">
        <f t="shared" si="39"/>
        <v>15243.21</v>
      </c>
      <c r="AM100" s="279">
        <f t="shared" si="39"/>
        <v>18419.759999999998</v>
      </c>
      <c r="AN100" s="142">
        <f t="shared" si="39"/>
        <v>15646.130000000001</v>
      </c>
      <c r="AO100" s="142">
        <f t="shared" si="39"/>
        <v>16950.170000000002</v>
      </c>
      <c r="AP100" s="142">
        <f t="shared" si="39"/>
        <v>13869.81</v>
      </c>
      <c r="AQ100" s="279">
        <f t="shared" si="39"/>
        <v>17375.71</v>
      </c>
      <c r="AR100" s="147">
        <f t="shared" si="39"/>
        <v>13715.35</v>
      </c>
      <c r="AS100" s="147">
        <f t="shared" si="39"/>
        <v>12827.3</v>
      </c>
      <c r="AT100" s="147">
        <f t="shared" si="39"/>
        <v>15717.300000000001</v>
      </c>
      <c r="AU100" s="147">
        <f t="shared" si="39"/>
        <v>15430.09</v>
      </c>
      <c r="AV100" s="279">
        <f t="shared" si="39"/>
        <v>16044.08</v>
      </c>
      <c r="AW100" s="142">
        <f t="shared" si="39"/>
        <v>16399.689999999999</v>
      </c>
      <c r="AX100" s="142">
        <f t="shared" si="39"/>
        <v>17916.79</v>
      </c>
      <c r="AY100" s="142">
        <f t="shared" si="39"/>
        <v>12396.52</v>
      </c>
      <c r="AZ100" s="142">
        <f t="shared" si="39"/>
        <v>16478.29</v>
      </c>
      <c r="BA100" s="142">
        <f t="shared" si="39"/>
        <v>15822.56</v>
      </c>
      <c r="BB100" s="142">
        <f t="shared" si="39"/>
        <v>15769.92</v>
      </c>
      <c r="BC100" s="142">
        <f t="shared" si="39"/>
        <v>16894.189999999999</v>
      </c>
    </row>
    <row r="101" spans="2:55" x14ac:dyDescent="0.25">
      <c r="B101" s="142" t="s">
        <v>837</v>
      </c>
      <c r="D101" s="283">
        <f t="shared" ref="D101:BC101" si="40">D83</f>
        <v>983.05</v>
      </c>
      <c r="E101" s="284">
        <f t="shared" si="40"/>
        <v>637.54</v>
      </c>
      <c r="F101" s="284">
        <f t="shared" si="40"/>
        <v>1256.95</v>
      </c>
      <c r="G101" s="284">
        <f t="shared" si="40"/>
        <v>717.01</v>
      </c>
      <c r="H101" s="285">
        <f t="shared" si="40"/>
        <v>937.79</v>
      </c>
      <c r="I101" s="283">
        <f t="shared" si="40"/>
        <v>587.88</v>
      </c>
      <c r="J101" s="284">
        <f t="shared" si="40"/>
        <v>928.98</v>
      </c>
      <c r="K101" s="284">
        <f t="shared" si="40"/>
        <v>877.51</v>
      </c>
      <c r="L101" s="284">
        <f t="shared" si="40"/>
        <v>1236.83</v>
      </c>
      <c r="M101" s="283">
        <f t="shared" si="40"/>
        <v>490.95</v>
      </c>
      <c r="N101" s="284">
        <f t="shared" si="40"/>
        <v>584.34</v>
      </c>
      <c r="O101" s="284">
        <f t="shared" si="40"/>
        <v>1586.21</v>
      </c>
      <c r="P101" s="284">
        <f t="shared" si="40"/>
        <v>354.81</v>
      </c>
      <c r="Q101" s="283">
        <f t="shared" si="40"/>
        <v>742.93</v>
      </c>
      <c r="R101" s="284">
        <f t="shared" si="40"/>
        <v>945.13</v>
      </c>
      <c r="S101" s="284">
        <f t="shared" si="40"/>
        <v>541.97</v>
      </c>
      <c r="T101" s="284">
        <f t="shared" si="40"/>
        <v>806.44</v>
      </c>
      <c r="U101" s="284">
        <f t="shared" si="40"/>
        <v>705.14</v>
      </c>
      <c r="V101" s="283">
        <f t="shared" si="40"/>
        <v>329.9</v>
      </c>
      <c r="W101" s="284">
        <f t="shared" si="40"/>
        <v>1202.79</v>
      </c>
      <c r="X101" s="284">
        <f t="shared" si="40"/>
        <v>246.19</v>
      </c>
      <c r="Y101" s="284">
        <f t="shared" si="40"/>
        <v>1053.31</v>
      </c>
      <c r="Z101" s="283">
        <f t="shared" si="40"/>
        <v>850.67</v>
      </c>
      <c r="AA101" s="284">
        <f t="shared" si="40"/>
        <v>2306.3000000000002</v>
      </c>
      <c r="AB101" s="284">
        <f t="shared" si="40"/>
        <v>901.51</v>
      </c>
      <c r="AC101" s="285">
        <f t="shared" si="40"/>
        <v>746.69</v>
      </c>
      <c r="AD101" s="283">
        <f t="shared" si="40"/>
        <v>837.94</v>
      </c>
      <c r="AE101" s="284">
        <f t="shared" si="40"/>
        <v>1254.26</v>
      </c>
      <c r="AF101" s="284">
        <f t="shared" si="40"/>
        <v>697.21</v>
      </c>
      <c r="AG101" s="284">
        <f t="shared" si="40"/>
        <v>544.04</v>
      </c>
      <c r="AH101" s="284">
        <f t="shared" si="40"/>
        <v>683.18</v>
      </c>
      <c r="AI101" s="283">
        <f t="shared" si="40"/>
        <v>708.4</v>
      </c>
      <c r="AJ101" s="284">
        <f t="shared" si="40"/>
        <v>581.15</v>
      </c>
      <c r="AK101" s="284">
        <f t="shared" si="40"/>
        <v>494.33</v>
      </c>
      <c r="AL101" s="284">
        <f t="shared" si="40"/>
        <v>1110.92</v>
      </c>
      <c r="AM101" s="283">
        <f t="shared" si="40"/>
        <v>642.39</v>
      </c>
      <c r="AN101" s="284">
        <f t="shared" si="40"/>
        <v>983.31</v>
      </c>
      <c r="AO101" s="284">
        <f t="shared" si="40"/>
        <v>2377.6999999999998</v>
      </c>
      <c r="AP101" s="284">
        <f t="shared" si="40"/>
        <v>895.98</v>
      </c>
      <c r="AQ101" s="283">
        <f t="shared" si="40"/>
        <v>448.28</v>
      </c>
      <c r="AR101" s="284">
        <f t="shared" si="40"/>
        <v>555.35</v>
      </c>
      <c r="AS101" s="284">
        <f t="shared" si="40"/>
        <v>418.79</v>
      </c>
      <c r="AT101" s="284">
        <f t="shared" si="40"/>
        <v>654.88</v>
      </c>
      <c r="AU101" s="284">
        <f t="shared" si="40"/>
        <v>1248.44</v>
      </c>
      <c r="AV101" s="283">
        <f t="shared" si="40"/>
        <v>1214.56</v>
      </c>
      <c r="AW101" s="284">
        <f t="shared" si="40"/>
        <v>755.11</v>
      </c>
      <c r="AX101" s="284">
        <f t="shared" si="40"/>
        <v>486.34</v>
      </c>
      <c r="AY101" s="284">
        <f t="shared" si="40"/>
        <v>316.72000000000003</v>
      </c>
      <c r="AZ101" s="284">
        <f t="shared" si="40"/>
        <v>726.42</v>
      </c>
      <c r="BA101" s="284">
        <f t="shared" si="40"/>
        <v>687.21</v>
      </c>
      <c r="BB101" s="284">
        <f t="shared" si="40"/>
        <v>1176.01</v>
      </c>
      <c r="BC101" s="284">
        <f t="shared" si="40"/>
        <v>840.33</v>
      </c>
    </row>
    <row r="102" spans="2:55" x14ac:dyDescent="0.25">
      <c r="B102" s="255" t="s">
        <v>838</v>
      </c>
      <c r="D102" s="279">
        <f t="shared" ref="D102:BC102" si="41">D100+D101</f>
        <v>15725.069999999998</v>
      </c>
      <c r="E102" s="147">
        <f t="shared" si="41"/>
        <v>13901.2</v>
      </c>
      <c r="F102" s="147">
        <f t="shared" si="41"/>
        <v>15597.91</v>
      </c>
      <c r="G102" s="147">
        <f t="shared" si="41"/>
        <v>13410.5</v>
      </c>
      <c r="H102" s="280">
        <f t="shared" si="41"/>
        <v>14901.79</v>
      </c>
      <c r="I102" s="279">
        <f t="shared" si="41"/>
        <v>14449.089999999998</v>
      </c>
      <c r="J102" s="147">
        <f t="shared" si="41"/>
        <v>20492.41</v>
      </c>
      <c r="K102" s="147">
        <f t="shared" si="41"/>
        <v>16897.68</v>
      </c>
      <c r="L102" s="147">
        <f t="shared" si="41"/>
        <v>20148.68</v>
      </c>
      <c r="M102" s="279">
        <f t="shared" si="41"/>
        <v>11022.470000000001</v>
      </c>
      <c r="N102" s="147">
        <f t="shared" si="41"/>
        <v>11460.7</v>
      </c>
      <c r="O102" s="147">
        <f t="shared" si="41"/>
        <v>15500.36</v>
      </c>
      <c r="P102" s="147">
        <f t="shared" si="41"/>
        <v>12798.25</v>
      </c>
      <c r="Q102" s="279">
        <f t="shared" si="41"/>
        <v>12059.550000000001</v>
      </c>
      <c r="R102" s="147">
        <f t="shared" si="41"/>
        <v>14914.65</v>
      </c>
      <c r="S102" s="147">
        <f t="shared" si="41"/>
        <v>13853.39</v>
      </c>
      <c r="T102" s="147">
        <f t="shared" si="41"/>
        <v>13629.51</v>
      </c>
      <c r="U102" s="147">
        <f t="shared" si="41"/>
        <v>14814.269999999999</v>
      </c>
      <c r="V102" s="279">
        <f t="shared" si="41"/>
        <v>14870.179999999998</v>
      </c>
      <c r="W102" s="147">
        <f t="shared" si="41"/>
        <v>18865.590000000004</v>
      </c>
      <c r="X102" s="147">
        <f t="shared" si="41"/>
        <v>15035.77</v>
      </c>
      <c r="Y102" s="147">
        <f t="shared" si="41"/>
        <v>14948.94</v>
      </c>
      <c r="Z102" s="279">
        <f t="shared" si="41"/>
        <v>14080.24</v>
      </c>
      <c r="AA102" s="147">
        <f t="shared" si="41"/>
        <v>20368.409999999996</v>
      </c>
      <c r="AB102" s="147">
        <f t="shared" si="41"/>
        <v>14950.92</v>
      </c>
      <c r="AC102" s="280">
        <f t="shared" si="41"/>
        <v>14894.34</v>
      </c>
      <c r="AD102" s="279">
        <f t="shared" si="41"/>
        <v>14391.77</v>
      </c>
      <c r="AE102" s="142">
        <f t="shared" si="41"/>
        <v>15067.03</v>
      </c>
      <c r="AF102" s="142">
        <f t="shared" si="41"/>
        <v>16042.439999999999</v>
      </c>
      <c r="AG102" s="142">
        <f t="shared" si="41"/>
        <v>15219.849999999999</v>
      </c>
      <c r="AH102" s="142">
        <f t="shared" si="41"/>
        <v>15394.320000000002</v>
      </c>
      <c r="AI102" s="279">
        <f t="shared" si="41"/>
        <v>15944.39</v>
      </c>
      <c r="AJ102" s="142">
        <f t="shared" si="41"/>
        <v>15396.99</v>
      </c>
      <c r="AK102" s="142">
        <f t="shared" si="41"/>
        <v>20685.93</v>
      </c>
      <c r="AL102" s="142">
        <f t="shared" si="41"/>
        <v>16354.13</v>
      </c>
      <c r="AM102" s="279">
        <f t="shared" si="41"/>
        <v>19062.149999999998</v>
      </c>
      <c r="AN102" s="142">
        <f t="shared" si="41"/>
        <v>16629.440000000002</v>
      </c>
      <c r="AO102" s="142">
        <f t="shared" si="41"/>
        <v>19327.870000000003</v>
      </c>
      <c r="AP102" s="142">
        <f t="shared" si="41"/>
        <v>14765.789999999999</v>
      </c>
      <c r="AQ102" s="279">
        <f t="shared" si="41"/>
        <v>17823.989999999998</v>
      </c>
      <c r="AR102" s="147">
        <f t="shared" si="41"/>
        <v>14270.7</v>
      </c>
      <c r="AS102" s="147">
        <f t="shared" si="41"/>
        <v>13246.09</v>
      </c>
      <c r="AT102" s="147">
        <f t="shared" si="41"/>
        <v>16372.18</v>
      </c>
      <c r="AU102" s="147">
        <f t="shared" si="41"/>
        <v>16678.53</v>
      </c>
      <c r="AV102" s="279">
        <f t="shared" si="41"/>
        <v>17258.64</v>
      </c>
      <c r="AW102" s="142">
        <f t="shared" si="41"/>
        <v>17154.8</v>
      </c>
      <c r="AX102" s="142">
        <f t="shared" si="41"/>
        <v>18403.13</v>
      </c>
      <c r="AY102" s="142">
        <f t="shared" si="41"/>
        <v>12713.24</v>
      </c>
      <c r="AZ102" s="142">
        <f t="shared" si="41"/>
        <v>17204.71</v>
      </c>
      <c r="BA102" s="142">
        <f t="shared" si="41"/>
        <v>16509.77</v>
      </c>
      <c r="BB102" s="142">
        <f t="shared" si="41"/>
        <v>16945.93</v>
      </c>
      <c r="BC102" s="142">
        <f t="shared" si="41"/>
        <v>17734.52</v>
      </c>
    </row>
    <row r="103" spans="2:55" x14ac:dyDescent="0.25">
      <c r="B103" s="142" t="s">
        <v>785</v>
      </c>
      <c r="D103" s="279">
        <f t="shared" ref="D103:BC103" si="42">D64</f>
        <v>13484.92</v>
      </c>
      <c r="E103" s="147">
        <f t="shared" si="42"/>
        <v>14435.57</v>
      </c>
      <c r="F103" s="147">
        <f t="shared" si="42"/>
        <v>14142.3</v>
      </c>
      <c r="G103" s="147">
        <f t="shared" si="42"/>
        <v>13156.6</v>
      </c>
      <c r="H103" s="280">
        <f t="shared" si="42"/>
        <v>13632.89</v>
      </c>
      <c r="I103" s="279">
        <f t="shared" si="42"/>
        <v>13724.81</v>
      </c>
      <c r="J103" s="147">
        <f t="shared" si="42"/>
        <v>17165.38</v>
      </c>
      <c r="K103" s="147">
        <f t="shared" si="42"/>
        <v>13676.37</v>
      </c>
      <c r="L103" s="147">
        <f t="shared" si="42"/>
        <v>13391.62</v>
      </c>
      <c r="M103" s="279">
        <f t="shared" si="42"/>
        <v>10735.99</v>
      </c>
      <c r="N103" s="147">
        <f t="shared" si="42"/>
        <v>11186.92</v>
      </c>
      <c r="O103" s="147">
        <f t="shared" si="42"/>
        <v>13931</v>
      </c>
      <c r="P103" s="147">
        <f t="shared" si="42"/>
        <v>14677</v>
      </c>
      <c r="Q103" s="279">
        <f t="shared" si="42"/>
        <v>12933</v>
      </c>
      <c r="R103" s="147">
        <f t="shared" si="42"/>
        <v>13369.71</v>
      </c>
      <c r="S103" s="147">
        <f t="shared" si="42"/>
        <v>14223.28</v>
      </c>
      <c r="T103" s="147">
        <f t="shared" si="42"/>
        <v>14952.97</v>
      </c>
      <c r="U103" s="147">
        <f t="shared" si="42"/>
        <v>13044.47</v>
      </c>
      <c r="V103" s="279">
        <f t="shared" si="42"/>
        <v>14917.06</v>
      </c>
      <c r="W103" s="147">
        <f t="shared" si="42"/>
        <v>15922.73</v>
      </c>
      <c r="X103" s="147">
        <f t="shared" si="42"/>
        <v>13541.24</v>
      </c>
      <c r="Y103" s="147">
        <f t="shared" si="42"/>
        <v>12705.56</v>
      </c>
      <c r="Z103" s="279">
        <f t="shared" si="42"/>
        <v>12116.78</v>
      </c>
      <c r="AA103" s="147">
        <f t="shared" si="42"/>
        <v>16092.4</v>
      </c>
      <c r="AB103" s="147">
        <f t="shared" si="42"/>
        <v>14304.44</v>
      </c>
      <c r="AC103" s="280">
        <f t="shared" si="42"/>
        <v>15817.64</v>
      </c>
      <c r="AD103" s="279">
        <f t="shared" si="42"/>
        <v>12838</v>
      </c>
      <c r="AE103" s="142">
        <f t="shared" si="42"/>
        <v>14666.12</v>
      </c>
      <c r="AF103" s="142">
        <f t="shared" si="42"/>
        <v>16079.12</v>
      </c>
      <c r="AG103" s="142">
        <f t="shared" si="42"/>
        <v>15204.28</v>
      </c>
      <c r="AH103" s="142">
        <f t="shared" si="42"/>
        <v>14691.65</v>
      </c>
      <c r="AI103" s="279">
        <f t="shared" si="42"/>
        <v>14084.56</v>
      </c>
      <c r="AJ103" s="142">
        <f t="shared" si="42"/>
        <v>15982.75</v>
      </c>
      <c r="AK103" s="142">
        <f t="shared" si="42"/>
        <v>16726.939999999999</v>
      </c>
      <c r="AL103" s="142">
        <f t="shared" si="42"/>
        <v>15078.42</v>
      </c>
      <c r="AM103" s="279">
        <f t="shared" si="42"/>
        <v>14946.58</v>
      </c>
      <c r="AN103" s="142">
        <f t="shared" si="42"/>
        <v>13902.69</v>
      </c>
      <c r="AO103" s="142">
        <f t="shared" si="42"/>
        <v>14500.37</v>
      </c>
      <c r="AP103" s="142">
        <f t="shared" si="42"/>
        <v>12664.93</v>
      </c>
      <c r="AQ103" s="279">
        <f t="shared" si="42"/>
        <v>13959.39</v>
      </c>
      <c r="AR103" s="147">
        <f t="shared" si="42"/>
        <v>13277.08</v>
      </c>
      <c r="AS103" s="147">
        <f t="shared" si="42"/>
        <v>12796.4</v>
      </c>
      <c r="AT103" s="147">
        <f t="shared" si="42"/>
        <v>14288.52</v>
      </c>
      <c r="AU103" s="147">
        <f t="shared" si="42"/>
        <v>16466.310000000001</v>
      </c>
      <c r="AV103" s="279">
        <f t="shared" si="42"/>
        <v>14178.13</v>
      </c>
      <c r="AW103" s="142">
        <f t="shared" si="42"/>
        <v>13512.24</v>
      </c>
      <c r="AX103" s="142">
        <f t="shared" si="42"/>
        <v>16487.16</v>
      </c>
      <c r="AY103" s="142">
        <f t="shared" si="42"/>
        <v>15260.64</v>
      </c>
      <c r="AZ103" s="142">
        <f t="shared" si="42"/>
        <v>15497.86</v>
      </c>
      <c r="BA103" s="142">
        <f t="shared" si="42"/>
        <v>14738.2</v>
      </c>
      <c r="BB103" s="142">
        <f t="shared" si="42"/>
        <v>16555.73</v>
      </c>
      <c r="BC103" s="142">
        <f t="shared" si="42"/>
        <v>24051.14</v>
      </c>
    </row>
    <row r="104" spans="2:55" x14ac:dyDescent="0.25">
      <c r="B104" s="142" t="s">
        <v>839</v>
      </c>
      <c r="D104" s="279">
        <f t="shared" ref="D104:BC104" si="43">D84</f>
        <v>8536.58</v>
      </c>
      <c r="E104" s="147">
        <f t="shared" si="43"/>
        <v>8122.76</v>
      </c>
      <c r="F104" s="147">
        <f t="shared" si="43"/>
        <v>9965.3799999999992</v>
      </c>
      <c r="G104" s="147">
        <f t="shared" si="43"/>
        <v>8056.24</v>
      </c>
      <c r="H104" s="280">
        <f t="shared" si="43"/>
        <v>7874.41</v>
      </c>
      <c r="I104" s="279">
        <f t="shared" si="43"/>
        <v>9533.6299999999992</v>
      </c>
      <c r="J104" s="147">
        <f t="shared" si="43"/>
        <v>9401.7199999999993</v>
      </c>
      <c r="K104" s="147">
        <f t="shared" si="43"/>
        <v>9400.1</v>
      </c>
      <c r="L104" s="147">
        <f t="shared" si="43"/>
        <v>9240.5300000000007</v>
      </c>
      <c r="M104" s="279">
        <f t="shared" si="43"/>
        <v>7014.88</v>
      </c>
      <c r="N104" s="147">
        <f t="shared" si="43"/>
        <v>7758.02</v>
      </c>
      <c r="O104" s="147">
        <f t="shared" si="43"/>
        <v>8931.94</v>
      </c>
      <c r="P104" s="147">
        <f t="shared" si="43"/>
        <v>8163.2</v>
      </c>
      <c r="Q104" s="279">
        <f t="shared" si="43"/>
        <v>9543.7900000000009</v>
      </c>
      <c r="R104" s="147">
        <f t="shared" si="43"/>
        <v>8278.44</v>
      </c>
      <c r="S104" s="147">
        <f t="shared" si="43"/>
        <v>7865.37</v>
      </c>
      <c r="T104" s="147">
        <f t="shared" si="43"/>
        <v>7355.66</v>
      </c>
      <c r="U104" s="147">
        <f t="shared" si="43"/>
        <v>7739.6</v>
      </c>
      <c r="V104" s="279">
        <f t="shared" si="43"/>
        <v>9747.32</v>
      </c>
      <c r="W104" s="147">
        <f t="shared" si="43"/>
        <v>9576.36</v>
      </c>
      <c r="X104" s="147">
        <f t="shared" si="43"/>
        <v>8132.53</v>
      </c>
      <c r="Y104" s="147">
        <f t="shared" si="43"/>
        <v>8657.9699999999993</v>
      </c>
      <c r="Z104" s="279">
        <f t="shared" si="43"/>
        <v>8043.19</v>
      </c>
      <c r="AA104" s="147">
        <f t="shared" si="43"/>
        <v>9248.1299999999992</v>
      </c>
      <c r="AB104" s="147">
        <f t="shared" si="43"/>
        <v>9603.7199999999993</v>
      </c>
      <c r="AC104" s="280">
        <f t="shared" si="43"/>
        <v>9140.98</v>
      </c>
      <c r="AD104" s="279">
        <f t="shared" si="43"/>
        <v>8551.06</v>
      </c>
      <c r="AE104" s="142">
        <f t="shared" si="43"/>
        <v>8993.8799999999992</v>
      </c>
      <c r="AF104" s="142">
        <f t="shared" si="43"/>
        <v>10633.47</v>
      </c>
      <c r="AG104" s="142">
        <f t="shared" si="43"/>
        <v>9971.9</v>
      </c>
      <c r="AH104" s="142">
        <f t="shared" si="43"/>
        <v>8882.5400000000009</v>
      </c>
      <c r="AI104" s="279">
        <f t="shared" si="43"/>
        <v>11341.02</v>
      </c>
      <c r="AJ104" s="142">
        <f t="shared" si="43"/>
        <v>10894.9</v>
      </c>
      <c r="AK104" s="142">
        <f t="shared" si="43"/>
        <v>9627.7199999999993</v>
      </c>
      <c r="AL104" s="142">
        <f t="shared" si="43"/>
        <v>10346.709999999999</v>
      </c>
      <c r="AM104" s="279">
        <f t="shared" si="43"/>
        <v>10177.950000000001</v>
      </c>
      <c r="AN104" s="142">
        <f t="shared" si="43"/>
        <v>10281.14</v>
      </c>
      <c r="AO104" s="142">
        <f t="shared" si="43"/>
        <v>9509.42</v>
      </c>
      <c r="AP104" s="142">
        <f t="shared" si="43"/>
        <v>10057.91</v>
      </c>
      <c r="AQ104" s="279">
        <f t="shared" si="43"/>
        <v>9346.59</v>
      </c>
      <c r="AR104" s="147">
        <f t="shared" si="43"/>
        <v>10459.799999999999</v>
      </c>
      <c r="AS104" s="147">
        <f t="shared" si="43"/>
        <v>9809.2999999999993</v>
      </c>
      <c r="AT104" s="147">
        <f t="shared" si="43"/>
        <v>8977.7099999999991</v>
      </c>
      <c r="AU104" s="147">
        <f t="shared" si="43"/>
        <v>8795.6299999999992</v>
      </c>
      <c r="AV104" s="279">
        <f t="shared" si="43"/>
        <v>10647.79</v>
      </c>
      <c r="AW104" s="142">
        <f t="shared" si="43"/>
        <v>10326.959999999999</v>
      </c>
      <c r="AX104" s="142">
        <f t="shared" si="43"/>
        <v>10650.21</v>
      </c>
      <c r="AY104" s="142">
        <f t="shared" si="43"/>
        <v>10279.91</v>
      </c>
      <c r="AZ104" s="142">
        <f t="shared" si="43"/>
        <v>9990.68</v>
      </c>
      <c r="BA104" s="142">
        <f t="shared" si="43"/>
        <v>10052.86</v>
      </c>
      <c r="BB104" s="142">
        <f t="shared" si="43"/>
        <v>10034.299999999999</v>
      </c>
      <c r="BC104" s="142">
        <f t="shared" si="43"/>
        <v>10191.68</v>
      </c>
    </row>
    <row r="105" spans="2:55" x14ac:dyDescent="0.25">
      <c r="B105" s="289" t="s">
        <v>840</v>
      </c>
      <c r="C105" s="290"/>
      <c r="D105" s="283">
        <f t="shared" ref="D105:BC105" si="44">D103+D104</f>
        <v>22021.5</v>
      </c>
      <c r="E105" s="284">
        <f t="shared" si="44"/>
        <v>22558.33</v>
      </c>
      <c r="F105" s="284">
        <f t="shared" si="44"/>
        <v>24107.68</v>
      </c>
      <c r="G105" s="284">
        <f t="shared" si="44"/>
        <v>21212.84</v>
      </c>
      <c r="H105" s="285">
        <f t="shared" si="44"/>
        <v>21507.3</v>
      </c>
      <c r="I105" s="283">
        <f t="shared" si="44"/>
        <v>23258.44</v>
      </c>
      <c r="J105" s="284">
        <f t="shared" si="44"/>
        <v>26567.1</v>
      </c>
      <c r="K105" s="284">
        <f t="shared" si="44"/>
        <v>23076.47</v>
      </c>
      <c r="L105" s="284">
        <f t="shared" si="44"/>
        <v>22632.15</v>
      </c>
      <c r="M105" s="283">
        <f t="shared" si="44"/>
        <v>17750.87</v>
      </c>
      <c r="N105" s="284">
        <f t="shared" si="44"/>
        <v>18944.940000000002</v>
      </c>
      <c r="O105" s="284">
        <f t="shared" si="44"/>
        <v>22862.940000000002</v>
      </c>
      <c r="P105" s="284">
        <f t="shared" si="44"/>
        <v>22840.2</v>
      </c>
      <c r="Q105" s="283">
        <f t="shared" si="44"/>
        <v>22476.79</v>
      </c>
      <c r="R105" s="284">
        <f t="shared" si="44"/>
        <v>21648.15</v>
      </c>
      <c r="S105" s="284">
        <f t="shared" si="44"/>
        <v>22088.65</v>
      </c>
      <c r="T105" s="284">
        <f t="shared" si="44"/>
        <v>22308.629999999997</v>
      </c>
      <c r="U105" s="284">
        <f t="shared" si="44"/>
        <v>20784.07</v>
      </c>
      <c r="V105" s="283">
        <f t="shared" si="44"/>
        <v>24664.379999999997</v>
      </c>
      <c r="W105" s="284">
        <f t="shared" si="44"/>
        <v>25499.09</v>
      </c>
      <c r="X105" s="284">
        <f t="shared" si="44"/>
        <v>21673.77</v>
      </c>
      <c r="Y105" s="284">
        <f t="shared" si="44"/>
        <v>21363.53</v>
      </c>
      <c r="Z105" s="283">
        <f t="shared" si="44"/>
        <v>20159.97</v>
      </c>
      <c r="AA105" s="284">
        <f t="shared" si="44"/>
        <v>25340.53</v>
      </c>
      <c r="AB105" s="284">
        <f t="shared" si="44"/>
        <v>23908.16</v>
      </c>
      <c r="AC105" s="285">
        <f t="shared" si="44"/>
        <v>24958.62</v>
      </c>
      <c r="AD105" s="283">
        <f t="shared" si="44"/>
        <v>21389.059999999998</v>
      </c>
      <c r="AE105" s="284">
        <f t="shared" si="44"/>
        <v>23660</v>
      </c>
      <c r="AF105" s="284">
        <f t="shared" si="44"/>
        <v>26712.59</v>
      </c>
      <c r="AG105" s="284">
        <f t="shared" si="44"/>
        <v>25176.18</v>
      </c>
      <c r="AH105" s="284">
        <f t="shared" si="44"/>
        <v>23574.190000000002</v>
      </c>
      <c r="AI105" s="283">
        <f t="shared" si="44"/>
        <v>25425.58</v>
      </c>
      <c r="AJ105" s="284">
        <f t="shared" si="44"/>
        <v>26877.65</v>
      </c>
      <c r="AK105" s="284">
        <f t="shared" si="44"/>
        <v>26354.659999999996</v>
      </c>
      <c r="AL105" s="284">
        <f t="shared" si="44"/>
        <v>25425.129999999997</v>
      </c>
      <c r="AM105" s="283">
        <f t="shared" si="44"/>
        <v>25124.53</v>
      </c>
      <c r="AN105" s="284">
        <f t="shared" si="44"/>
        <v>24183.83</v>
      </c>
      <c r="AO105" s="284">
        <f t="shared" si="44"/>
        <v>24009.79</v>
      </c>
      <c r="AP105" s="284">
        <f t="shared" si="44"/>
        <v>22722.84</v>
      </c>
      <c r="AQ105" s="283">
        <f t="shared" si="44"/>
        <v>23305.98</v>
      </c>
      <c r="AR105" s="284">
        <f t="shared" si="44"/>
        <v>23736.879999999997</v>
      </c>
      <c r="AS105" s="284">
        <f t="shared" si="44"/>
        <v>22605.699999999997</v>
      </c>
      <c r="AT105" s="284">
        <f t="shared" si="44"/>
        <v>23266.23</v>
      </c>
      <c r="AU105" s="284">
        <f t="shared" si="44"/>
        <v>25261.940000000002</v>
      </c>
      <c r="AV105" s="283">
        <f t="shared" si="44"/>
        <v>24825.919999999998</v>
      </c>
      <c r="AW105" s="284">
        <f t="shared" si="44"/>
        <v>23839.199999999997</v>
      </c>
      <c r="AX105" s="284">
        <f t="shared" si="44"/>
        <v>27137.37</v>
      </c>
      <c r="AY105" s="284">
        <f t="shared" si="44"/>
        <v>25540.55</v>
      </c>
      <c r="AZ105" s="284">
        <f t="shared" si="44"/>
        <v>25488.54</v>
      </c>
      <c r="BA105" s="284">
        <f t="shared" si="44"/>
        <v>24791.06</v>
      </c>
      <c r="BB105" s="284">
        <f t="shared" si="44"/>
        <v>26590.03</v>
      </c>
      <c r="BC105" s="284">
        <f t="shared" si="44"/>
        <v>34242.82</v>
      </c>
    </row>
    <row r="106" spans="2:55" x14ac:dyDescent="0.25">
      <c r="B106" s="291" t="s">
        <v>841</v>
      </c>
      <c r="C106" s="292"/>
      <c r="D106" s="293">
        <f>D96+D97+D98+D99+D102+D105</f>
        <v>184603.42</v>
      </c>
      <c r="E106" s="173">
        <f t="shared" ref="E106:BC106" si="45">E96+E97+E98+E99+E102+E105</f>
        <v>183749.46000000002</v>
      </c>
      <c r="F106" s="173">
        <f t="shared" si="45"/>
        <v>166218.93</v>
      </c>
      <c r="G106" s="173">
        <f t="shared" si="45"/>
        <v>141642.84999999998</v>
      </c>
      <c r="H106" s="294">
        <f t="shared" si="45"/>
        <v>156843.39000000001</v>
      </c>
      <c r="I106" s="293">
        <f t="shared" si="45"/>
        <v>163368.753</v>
      </c>
      <c r="J106" s="173">
        <f t="shared" si="45"/>
        <v>195968.94000000003</v>
      </c>
      <c r="K106" s="173">
        <f t="shared" si="45"/>
        <v>178040.01300000001</v>
      </c>
      <c r="L106" s="296">
        <f t="shared" si="45"/>
        <v>185043.19</v>
      </c>
      <c r="M106" s="293">
        <f t="shared" si="45"/>
        <v>122648.97</v>
      </c>
      <c r="N106" s="173">
        <f t="shared" si="45"/>
        <v>123325.27999999998</v>
      </c>
      <c r="O106" s="173">
        <f t="shared" si="45"/>
        <v>186585.43</v>
      </c>
      <c r="P106" s="296">
        <f t="shared" si="45"/>
        <v>154400.51</v>
      </c>
      <c r="Q106" s="293">
        <f t="shared" si="45"/>
        <v>161580.84000000003</v>
      </c>
      <c r="R106" s="173">
        <f t="shared" si="45"/>
        <v>187825.1</v>
      </c>
      <c r="S106" s="173">
        <f t="shared" si="45"/>
        <v>151238.07999999999</v>
      </c>
      <c r="T106" s="173">
        <f t="shared" si="45"/>
        <v>171458.78000000003</v>
      </c>
      <c r="U106" s="296">
        <f t="shared" si="45"/>
        <v>155565.44000000003</v>
      </c>
      <c r="V106" s="293">
        <f t="shared" si="45"/>
        <v>226552.47</v>
      </c>
      <c r="W106" s="173">
        <f t="shared" si="45"/>
        <v>206028.93</v>
      </c>
      <c r="X106" s="296">
        <f t="shared" si="45"/>
        <v>161164.29999999999</v>
      </c>
      <c r="Y106" s="173">
        <f t="shared" si="45"/>
        <v>172118.72999999998</v>
      </c>
      <c r="Z106" s="293">
        <f t="shared" si="45"/>
        <v>153558.26999999999</v>
      </c>
      <c r="AA106" s="173">
        <f t="shared" si="45"/>
        <v>177481.66</v>
      </c>
      <c r="AB106" s="173">
        <f t="shared" si="45"/>
        <v>184406.13000000003</v>
      </c>
      <c r="AC106" s="294">
        <f t="shared" si="45"/>
        <v>174302.55000000002</v>
      </c>
      <c r="AD106" s="293">
        <f t="shared" si="45"/>
        <v>157830.63</v>
      </c>
      <c r="AE106" s="173">
        <f t="shared" si="45"/>
        <v>183381.63</v>
      </c>
      <c r="AF106" s="173">
        <f t="shared" si="45"/>
        <v>193518.97999999998</v>
      </c>
      <c r="AG106" s="173">
        <f t="shared" si="45"/>
        <v>189254.52</v>
      </c>
      <c r="AH106" s="296">
        <f t="shared" si="45"/>
        <v>166313.16</v>
      </c>
      <c r="AI106" s="293">
        <f t="shared" si="45"/>
        <v>199267.23000000004</v>
      </c>
      <c r="AJ106" s="173">
        <f t="shared" si="45"/>
        <v>212380.61000000002</v>
      </c>
      <c r="AK106" s="173">
        <f t="shared" si="45"/>
        <v>194342.88</v>
      </c>
      <c r="AL106" s="296">
        <f t="shared" si="45"/>
        <v>232864.39</v>
      </c>
      <c r="AM106" s="293">
        <f t="shared" si="45"/>
        <v>203516.33999999997</v>
      </c>
      <c r="AN106" s="173">
        <f t="shared" si="45"/>
        <v>190012.75</v>
      </c>
      <c r="AO106" s="173">
        <f t="shared" si="45"/>
        <v>267540.50999999995</v>
      </c>
      <c r="AP106" s="296">
        <f t="shared" si="45"/>
        <v>190841.55000000002</v>
      </c>
      <c r="AQ106" s="293">
        <f t="shared" si="45"/>
        <v>178141.54</v>
      </c>
      <c r="AR106" s="173">
        <f t="shared" si="45"/>
        <v>193888.62000000005</v>
      </c>
      <c r="AS106" s="173">
        <f t="shared" si="45"/>
        <v>193581.43</v>
      </c>
      <c r="AT106" s="173">
        <f t="shared" si="45"/>
        <v>173934.62</v>
      </c>
      <c r="AU106" s="296">
        <f t="shared" si="45"/>
        <v>193188.03</v>
      </c>
      <c r="AV106" s="293">
        <f t="shared" si="45"/>
        <v>190366.52999999997</v>
      </c>
      <c r="AW106" s="173">
        <f t="shared" si="45"/>
        <v>174098.32999999996</v>
      </c>
      <c r="AX106" s="173">
        <f t="shared" si="45"/>
        <v>201332.16999999998</v>
      </c>
      <c r="AY106" s="173">
        <f t="shared" si="45"/>
        <v>174453.91999999998</v>
      </c>
      <c r="AZ106" s="173">
        <f t="shared" si="45"/>
        <v>191149.27</v>
      </c>
      <c r="BA106" s="173">
        <f t="shared" si="45"/>
        <v>185981.24</v>
      </c>
      <c r="BB106" s="173">
        <f t="shared" si="45"/>
        <v>189472.91999999998</v>
      </c>
      <c r="BC106" s="173">
        <f t="shared" si="45"/>
        <v>216269.88999999998</v>
      </c>
    </row>
    <row r="107" spans="2:55" x14ac:dyDescent="0.25">
      <c r="B107" s="142" t="s">
        <v>842</v>
      </c>
      <c r="D107" s="279">
        <f t="shared" ref="D107:Y107" si="46">D65+D81+D82</f>
        <v>25706.18</v>
      </c>
      <c r="E107" s="147">
        <f t="shared" si="46"/>
        <v>26396.46</v>
      </c>
      <c r="F107" s="147">
        <f t="shared" si="46"/>
        <v>27555.360000000001</v>
      </c>
      <c r="G107" s="147">
        <f t="shared" si="46"/>
        <v>20824.759999999998</v>
      </c>
      <c r="H107" s="280">
        <f t="shared" si="46"/>
        <v>34659.259999999995</v>
      </c>
      <c r="I107" s="279">
        <f t="shared" si="46"/>
        <v>27898.71</v>
      </c>
      <c r="J107" s="147">
        <f t="shared" si="46"/>
        <v>26563.85</v>
      </c>
      <c r="K107" s="147">
        <f t="shared" si="46"/>
        <v>26351.42</v>
      </c>
      <c r="L107" s="147">
        <f t="shared" si="46"/>
        <v>43728.409999999996</v>
      </c>
      <c r="M107" s="279">
        <f t="shared" si="46"/>
        <v>22273.41</v>
      </c>
      <c r="N107" s="147">
        <f t="shared" si="46"/>
        <v>21968.07</v>
      </c>
      <c r="O107" s="147">
        <f t="shared" si="46"/>
        <v>18515.97</v>
      </c>
      <c r="P107" s="147">
        <f t="shared" si="46"/>
        <v>21634.99</v>
      </c>
      <c r="Q107" s="279">
        <f t="shared" si="46"/>
        <v>33584.57</v>
      </c>
      <c r="R107" s="147">
        <f t="shared" si="46"/>
        <v>27652.34</v>
      </c>
      <c r="S107" s="147">
        <f t="shared" si="46"/>
        <v>26225.279999999999</v>
      </c>
      <c r="T107" s="147">
        <f t="shared" si="46"/>
        <v>30718.31</v>
      </c>
      <c r="U107" s="147">
        <f t="shared" si="46"/>
        <v>44783.43</v>
      </c>
      <c r="V107" s="279">
        <f t="shared" si="46"/>
        <v>26941.300000000003</v>
      </c>
      <c r="W107" s="147">
        <f t="shared" si="46"/>
        <v>34235.120000000003</v>
      </c>
      <c r="X107" s="147">
        <f t="shared" si="46"/>
        <v>27361.079999999998</v>
      </c>
      <c r="Y107" s="147">
        <f t="shared" si="46"/>
        <v>37231.15</v>
      </c>
      <c r="Z107" s="279">
        <f>Z65+Z81+Z82</f>
        <v>25250.3</v>
      </c>
      <c r="AA107" s="147">
        <f t="shared" ref="AA107:BC107" si="47">AA65+AA81+AA82</f>
        <v>23831.61</v>
      </c>
      <c r="AB107" s="147">
        <f t="shared" si="47"/>
        <v>25567.5</v>
      </c>
      <c r="AC107" s="280">
        <f t="shared" si="47"/>
        <v>31303.46</v>
      </c>
      <c r="AD107" s="279">
        <f t="shared" si="47"/>
        <v>32373</v>
      </c>
      <c r="AE107" s="142">
        <f t="shared" si="47"/>
        <v>26086.15</v>
      </c>
      <c r="AF107" s="142">
        <f t="shared" si="47"/>
        <v>26231.75</v>
      </c>
      <c r="AG107" s="142">
        <f t="shared" si="47"/>
        <v>31131.06</v>
      </c>
      <c r="AH107" s="142">
        <f t="shared" si="47"/>
        <v>37132.99</v>
      </c>
      <c r="AI107" s="279">
        <f t="shared" si="47"/>
        <v>25882.34</v>
      </c>
      <c r="AJ107" s="142">
        <f t="shared" si="47"/>
        <v>23006.73</v>
      </c>
      <c r="AK107" s="142">
        <f t="shared" si="47"/>
        <v>35767.67</v>
      </c>
      <c r="AL107" s="142">
        <f t="shared" si="47"/>
        <v>37766.870000000003</v>
      </c>
      <c r="AM107" s="279">
        <f t="shared" si="47"/>
        <v>33788.15</v>
      </c>
      <c r="AN107" s="142">
        <f t="shared" si="47"/>
        <v>24940.33</v>
      </c>
      <c r="AO107" s="142">
        <f t="shared" si="47"/>
        <v>30253.34</v>
      </c>
      <c r="AP107" s="142">
        <f t="shared" si="47"/>
        <v>36478.79</v>
      </c>
      <c r="AQ107" s="279">
        <f t="shared" si="47"/>
        <v>24540.01</v>
      </c>
      <c r="AR107" s="147">
        <f t="shared" si="47"/>
        <v>22624.83</v>
      </c>
      <c r="AS107" s="147">
        <f t="shared" si="47"/>
        <v>24673.08</v>
      </c>
      <c r="AT107" s="147">
        <f t="shared" si="47"/>
        <v>21234.41</v>
      </c>
      <c r="AU107" s="147">
        <f t="shared" si="47"/>
        <v>32494.73</v>
      </c>
      <c r="AV107" s="279">
        <f t="shared" si="47"/>
        <v>22138.38</v>
      </c>
      <c r="AW107" s="142">
        <f t="shared" si="47"/>
        <v>23101.32</v>
      </c>
      <c r="AX107" s="142">
        <f t="shared" si="47"/>
        <v>25606.59</v>
      </c>
      <c r="AY107" s="142">
        <f t="shared" si="47"/>
        <v>39284.83</v>
      </c>
      <c r="AZ107" s="142">
        <f t="shared" si="47"/>
        <v>26833.48</v>
      </c>
      <c r="BA107" s="142">
        <f t="shared" si="47"/>
        <v>31424.13</v>
      </c>
      <c r="BB107" s="142">
        <f t="shared" si="47"/>
        <v>30854.1</v>
      </c>
      <c r="BC107" s="142">
        <f t="shared" si="47"/>
        <v>36130.870000000003</v>
      </c>
    </row>
    <row r="108" spans="2:55" x14ac:dyDescent="0.25">
      <c r="B108" s="142" t="s">
        <v>805</v>
      </c>
      <c r="D108" s="279">
        <f t="shared" ref="D108:X108" si="48">D73+D86</f>
        <v>1832.06</v>
      </c>
      <c r="E108" s="147">
        <f t="shared" si="48"/>
        <v>1488.89</v>
      </c>
      <c r="F108" s="147">
        <f t="shared" si="48"/>
        <v>974.2</v>
      </c>
      <c r="G108" s="147">
        <f t="shared" si="48"/>
        <v>1214.04</v>
      </c>
      <c r="H108" s="280">
        <f t="shared" si="48"/>
        <v>1251.46</v>
      </c>
      <c r="I108" s="279">
        <f t="shared" si="48"/>
        <v>1290.1600000000001</v>
      </c>
      <c r="J108" s="147">
        <f t="shared" si="48"/>
        <v>1552.03</v>
      </c>
      <c r="K108" s="147">
        <f t="shared" si="48"/>
        <v>1806.98</v>
      </c>
      <c r="L108" s="147">
        <f t="shared" si="48"/>
        <v>1213.7</v>
      </c>
      <c r="M108" s="279">
        <f t="shared" si="48"/>
        <v>899.16</v>
      </c>
      <c r="N108" s="147">
        <f t="shared" si="48"/>
        <v>848.03</v>
      </c>
      <c r="O108" s="147">
        <f t="shared" si="48"/>
        <v>1021.82</v>
      </c>
      <c r="P108" s="147">
        <f t="shared" si="48"/>
        <v>807.62</v>
      </c>
      <c r="Q108" s="279">
        <f t="shared" si="48"/>
        <v>1211.03</v>
      </c>
      <c r="R108" s="147">
        <f t="shared" si="48"/>
        <v>1334.43</v>
      </c>
      <c r="S108" s="147">
        <f t="shared" si="48"/>
        <v>1373.75</v>
      </c>
      <c r="T108" s="147">
        <f t="shared" si="48"/>
        <v>1675.4</v>
      </c>
      <c r="U108" s="147">
        <f t="shared" si="48"/>
        <v>1231.01</v>
      </c>
      <c r="V108" s="279">
        <f t="shared" si="48"/>
        <v>1228.6199999999999</v>
      </c>
      <c r="W108" s="147">
        <f t="shared" si="48"/>
        <v>1234.3900000000001</v>
      </c>
      <c r="X108" s="147">
        <f t="shared" si="48"/>
        <v>1205.6400000000001</v>
      </c>
      <c r="Y108" s="147">
        <f>Y73+Y86</f>
        <v>839.79</v>
      </c>
      <c r="Z108" s="279">
        <f t="shared" ref="Z108:BC108" si="49">Z73+Z86</f>
        <v>1356.65</v>
      </c>
      <c r="AA108" s="147">
        <f t="shared" si="49"/>
        <v>1830.64</v>
      </c>
      <c r="AB108" s="147">
        <f t="shared" si="49"/>
        <v>1486.63</v>
      </c>
      <c r="AC108" s="280">
        <f t="shared" si="49"/>
        <v>1589.29</v>
      </c>
      <c r="AD108" s="279">
        <f t="shared" si="49"/>
        <v>771.5</v>
      </c>
      <c r="AE108" s="142">
        <f t="shared" si="49"/>
        <v>1481.32</v>
      </c>
      <c r="AF108" s="142">
        <f t="shared" si="49"/>
        <v>973.46</v>
      </c>
      <c r="AG108" s="142">
        <f t="shared" si="49"/>
        <v>1298.3</v>
      </c>
      <c r="AH108" s="142">
        <f t="shared" si="49"/>
        <v>1354.89</v>
      </c>
      <c r="AI108" s="279">
        <f t="shared" si="49"/>
        <v>1056.08</v>
      </c>
      <c r="AJ108" s="142">
        <f t="shared" si="49"/>
        <v>1049.51</v>
      </c>
      <c r="AK108" s="142">
        <f t="shared" si="49"/>
        <v>2462.9499999999998</v>
      </c>
      <c r="AL108" s="142">
        <f t="shared" si="49"/>
        <v>1271.52</v>
      </c>
      <c r="AM108" s="279">
        <f t="shared" si="49"/>
        <v>2175.91</v>
      </c>
      <c r="AN108" s="142">
        <f t="shared" si="49"/>
        <v>2019.52</v>
      </c>
      <c r="AO108" s="142">
        <f t="shared" si="49"/>
        <v>1524.32</v>
      </c>
      <c r="AP108" s="142">
        <f t="shared" si="49"/>
        <v>1141.1099999999999</v>
      </c>
      <c r="AQ108" s="279">
        <f t="shared" si="49"/>
        <v>1826.47</v>
      </c>
      <c r="AR108" s="147">
        <f t="shared" si="49"/>
        <v>1106.76</v>
      </c>
      <c r="AS108" s="147">
        <f t="shared" si="49"/>
        <v>1419.15</v>
      </c>
      <c r="AT108" s="147">
        <f t="shared" si="49"/>
        <v>1563.33</v>
      </c>
      <c r="AU108" s="147">
        <f t="shared" si="49"/>
        <v>1295.21</v>
      </c>
      <c r="AV108" s="279">
        <f t="shared" si="49"/>
        <v>1448.56</v>
      </c>
      <c r="AW108" s="142">
        <f t="shared" si="49"/>
        <v>1855.92</v>
      </c>
      <c r="AX108" s="142">
        <f t="shared" si="49"/>
        <v>1798.2</v>
      </c>
      <c r="AY108" s="142">
        <f t="shared" si="49"/>
        <v>1923.82</v>
      </c>
      <c r="AZ108" s="142">
        <f t="shared" si="49"/>
        <v>1258.8399999999999</v>
      </c>
      <c r="BA108" s="142">
        <f t="shared" si="49"/>
        <v>1662.92</v>
      </c>
      <c r="BB108" s="142">
        <f t="shared" si="49"/>
        <v>1611.71</v>
      </c>
      <c r="BC108" s="142">
        <f t="shared" si="49"/>
        <v>1324.16</v>
      </c>
    </row>
    <row r="109" spans="2:55" x14ac:dyDescent="0.25">
      <c r="B109" s="142" t="s">
        <v>843</v>
      </c>
      <c r="D109" s="279">
        <f t="shared" ref="D109:BC109" si="50">D79</f>
        <v>9499.69</v>
      </c>
      <c r="E109" s="147">
        <f t="shared" si="50"/>
        <v>7817.46</v>
      </c>
      <c r="F109" s="147">
        <f t="shared" si="50"/>
        <v>7038.76</v>
      </c>
      <c r="G109" s="147">
        <f t="shared" si="50"/>
        <v>7081.27</v>
      </c>
      <c r="H109" s="280">
        <f t="shared" si="50"/>
        <v>7827.42</v>
      </c>
      <c r="I109" s="279">
        <f t="shared" si="50"/>
        <v>6542.24</v>
      </c>
      <c r="J109" s="147">
        <f t="shared" si="50"/>
        <v>9093.3700000000008</v>
      </c>
      <c r="K109" s="147">
        <f t="shared" si="50"/>
        <v>7798.34</v>
      </c>
      <c r="L109" s="147">
        <f t="shared" si="50"/>
        <v>10679.1</v>
      </c>
      <c r="M109" s="279">
        <f t="shared" si="50"/>
        <v>5218.1499999999996</v>
      </c>
      <c r="N109" s="147">
        <f t="shared" si="50"/>
        <v>6152.02</v>
      </c>
      <c r="O109" s="147">
        <f t="shared" si="50"/>
        <v>7493.27</v>
      </c>
      <c r="P109" s="147">
        <f t="shared" si="50"/>
        <v>7416.33</v>
      </c>
      <c r="Q109" s="279">
        <f t="shared" si="50"/>
        <v>8149.24</v>
      </c>
      <c r="R109" s="147">
        <f t="shared" si="50"/>
        <v>7498.76</v>
      </c>
      <c r="S109" s="147">
        <f t="shared" si="50"/>
        <v>9920.9500000000007</v>
      </c>
      <c r="T109" s="147">
        <f t="shared" si="50"/>
        <v>7133.71</v>
      </c>
      <c r="U109" s="147">
        <f t="shared" si="50"/>
        <v>7199.12</v>
      </c>
      <c r="V109" s="279">
        <f t="shared" si="50"/>
        <v>7843.99</v>
      </c>
      <c r="W109" s="147">
        <f t="shared" si="50"/>
        <v>9781.61</v>
      </c>
      <c r="X109" s="147">
        <f t="shared" si="50"/>
        <v>6964.05</v>
      </c>
      <c r="Y109" s="147">
        <f t="shared" si="50"/>
        <v>7955.76</v>
      </c>
      <c r="Z109" s="279">
        <f t="shared" si="50"/>
        <v>8202.69</v>
      </c>
      <c r="AA109" s="147">
        <f t="shared" si="50"/>
        <v>10061.83</v>
      </c>
      <c r="AB109" s="147">
        <f t="shared" si="50"/>
        <v>9166.5400000000009</v>
      </c>
      <c r="AC109" s="280">
        <f t="shared" si="50"/>
        <v>9320.0300000000007</v>
      </c>
      <c r="AD109" s="279">
        <f t="shared" si="50"/>
        <v>11125.5</v>
      </c>
      <c r="AE109" s="142">
        <f t="shared" si="50"/>
        <v>13343.97</v>
      </c>
      <c r="AF109" s="142">
        <f t="shared" si="50"/>
        <v>8017.98</v>
      </c>
      <c r="AG109" s="142">
        <f t="shared" si="50"/>
        <v>10815.03</v>
      </c>
      <c r="AH109" s="142">
        <f t="shared" si="50"/>
        <v>11685.06</v>
      </c>
      <c r="AI109" s="279">
        <f t="shared" si="50"/>
        <v>17483.63</v>
      </c>
      <c r="AJ109" s="142">
        <f t="shared" si="50"/>
        <v>13691.03</v>
      </c>
      <c r="AK109" s="142">
        <f t="shared" si="50"/>
        <v>12975.48</v>
      </c>
      <c r="AL109" s="142">
        <f t="shared" si="50"/>
        <v>12676.58</v>
      </c>
      <c r="AM109" s="279">
        <f t="shared" si="50"/>
        <v>12462.4</v>
      </c>
      <c r="AN109" s="142">
        <f t="shared" si="50"/>
        <v>7440.69</v>
      </c>
      <c r="AO109" s="142">
        <f t="shared" si="50"/>
        <v>13741.84</v>
      </c>
      <c r="AP109" s="142">
        <f t="shared" si="50"/>
        <v>11375.3</v>
      </c>
      <c r="AQ109" s="279">
        <f t="shared" si="50"/>
        <v>10052.9</v>
      </c>
      <c r="AR109" s="147">
        <f t="shared" si="50"/>
        <v>9641.73</v>
      </c>
      <c r="AS109" s="147">
        <f t="shared" si="50"/>
        <v>12586.98</v>
      </c>
      <c r="AT109" s="147">
        <f t="shared" si="50"/>
        <v>8810.49</v>
      </c>
      <c r="AU109" s="147">
        <f t="shared" si="50"/>
        <v>14107.03</v>
      </c>
      <c r="AV109" s="279">
        <f t="shared" si="50"/>
        <v>10447.86</v>
      </c>
      <c r="AW109" s="142">
        <f t="shared" si="50"/>
        <v>8542.09</v>
      </c>
      <c r="AX109" s="142">
        <f t="shared" si="50"/>
        <v>10418.629999999999</v>
      </c>
      <c r="AY109" s="142">
        <f t="shared" si="50"/>
        <v>10972.65</v>
      </c>
      <c r="AZ109" s="142">
        <f t="shared" si="50"/>
        <v>10847.15</v>
      </c>
      <c r="BA109" s="142">
        <f t="shared" si="50"/>
        <v>7331.92</v>
      </c>
      <c r="BB109" s="142">
        <f t="shared" si="50"/>
        <v>7478.72</v>
      </c>
      <c r="BC109" s="142">
        <f t="shared" si="50"/>
        <v>9623.69</v>
      </c>
    </row>
    <row r="110" spans="2:55" x14ac:dyDescent="0.25">
      <c r="B110" s="291" t="s">
        <v>844</v>
      </c>
      <c r="C110" s="292"/>
      <c r="D110" s="293">
        <f t="shared" ref="D110:F110" si="51">SUM(D107:D109)</f>
        <v>37037.93</v>
      </c>
      <c r="E110" s="173">
        <f t="shared" si="51"/>
        <v>35702.81</v>
      </c>
      <c r="F110" s="173">
        <f t="shared" si="51"/>
        <v>35568.32</v>
      </c>
      <c r="G110" s="173">
        <f t="shared" ref="G110:BC110" si="52">SUM(G107:G109)</f>
        <v>29120.07</v>
      </c>
      <c r="H110" s="294">
        <f t="shared" si="52"/>
        <v>43738.139999999992</v>
      </c>
      <c r="I110" s="293">
        <f t="shared" si="52"/>
        <v>35731.11</v>
      </c>
      <c r="J110" s="173">
        <f t="shared" si="52"/>
        <v>37209.25</v>
      </c>
      <c r="K110" s="173">
        <f t="shared" si="52"/>
        <v>35956.74</v>
      </c>
      <c r="L110" s="296">
        <f t="shared" si="52"/>
        <v>55621.209999999992</v>
      </c>
      <c r="M110" s="293">
        <f t="shared" si="52"/>
        <v>28390.720000000001</v>
      </c>
      <c r="N110" s="173">
        <f t="shared" si="52"/>
        <v>28968.12</v>
      </c>
      <c r="O110" s="173">
        <f t="shared" si="52"/>
        <v>27031.06</v>
      </c>
      <c r="P110" s="296">
        <f t="shared" si="52"/>
        <v>29858.940000000002</v>
      </c>
      <c r="Q110" s="293">
        <f t="shared" si="52"/>
        <v>42944.84</v>
      </c>
      <c r="R110" s="173">
        <f t="shared" si="52"/>
        <v>36485.53</v>
      </c>
      <c r="S110" s="173">
        <f t="shared" si="52"/>
        <v>37519.979999999996</v>
      </c>
      <c r="T110" s="173">
        <f t="shared" si="52"/>
        <v>39527.420000000006</v>
      </c>
      <c r="U110" s="296">
        <f t="shared" si="52"/>
        <v>53213.560000000005</v>
      </c>
      <c r="V110" s="293">
        <f t="shared" si="52"/>
        <v>36013.910000000003</v>
      </c>
      <c r="W110" s="173">
        <f t="shared" si="52"/>
        <v>45251.12</v>
      </c>
      <c r="X110" s="296">
        <f t="shared" si="52"/>
        <v>35530.769999999997</v>
      </c>
      <c r="Y110" s="173">
        <f t="shared" si="52"/>
        <v>46026.700000000004</v>
      </c>
      <c r="Z110" s="293">
        <f t="shared" si="52"/>
        <v>34809.64</v>
      </c>
      <c r="AA110" s="173">
        <f t="shared" si="52"/>
        <v>35724.080000000002</v>
      </c>
      <c r="AB110" s="173">
        <f t="shared" si="52"/>
        <v>36220.67</v>
      </c>
      <c r="AC110" s="294">
        <f t="shared" si="52"/>
        <v>42212.78</v>
      </c>
      <c r="AD110" s="293">
        <f t="shared" si="52"/>
        <v>44270</v>
      </c>
      <c r="AE110" s="173">
        <f t="shared" si="52"/>
        <v>40911.440000000002</v>
      </c>
      <c r="AF110" s="173">
        <f t="shared" si="52"/>
        <v>35223.19</v>
      </c>
      <c r="AG110" s="173">
        <f t="shared" si="52"/>
        <v>43244.39</v>
      </c>
      <c r="AH110" s="296">
        <f t="shared" si="52"/>
        <v>50172.939999999995</v>
      </c>
      <c r="AI110" s="293">
        <f t="shared" si="52"/>
        <v>44422.05</v>
      </c>
      <c r="AJ110" s="173">
        <f t="shared" si="52"/>
        <v>37747.269999999997</v>
      </c>
      <c r="AK110" s="173">
        <f t="shared" si="52"/>
        <v>51206.099999999991</v>
      </c>
      <c r="AL110" s="296">
        <f t="shared" si="52"/>
        <v>51714.97</v>
      </c>
      <c r="AM110" s="293">
        <f t="shared" si="52"/>
        <v>48426.46</v>
      </c>
      <c r="AN110" s="173">
        <f t="shared" si="52"/>
        <v>34400.54</v>
      </c>
      <c r="AO110" s="173">
        <f t="shared" si="52"/>
        <v>45519.5</v>
      </c>
      <c r="AP110" s="296">
        <f t="shared" si="52"/>
        <v>48995.199999999997</v>
      </c>
      <c r="AQ110" s="293">
        <f t="shared" si="52"/>
        <v>36419.379999999997</v>
      </c>
      <c r="AR110" s="173">
        <f t="shared" si="52"/>
        <v>33373.32</v>
      </c>
      <c r="AS110" s="173">
        <f t="shared" si="52"/>
        <v>38679.210000000006</v>
      </c>
      <c r="AT110" s="173">
        <f t="shared" si="52"/>
        <v>31608.229999999996</v>
      </c>
      <c r="AU110" s="296">
        <f t="shared" si="52"/>
        <v>47896.97</v>
      </c>
      <c r="AV110" s="293">
        <f t="shared" si="52"/>
        <v>34034.800000000003</v>
      </c>
      <c r="AW110" s="173">
        <f t="shared" si="52"/>
        <v>33499.33</v>
      </c>
      <c r="AX110" s="173">
        <f t="shared" si="52"/>
        <v>37823.42</v>
      </c>
      <c r="AY110" s="173">
        <f t="shared" si="52"/>
        <v>52181.3</v>
      </c>
      <c r="AZ110" s="173">
        <f t="shared" si="52"/>
        <v>38939.47</v>
      </c>
      <c r="BA110" s="173">
        <f t="shared" si="52"/>
        <v>40418.97</v>
      </c>
      <c r="BB110" s="173">
        <f t="shared" si="52"/>
        <v>39944.53</v>
      </c>
      <c r="BC110" s="173">
        <f t="shared" si="52"/>
        <v>47078.720000000008</v>
      </c>
    </row>
    <row r="111" spans="2:55" x14ac:dyDescent="0.25">
      <c r="B111" s="142" t="s">
        <v>809</v>
      </c>
      <c r="D111" s="279">
        <f t="shared" ref="D111:BC112" si="53">D76</f>
        <v>15626.57</v>
      </c>
      <c r="E111" s="147">
        <f t="shared" si="53"/>
        <v>15016.23</v>
      </c>
      <c r="F111" s="147">
        <f t="shared" si="53"/>
        <v>18215.34</v>
      </c>
      <c r="G111" s="147">
        <f t="shared" si="53"/>
        <v>15571.39</v>
      </c>
      <c r="H111" s="280">
        <f t="shared" si="53"/>
        <v>25070.560000000001</v>
      </c>
      <c r="I111" s="279">
        <f t="shared" si="53"/>
        <v>17065.54</v>
      </c>
      <c r="J111" s="147">
        <f t="shared" si="53"/>
        <v>19378.22</v>
      </c>
      <c r="K111" s="147">
        <f t="shared" si="53"/>
        <v>16723.93</v>
      </c>
      <c r="L111" s="147">
        <f t="shared" si="53"/>
        <v>29922.67</v>
      </c>
      <c r="M111" s="279">
        <f t="shared" si="53"/>
        <v>16245.81</v>
      </c>
      <c r="N111" s="147">
        <f t="shared" si="53"/>
        <v>11407.82</v>
      </c>
      <c r="O111" s="147">
        <f t="shared" si="53"/>
        <v>15881.21</v>
      </c>
      <c r="P111" s="147">
        <f t="shared" si="53"/>
        <v>15611.66</v>
      </c>
      <c r="Q111" s="279">
        <f t="shared" si="53"/>
        <v>24224.06</v>
      </c>
      <c r="R111" s="147">
        <f t="shared" si="53"/>
        <v>14665.03</v>
      </c>
      <c r="S111" s="147">
        <f t="shared" si="53"/>
        <v>17082.689999999999</v>
      </c>
      <c r="T111" s="147">
        <f t="shared" si="53"/>
        <v>15754.67</v>
      </c>
      <c r="U111" s="147">
        <f t="shared" si="53"/>
        <v>26646.73</v>
      </c>
      <c r="V111" s="279">
        <f t="shared" si="53"/>
        <v>17432.82</v>
      </c>
      <c r="W111" s="147">
        <f t="shared" si="53"/>
        <v>17800.669999999998</v>
      </c>
      <c r="X111" s="147">
        <f t="shared" si="53"/>
        <v>17286.330000000002</v>
      </c>
      <c r="Y111" s="147">
        <f t="shared" si="53"/>
        <v>25343.38</v>
      </c>
      <c r="Z111" s="279">
        <f t="shared" si="53"/>
        <v>15036.67</v>
      </c>
      <c r="AA111" s="147">
        <f t="shared" si="53"/>
        <v>18629.68</v>
      </c>
      <c r="AB111" s="147">
        <f t="shared" si="53"/>
        <v>16151.91</v>
      </c>
      <c r="AC111" s="280">
        <f t="shared" si="53"/>
        <v>18102.84</v>
      </c>
      <c r="AD111" s="279">
        <f t="shared" si="53"/>
        <v>25881.599999999999</v>
      </c>
      <c r="AE111" s="142">
        <f t="shared" si="53"/>
        <v>17677.580000000002</v>
      </c>
      <c r="AF111" s="142">
        <f t="shared" si="53"/>
        <v>17546.810000000001</v>
      </c>
      <c r="AG111" s="142">
        <f t="shared" si="53"/>
        <v>19621.580000000002</v>
      </c>
      <c r="AH111" s="142">
        <f t="shared" si="53"/>
        <v>25073.54</v>
      </c>
      <c r="AI111" s="279">
        <f t="shared" si="53"/>
        <v>19359.689999999999</v>
      </c>
      <c r="AJ111" s="142">
        <f t="shared" si="53"/>
        <v>18490.62</v>
      </c>
      <c r="AK111" s="142">
        <f t="shared" si="53"/>
        <v>19399.88</v>
      </c>
      <c r="AL111" s="142">
        <f t="shared" si="53"/>
        <v>25152.27</v>
      </c>
      <c r="AM111" s="279">
        <f t="shared" si="53"/>
        <v>21273.78</v>
      </c>
      <c r="AN111" s="142">
        <f t="shared" si="53"/>
        <v>17776.189999999999</v>
      </c>
      <c r="AO111" s="142">
        <f t="shared" si="53"/>
        <v>17173.02</v>
      </c>
      <c r="AP111" s="142">
        <f t="shared" si="53"/>
        <v>26497.439999999999</v>
      </c>
      <c r="AQ111" s="279">
        <f t="shared" si="53"/>
        <v>17758.14</v>
      </c>
      <c r="AR111" s="147">
        <f t="shared" si="53"/>
        <v>18197.05</v>
      </c>
      <c r="AS111" s="147">
        <f t="shared" si="53"/>
        <v>15256.95</v>
      </c>
      <c r="AT111" s="147">
        <f t="shared" si="53"/>
        <v>16120.1</v>
      </c>
      <c r="AU111" s="147">
        <f t="shared" si="53"/>
        <v>24265.26</v>
      </c>
      <c r="AV111" s="279">
        <f t="shared" si="53"/>
        <v>17708.009999999998</v>
      </c>
      <c r="AW111" s="142">
        <f t="shared" si="53"/>
        <v>15366.4</v>
      </c>
      <c r="AX111" s="142">
        <f t="shared" si="53"/>
        <v>18774.580000000002</v>
      </c>
      <c r="AY111" s="142">
        <f t="shared" si="53"/>
        <v>25238.27</v>
      </c>
      <c r="AZ111" s="142">
        <f t="shared" si="53"/>
        <v>16056.45</v>
      </c>
      <c r="BA111" s="142">
        <f t="shared" si="53"/>
        <v>13604.09</v>
      </c>
      <c r="BB111" s="142">
        <f t="shared" si="53"/>
        <v>15803.05</v>
      </c>
      <c r="BC111" s="142">
        <f t="shared" si="53"/>
        <v>21871.1</v>
      </c>
    </row>
    <row r="112" spans="2:55" x14ac:dyDescent="0.25">
      <c r="B112" s="142" t="s">
        <v>845</v>
      </c>
      <c r="D112" s="279">
        <f t="shared" si="53"/>
        <v>2333.6</v>
      </c>
      <c r="E112" s="147">
        <f t="shared" si="53"/>
        <v>1498.19</v>
      </c>
      <c r="F112" s="147">
        <f t="shared" si="53"/>
        <v>3957.83</v>
      </c>
      <c r="G112" s="147">
        <f t="shared" si="53"/>
        <v>3737.05</v>
      </c>
      <c r="H112" s="280">
        <f t="shared" si="53"/>
        <v>3912.04</v>
      </c>
      <c r="I112" s="279">
        <f t="shared" si="53"/>
        <v>2312.7600000000002</v>
      </c>
      <c r="J112" s="147">
        <f t="shared" si="53"/>
        <v>1291.3900000000001</v>
      </c>
      <c r="K112" s="147">
        <f t="shared" si="53"/>
        <v>2184.33</v>
      </c>
      <c r="L112" s="147">
        <f t="shared" si="53"/>
        <v>1379.52</v>
      </c>
      <c r="M112" s="279">
        <f t="shared" si="53"/>
        <v>2303.6999999999998</v>
      </c>
      <c r="N112" s="147">
        <f t="shared" si="53"/>
        <v>2749.37</v>
      </c>
      <c r="O112" s="147">
        <f t="shared" si="53"/>
        <v>3547.78</v>
      </c>
      <c r="P112" s="147">
        <f t="shared" si="53"/>
        <v>1419.46</v>
      </c>
      <c r="Q112" s="279">
        <f t="shared" si="53"/>
        <v>3596.26</v>
      </c>
      <c r="R112" s="147">
        <f t="shared" si="53"/>
        <v>2315.4899999999998</v>
      </c>
      <c r="S112" s="147">
        <f t="shared" si="53"/>
        <v>2091.91</v>
      </c>
      <c r="T112" s="147">
        <f t="shared" si="53"/>
        <v>1877.53</v>
      </c>
      <c r="U112" s="147">
        <f t="shared" si="53"/>
        <v>2360.1999999999998</v>
      </c>
      <c r="V112" s="279">
        <f t="shared" si="53"/>
        <v>2507.9899999999998</v>
      </c>
      <c r="W112" s="147">
        <f t="shared" si="53"/>
        <v>3005.24</v>
      </c>
      <c r="X112" s="147">
        <f t="shared" si="53"/>
        <v>2222.4499999999998</v>
      </c>
      <c r="Y112" s="147">
        <f t="shared" si="53"/>
        <v>2083.2800000000002</v>
      </c>
      <c r="Z112" s="279">
        <f t="shared" si="53"/>
        <v>3271.47</v>
      </c>
      <c r="AA112" s="147">
        <f t="shared" si="53"/>
        <v>2133.75</v>
      </c>
      <c r="AB112" s="147">
        <f t="shared" si="53"/>
        <v>3157.98</v>
      </c>
      <c r="AC112" s="280">
        <f t="shared" si="53"/>
        <v>2969.67</v>
      </c>
      <c r="AD112" s="279">
        <f t="shared" si="53"/>
        <v>2579.08</v>
      </c>
      <c r="AE112" s="142">
        <f t="shared" si="53"/>
        <v>3136.13</v>
      </c>
      <c r="AF112" s="142">
        <f t="shared" si="53"/>
        <v>3564.96</v>
      </c>
      <c r="AG112" s="142">
        <f t="shared" si="53"/>
        <v>2238.04</v>
      </c>
      <c r="AH112" s="142">
        <f t="shared" si="53"/>
        <v>3390.9</v>
      </c>
      <c r="AI112" s="279">
        <f t="shared" si="53"/>
        <v>3066.21</v>
      </c>
      <c r="AJ112" s="142">
        <f t="shared" si="53"/>
        <v>2827.54</v>
      </c>
      <c r="AK112" s="142">
        <f t="shared" si="53"/>
        <v>4315.33</v>
      </c>
      <c r="AL112" s="142">
        <f t="shared" si="53"/>
        <v>3571.94</v>
      </c>
      <c r="AM112" s="279">
        <f t="shared" si="53"/>
        <v>2920.7</v>
      </c>
      <c r="AN112" s="142">
        <f t="shared" si="53"/>
        <v>2257.1799999999998</v>
      </c>
      <c r="AO112" s="142">
        <f t="shared" si="53"/>
        <v>2660.34</v>
      </c>
      <c r="AP112" s="142">
        <f t="shared" si="53"/>
        <v>1988.14</v>
      </c>
      <c r="AQ112" s="279">
        <f t="shared" si="53"/>
        <v>3809.7</v>
      </c>
      <c r="AR112" s="147">
        <f t="shared" si="53"/>
        <v>4656.8100000000004</v>
      </c>
      <c r="AS112" s="147">
        <f t="shared" si="53"/>
        <v>2236.75</v>
      </c>
      <c r="AT112" s="147">
        <f t="shared" si="53"/>
        <v>3978.86</v>
      </c>
      <c r="AU112" s="147">
        <f t="shared" si="53"/>
        <v>4277.5</v>
      </c>
      <c r="AV112" s="279">
        <f t="shared" si="53"/>
        <v>2922.5</v>
      </c>
      <c r="AW112" s="142">
        <f t="shared" si="53"/>
        <v>2191.5700000000002</v>
      </c>
      <c r="AX112" s="142">
        <f t="shared" si="53"/>
        <v>2485.23</v>
      </c>
      <c r="AY112" s="142">
        <f t="shared" si="53"/>
        <v>2400.2600000000002</v>
      </c>
      <c r="AZ112" s="142">
        <f t="shared" si="53"/>
        <v>1731.9</v>
      </c>
      <c r="BA112" s="142">
        <f t="shared" si="53"/>
        <v>2561.75</v>
      </c>
      <c r="BB112" s="142">
        <f t="shared" si="53"/>
        <v>2365.8200000000002</v>
      </c>
      <c r="BC112" s="142">
        <f t="shared" si="53"/>
        <v>2066.5300000000002</v>
      </c>
    </row>
    <row r="113" spans="2:56" x14ac:dyDescent="0.25">
      <c r="B113" s="291" t="s">
        <v>846</v>
      </c>
      <c r="C113" s="292"/>
      <c r="D113" s="293">
        <f t="shared" ref="D113:BC113" si="54">D112+D111</f>
        <v>17960.169999999998</v>
      </c>
      <c r="E113" s="173">
        <f t="shared" si="54"/>
        <v>16514.419999999998</v>
      </c>
      <c r="F113" s="173">
        <f t="shared" si="54"/>
        <v>22173.17</v>
      </c>
      <c r="G113" s="173">
        <f t="shared" si="54"/>
        <v>19308.439999999999</v>
      </c>
      <c r="H113" s="294">
        <f t="shared" si="54"/>
        <v>28982.600000000002</v>
      </c>
      <c r="I113" s="293">
        <f t="shared" si="54"/>
        <v>19378.300000000003</v>
      </c>
      <c r="J113" s="173">
        <f t="shared" si="54"/>
        <v>20669.61</v>
      </c>
      <c r="K113" s="173">
        <f t="shared" si="54"/>
        <v>18908.260000000002</v>
      </c>
      <c r="L113" s="296">
        <f t="shared" si="54"/>
        <v>31302.19</v>
      </c>
      <c r="M113" s="293">
        <f t="shared" si="54"/>
        <v>18549.509999999998</v>
      </c>
      <c r="N113" s="173">
        <f t="shared" si="54"/>
        <v>14157.189999999999</v>
      </c>
      <c r="O113" s="173">
        <f t="shared" si="54"/>
        <v>19428.989999999998</v>
      </c>
      <c r="P113" s="296">
        <f t="shared" si="54"/>
        <v>17031.12</v>
      </c>
      <c r="Q113" s="293">
        <f t="shared" si="54"/>
        <v>27820.32</v>
      </c>
      <c r="R113" s="173">
        <f t="shared" si="54"/>
        <v>16980.52</v>
      </c>
      <c r="S113" s="173">
        <f t="shared" si="54"/>
        <v>19174.599999999999</v>
      </c>
      <c r="T113" s="173">
        <f t="shared" si="54"/>
        <v>17632.2</v>
      </c>
      <c r="U113" s="296">
        <f t="shared" si="54"/>
        <v>29006.93</v>
      </c>
      <c r="V113" s="293">
        <f t="shared" si="54"/>
        <v>19940.809999999998</v>
      </c>
      <c r="W113" s="173">
        <f t="shared" si="54"/>
        <v>20805.909999999996</v>
      </c>
      <c r="X113" s="296">
        <f t="shared" si="54"/>
        <v>19508.780000000002</v>
      </c>
      <c r="Y113" s="173">
        <f t="shared" si="54"/>
        <v>27426.66</v>
      </c>
      <c r="Z113" s="293">
        <f t="shared" si="54"/>
        <v>18308.14</v>
      </c>
      <c r="AA113" s="173">
        <f t="shared" si="54"/>
        <v>20763.43</v>
      </c>
      <c r="AB113" s="173">
        <f t="shared" si="54"/>
        <v>19309.89</v>
      </c>
      <c r="AC113" s="294">
        <f t="shared" si="54"/>
        <v>21072.510000000002</v>
      </c>
      <c r="AD113" s="293">
        <f t="shared" si="54"/>
        <v>28460.68</v>
      </c>
      <c r="AE113" s="173">
        <f t="shared" si="54"/>
        <v>20813.710000000003</v>
      </c>
      <c r="AF113" s="173">
        <f t="shared" si="54"/>
        <v>21111.77</v>
      </c>
      <c r="AG113" s="173">
        <f t="shared" si="54"/>
        <v>21859.620000000003</v>
      </c>
      <c r="AH113" s="296">
        <f t="shared" si="54"/>
        <v>28464.440000000002</v>
      </c>
      <c r="AI113" s="293">
        <f t="shared" si="54"/>
        <v>22425.899999999998</v>
      </c>
      <c r="AJ113" s="173">
        <f t="shared" si="54"/>
        <v>21318.16</v>
      </c>
      <c r="AK113" s="173">
        <f t="shared" si="54"/>
        <v>23715.21</v>
      </c>
      <c r="AL113" s="296">
        <f t="shared" si="54"/>
        <v>28724.21</v>
      </c>
      <c r="AM113" s="293">
        <f t="shared" si="54"/>
        <v>24194.48</v>
      </c>
      <c r="AN113" s="173">
        <f t="shared" si="54"/>
        <v>20033.37</v>
      </c>
      <c r="AO113" s="173">
        <f t="shared" si="54"/>
        <v>19833.36</v>
      </c>
      <c r="AP113" s="296">
        <f t="shared" si="54"/>
        <v>28485.579999999998</v>
      </c>
      <c r="AQ113" s="293">
        <f t="shared" si="54"/>
        <v>21567.84</v>
      </c>
      <c r="AR113" s="173">
        <f t="shared" si="54"/>
        <v>22853.86</v>
      </c>
      <c r="AS113" s="173">
        <f t="shared" si="54"/>
        <v>17493.7</v>
      </c>
      <c r="AT113" s="173">
        <f t="shared" si="54"/>
        <v>20098.96</v>
      </c>
      <c r="AU113" s="296">
        <f t="shared" si="54"/>
        <v>28542.76</v>
      </c>
      <c r="AV113" s="293">
        <f t="shared" si="54"/>
        <v>20630.509999999998</v>
      </c>
      <c r="AW113" s="173">
        <f t="shared" si="54"/>
        <v>17557.97</v>
      </c>
      <c r="AX113" s="173">
        <f t="shared" si="54"/>
        <v>21259.81</v>
      </c>
      <c r="AY113" s="173">
        <f t="shared" si="54"/>
        <v>27638.53</v>
      </c>
      <c r="AZ113" s="173">
        <f t="shared" si="54"/>
        <v>17788.350000000002</v>
      </c>
      <c r="BA113" s="173">
        <f t="shared" si="54"/>
        <v>16165.84</v>
      </c>
      <c r="BB113" s="173">
        <f t="shared" si="54"/>
        <v>18168.87</v>
      </c>
      <c r="BC113" s="173">
        <f t="shared" si="54"/>
        <v>23937.629999999997</v>
      </c>
    </row>
    <row r="114" spans="2:56" x14ac:dyDescent="0.25">
      <c r="B114" s="291" t="s">
        <v>800</v>
      </c>
      <c r="C114" s="292"/>
      <c r="D114" s="293">
        <f t="shared" ref="D114:BC114" si="55">D70+D71</f>
        <v>1834.17</v>
      </c>
      <c r="E114" s="173">
        <f t="shared" si="55"/>
        <v>1028.9000000000001</v>
      </c>
      <c r="F114" s="173">
        <f t="shared" si="55"/>
        <v>1156.28</v>
      </c>
      <c r="G114" s="173">
        <f t="shared" si="55"/>
        <v>2045.74</v>
      </c>
      <c r="H114" s="294">
        <f t="shared" si="55"/>
        <v>1977.8999999999999</v>
      </c>
      <c r="I114" s="293">
        <f t="shared" si="55"/>
        <v>2008.13</v>
      </c>
      <c r="J114" s="173">
        <f t="shared" si="55"/>
        <v>881.52</v>
      </c>
      <c r="K114" s="173">
        <f t="shared" si="55"/>
        <v>2405.0100000000002</v>
      </c>
      <c r="L114" s="296">
        <f t="shared" si="55"/>
        <v>1065.5</v>
      </c>
      <c r="M114" s="293">
        <f t="shared" si="55"/>
        <v>43.08</v>
      </c>
      <c r="N114" s="173">
        <f t="shared" si="55"/>
        <v>2628.71</v>
      </c>
      <c r="O114" s="173">
        <f t="shared" si="55"/>
        <v>354.28999999999996</v>
      </c>
      <c r="P114" s="296">
        <f t="shared" si="55"/>
        <v>2638.18</v>
      </c>
      <c r="Q114" s="293">
        <f t="shared" si="55"/>
        <v>93.46</v>
      </c>
      <c r="R114" s="173">
        <f t="shared" si="55"/>
        <v>1318.52</v>
      </c>
      <c r="S114" s="173">
        <f t="shared" si="55"/>
        <v>139.83000000000001</v>
      </c>
      <c r="T114" s="173">
        <f t="shared" si="55"/>
        <v>1731.58</v>
      </c>
      <c r="U114" s="296">
        <f t="shared" si="55"/>
        <v>122.35</v>
      </c>
      <c r="V114" s="293">
        <f t="shared" si="55"/>
        <v>2056.2399999999998</v>
      </c>
      <c r="W114" s="173">
        <f t="shared" si="55"/>
        <v>1404.11</v>
      </c>
      <c r="X114" s="296">
        <f t="shared" si="55"/>
        <v>922.43999999999994</v>
      </c>
      <c r="Y114" s="173">
        <f t="shared" si="55"/>
        <v>1950.18</v>
      </c>
      <c r="Z114" s="293">
        <f t="shared" si="55"/>
        <v>1609.98</v>
      </c>
      <c r="AA114" s="173">
        <f t="shared" si="55"/>
        <v>3556.95</v>
      </c>
      <c r="AB114" s="173">
        <f t="shared" si="55"/>
        <v>1268.29</v>
      </c>
      <c r="AC114" s="294">
        <f t="shared" si="55"/>
        <v>161.43</v>
      </c>
      <c r="AD114" s="293">
        <f t="shared" si="55"/>
        <v>1910</v>
      </c>
      <c r="AE114" s="173">
        <f t="shared" si="55"/>
        <v>1057.31</v>
      </c>
      <c r="AF114" s="173">
        <f t="shared" si="55"/>
        <v>2136.2600000000002</v>
      </c>
      <c r="AG114" s="173">
        <f t="shared" si="55"/>
        <v>1398.6</v>
      </c>
      <c r="AH114" s="296">
        <f t="shared" si="55"/>
        <v>67.97</v>
      </c>
      <c r="AI114" s="293">
        <f t="shared" si="55"/>
        <v>1679.67</v>
      </c>
      <c r="AJ114" s="173">
        <f t="shared" si="55"/>
        <v>1517.48</v>
      </c>
      <c r="AK114" s="173">
        <f t="shared" si="55"/>
        <v>978.04</v>
      </c>
      <c r="AL114" s="296">
        <f t="shared" si="55"/>
        <v>839.54</v>
      </c>
      <c r="AM114" s="293">
        <f t="shared" si="55"/>
        <v>1502.7</v>
      </c>
      <c r="AN114" s="173">
        <f t="shared" si="55"/>
        <v>1494.4099999999999</v>
      </c>
      <c r="AO114" s="173">
        <f t="shared" si="55"/>
        <v>1546.99</v>
      </c>
      <c r="AP114" s="296">
        <f t="shared" si="55"/>
        <v>3460.99</v>
      </c>
      <c r="AQ114" s="293">
        <f t="shared" si="55"/>
        <v>49.18</v>
      </c>
      <c r="AR114" s="173">
        <f t="shared" si="55"/>
        <v>1770.53</v>
      </c>
      <c r="AS114" s="173">
        <f t="shared" si="55"/>
        <v>49.18</v>
      </c>
      <c r="AT114" s="173">
        <f t="shared" si="55"/>
        <v>3175.2599999999998</v>
      </c>
      <c r="AU114" s="296">
        <f t="shared" si="55"/>
        <v>115.15</v>
      </c>
      <c r="AV114" s="293">
        <f t="shared" si="55"/>
        <v>2273.34</v>
      </c>
      <c r="AW114" s="173">
        <f t="shared" si="55"/>
        <v>24.59</v>
      </c>
      <c r="AX114" s="173">
        <f t="shared" si="55"/>
        <v>2096.35</v>
      </c>
      <c r="AY114" s="173">
        <f t="shared" si="55"/>
        <v>49.18</v>
      </c>
      <c r="AZ114" s="173">
        <f t="shared" si="55"/>
        <v>2178.5500000000002</v>
      </c>
      <c r="BA114" s="173">
        <f t="shared" si="55"/>
        <v>181.87</v>
      </c>
      <c r="BB114" s="173">
        <f t="shared" si="55"/>
        <v>4417.2299999999996</v>
      </c>
      <c r="BC114" s="173">
        <f t="shared" si="55"/>
        <v>0</v>
      </c>
    </row>
    <row r="115" spans="2:56" x14ac:dyDescent="0.25">
      <c r="B115" s="291" t="s">
        <v>847</v>
      </c>
      <c r="C115" s="292"/>
      <c r="D115" s="293">
        <f t="shared" ref="D115:J115" si="56">D80</f>
        <v>2800</v>
      </c>
      <c r="E115" s="173">
        <f t="shared" si="56"/>
        <v>1810</v>
      </c>
      <c r="F115" s="173">
        <f t="shared" si="56"/>
        <v>2885.04</v>
      </c>
      <c r="G115" s="173">
        <f t="shared" si="56"/>
        <v>2175</v>
      </c>
      <c r="H115" s="294">
        <f t="shared" si="56"/>
        <v>2750.05</v>
      </c>
      <c r="I115" s="293">
        <f t="shared" si="56"/>
        <v>4618.9799999999996</v>
      </c>
      <c r="J115" s="173">
        <f t="shared" si="56"/>
        <v>2305</v>
      </c>
      <c r="K115" s="173">
        <f>K80</f>
        <v>9450.01</v>
      </c>
      <c r="L115" s="296">
        <f t="shared" ref="L115:BC115" si="57">L80</f>
        <v>6450</v>
      </c>
      <c r="M115" s="293">
        <f t="shared" si="57"/>
        <v>4160</v>
      </c>
      <c r="N115" s="173">
        <f t="shared" si="57"/>
        <v>2500</v>
      </c>
      <c r="O115" s="173">
        <f t="shared" si="57"/>
        <v>1150</v>
      </c>
      <c r="P115" s="296">
        <f t="shared" si="57"/>
        <v>260</v>
      </c>
      <c r="Q115" s="293">
        <f t="shared" si="57"/>
        <v>325</v>
      </c>
      <c r="R115" s="173">
        <f t="shared" si="57"/>
        <v>60</v>
      </c>
      <c r="S115" s="173">
        <f t="shared" si="57"/>
        <v>530</v>
      </c>
      <c r="T115" s="173">
        <f t="shared" si="57"/>
        <v>920</v>
      </c>
      <c r="U115" s="296">
        <f t="shared" si="57"/>
        <v>250</v>
      </c>
      <c r="V115" s="293">
        <f t="shared" si="57"/>
        <v>1020</v>
      </c>
      <c r="W115" s="173">
        <f t="shared" si="57"/>
        <v>118.99</v>
      </c>
      <c r="X115" s="296">
        <f t="shared" si="57"/>
        <v>125</v>
      </c>
      <c r="Y115" s="173">
        <f t="shared" si="57"/>
        <v>130</v>
      </c>
      <c r="Z115" s="293">
        <f t="shared" si="57"/>
        <v>160</v>
      </c>
      <c r="AA115" s="173">
        <f t="shared" si="57"/>
        <v>30</v>
      </c>
      <c r="AB115" s="173">
        <f t="shared" si="57"/>
        <v>725</v>
      </c>
      <c r="AC115" s="294">
        <f t="shared" si="57"/>
        <v>1340</v>
      </c>
      <c r="AD115" s="293">
        <f t="shared" si="57"/>
        <v>115</v>
      </c>
      <c r="AE115" s="173">
        <f t="shared" si="57"/>
        <v>1082.99</v>
      </c>
      <c r="AF115" s="173">
        <f t="shared" si="57"/>
        <v>500</v>
      </c>
      <c r="AG115" s="173">
        <f t="shared" si="57"/>
        <v>400</v>
      </c>
      <c r="AH115" s="296">
        <f t="shared" si="57"/>
        <v>510</v>
      </c>
      <c r="AI115" s="293">
        <f t="shared" si="57"/>
        <v>620</v>
      </c>
      <c r="AJ115" s="173">
        <f t="shared" si="57"/>
        <v>270</v>
      </c>
      <c r="AK115" s="173">
        <f t="shared" si="57"/>
        <v>25</v>
      </c>
      <c r="AL115" s="296">
        <f t="shared" si="57"/>
        <v>520</v>
      </c>
      <c r="AM115" s="293">
        <f t="shared" si="57"/>
        <v>325</v>
      </c>
      <c r="AN115" s="173">
        <f t="shared" si="57"/>
        <v>560</v>
      </c>
      <c r="AO115" s="173">
        <f t="shared" si="57"/>
        <v>975</v>
      </c>
      <c r="AP115" s="296">
        <f t="shared" si="57"/>
        <v>445</v>
      </c>
      <c r="AQ115" s="293">
        <f t="shared" si="57"/>
        <v>300</v>
      </c>
      <c r="AR115" s="173">
        <f t="shared" si="57"/>
        <v>835</v>
      </c>
      <c r="AS115" s="173">
        <f t="shared" si="57"/>
        <v>580</v>
      </c>
      <c r="AT115" s="173">
        <f t="shared" si="57"/>
        <v>625</v>
      </c>
      <c r="AU115" s="296">
        <f t="shared" si="57"/>
        <v>275</v>
      </c>
      <c r="AV115" s="293">
        <f t="shared" si="57"/>
        <v>35</v>
      </c>
      <c r="AW115" s="173">
        <f t="shared" si="57"/>
        <v>150</v>
      </c>
      <c r="AX115" s="173">
        <f t="shared" si="57"/>
        <v>375</v>
      </c>
      <c r="AY115" s="173">
        <f t="shared" si="57"/>
        <v>100</v>
      </c>
      <c r="AZ115" s="173">
        <f t="shared" si="57"/>
        <v>250</v>
      </c>
      <c r="BA115" s="173">
        <f t="shared" si="57"/>
        <v>407.99</v>
      </c>
      <c r="BB115" s="173">
        <f t="shared" si="57"/>
        <v>75</v>
      </c>
      <c r="BC115" s="173">
        <f t="shared" si="57"/>
        <v>287.98</v>
      </c>
    </row>
    <row r="116" spans="2:56" ht="15.75" thickBot="1" x14ac:dyDescent="0.3">
      <c r="B116" s="291" t="s">
        <v>848</v>
      </c>
      <c r="C116" s="292"/>
      <c r="D116" s="305">
        <f>+D106+D110+D113+D114</f>
        <v>241435.69000000003</v>
      </c>
      <c r="E116" s="306">
        <f t="shared" ref="E116:F116" si="58">+E106+E110+E113+E114</f>
        <v>236995.59</v>
      </c>
      <c r="F116" s="306">
        <f t="shared" si="58"/>
        <v>225116.69999999998</v>
      </c>
      <c r="G116" s="306">
        <f>+G106+G110+G113+G114</f>
        <v>192117.09999999998</v>
      </c>
      <c r="H116" s="307">
        <f t="shared" ref="H116:I116" si="59">+H106+H110+H113+H114</f>
        <v>231542.03</v>
      </c>
      <c r="I116" s="308">
        <f t="shared" si="59"/>
        <v>220486.29300000001</v>
      </c>
      <c r="J116" s="309">
        <f>+J106+J110+J113+J114</f>
        <v>254729.32000000004</v>
      </c>
      <c r="K116" s="309">
        <f>+K106+K110+K113+K114</f>
        <v>235310.02300000002</v>
      </c>
      <c r="L116" s="310">
        <f t="shared" ref="L116:Y116" si="60">+L106+L110+L113+L114</f>
        <v>273032.08999999997</v>
      </c>
      <c r="M116" s="305">
        <f t="shared" si="60"/>
        <v>169632.28</v>
      </c>
      <c r="N116" s="306">
        <f>+N106+N110+N113+N114</f>
        <v>169079.3</v>
      </c>
      <c r="O116" s="306">
        <f t="shared" si="60"/>
        <v>233399.77</v>
      </c>
      <c r="P116" s="310">
        <f t="shared" si="60"/>
        <v>203928.75</v>
      </c>
      <c r="Q116" s="308">
        <f t="shared" si="60"/>
        <v>232439.46000000002</v>
      </c>
      <c r="R116" s="309">
        <f t="shared" si="60"/>
        <v>242609.66999999998</v>
      </c>
      <c r="S116" s="309">
        <f t="shared" si="60"/>
        <v>208072.49</v>
      </c>
      <c r="T116" s="306">
        <f t="shared" si="60"/>
        <v>230349.98000000004</v>
      </c>
      <c r="U116" s="310">
        <f t="shared" si="60"/>
        <v>237908.28000000003</v>
      </c>
      <c r="V116" s="308">
        <f t="shared" si="60"/>
        <v>284563.43</v>
      </c>
      <c r="W116" s="306">
        <f t="shared" si="60"/>
        <v>273490.06999999995</v>
      </c>
      <c r="X116" s="310">
        <f t="shared" si="60"/>
        <v>217126.28999999998</v>
      </c>
      <c r="Y116" s="309">
        <f t="shared" si="60"/>
        <v>247522.27</v>
      </c>
      <c r="Z116" s="308">
        <f>+Z106+Z110+Z113+Z114</f>
        <v>208286.03</v>
      </c>
      <c r="AA116" s="306">
        <f t="shared" ref="AA116:BC116" si="61">+AA106+AA110+AA113+AA114</f>
        <v>237526.12</v>
      </c>
      <c r="AB116" s="306">
        <f t="shared" si="61"/>
        <v>241204.98000000007</v>
      </c>
      <c r="AC116" s="307">
        <f t="shared" si="61"/>
        <v>237749.27000000002</v>
      </c>
      <c r="AD116" s="308">
        <f t="shared" si="61"/>
        <v>232471.31</v>
      </c>
      <c r="AE116" s="309">
        <f t="shared" si="61"/>
        <v>246164.09</v>
      </c>
      <c r="AF116" s="309">
        <f t="shared" si="61"/>
        <v>251990.19999999998</v>
      </c>
      <c r="AG116" s="306">
        <f t="shared" si="61"/>
        <v>255757.12999999998</v>
      </c>
      <c r="AH116" s="310">
        <f t="shared" si="61"/>
        <v>245018.51</v>
      </c>
      <c r="AI116" s="308">
        <f t="shared" si="61"/>
        <v>267794.85000000003</v>
      </c>
      <c r="AJ116" s="173">
        <f t="shared" si="61"/>
        <v>272963.51999999996</v>
      </c>
      <c r="AK116" s="173">
        <f t="shared" si="61"/>
        <v>270242.23</v>
      </c>
      <c r="AL116" s="310">
        <f t="shared" si="61"/>
        <v>314143.11</v>
      </c>
      <c r="AM116" s="308">
        <f t="shared" si="61"/>
        <v>277639.98</v>
      </c>
      <c r="AN116" s="173">
        <f t="shared" si="61"/>
        <v>245941.07</v>
      </c>
      <c r="AO116" s="173">
        <f t="shared" si="61"/>
        <v>334440.35999999993</v>
      </c>
      <c r="AP116" s="310">
        <f t="shared" si="61"/>
        <v>271783.32</v>
      </c>
      <c r="AQ116" s="308">
        <f t="shared" si="61"/>
        <v>236177.94</v>
      </c>
      <c r="AR116" s="309">
        <f t="shared" si="61"/>
        <v>251886.33000000005</v>
      </c>
      <c r="AS116" s="309">
        <f t="shared" si="61"/>
        <v>249803.52000000002</v>
      </c>
      <c r="AT116" s="306">
        <f t="shared" si="61"/>
        <v>228817.06999999998</v>
      </c>
      <c r="AU116" s="310">
        <f t="shared" si="61"/>
        <v>269742.91000000003</v>
      </c>
      <c r="AV116" s="308">
        <f t="shared" si="61"/>
        <v>247305.17999999996</v>
      </c>
      <c r="AW116" s="173">
        <f t="shared" si="61"/>
        <v>225180.21999999997</v>
      </c>
      <c r="AX116" s="173">
        <f t="shared" si="61"/>
        <v>262511.74999999994</v>
      </c>
      <c r="AY116" s="173">
        <f t="shared" si="61"/>
        <v>254322.92999999996</v>
      </c>
      <c r="AZ116" s="173">
        <f t="shared" si="61"/>
        <v>250055.63999999998</v>
      </c>
      <c r="BA116" s="173">
        <f t="shared" si="61"/>
        <v>242747.91999999998</v>
      </c>
      <c r="BB116" s="173">
        <f t="shared" si="61"/>
        <v>252003.55</v>
      </c>
      <c r="BC116" s="173">
        <f t="shared" si="61"/>
        <v>287286.24</v>
      </c>
    </row>
    <row r="117" spans="2:56" x14ac:dyDescent="0.25">
      <c r="D117" s="311">
        <f>D91</f>
        <v>45591</v>
      </c>
      <c r="E117" s="312">
        <f t="shared" ref="E117:BC117" si="62">E91</f>
        <v>45598</v>
      </c>
      <c r="F117" s="312">
        <f t="shared" si="62"/>
        <v>45605</v>
      </c>
      <c r="G117" s="312">
        <f t="shared" si="62"/>
        <v>45612</v>
      </c>
      <c r="H117" s="313">
        <f t="shared" si="62"/>
        <v>45619</v>
      </c>
      <c r="I117" s="311">
        <f t="shared" si="62"/>
        <v>45626</v>
      </c>
      <c r="J117" s="312">
        <f t="shared" si="62"/>
        <v>45633</v>
      </c>
      <c r="K117" s="312">
        <f t="shared" si="62"/>
        <v>45640</v>
      </c>
      <c r="L117" s="313">
        <f t="shared" si="62"/>
        <v>45647</v>
      </c>
      <c r="M117" s="311">
        <f t="shared" si="62"/>
        <v>45654</v>
      </c>
      <c r="N117" s="312">
        <f t="shared" si="62"/>
        <v>45661</v>
      </c>
      <c r="O117" s="312">
        <f t="shared" si="62"/>
        <v>45668</v>
      </c>
      <c r="P117" s="313">
        <f t="shared" si="62"/>
        <v>45675</v>
      </c>
      <c r="Q117" s="311">
        <f t="shared" si="62"/>
        <v>45682</v>
      </c>
      <c r="R117" s="312">
        <f t="shared" si="62"/>
        <v>45689</v>
      </c>
      <c r="S117" s="312">
        <f t="shared" si="62"/>
        <v>45696</v>
      </c>
      <c r="T117" s="312">
        <f t="shared" si="62"/>
        <v>45703</v>
      </c>
      <c r="U117" s="313">
        <f t="shared" si="62"/>
        <v>45710</v>
      </c>
      <c r="V117" s="311">
        <f t="shared" si="62"/>
        <v>45717</v>
      </c>
      <c r="W117" s="312">
        <f t="shared" si="62"/>
        <v>45724</v>
      </c>
      <c r="X117" s="312">
        <f t="shared" si="62"/>
        <v>45731</v>
      </c>
      <c r="Y117" s="313">
        <f t="shared" si="62"/>
        <v>45738</v>
      </c>
      <c r="Z117" s="311">
        <f t="shared" si="62"/>
        <v>45745</v>
      </c>
      <c r="AA117" s="312">
        <f t="shared" si="62"/>
        <v>45752</v>
      </c>
      <c r="AB117" s="312">
        <f t="shared" si="62"/>
        <v>45759</v>
      </c>
      <c r="AC117" s="313">
        <f t="shared" si="62"/>
        <v>45766</v>
      </c>
      <c r="AD117" s="311">
        <f t="shared" si="62"/>
        <v>45773</v>
      </c>
      <c r="AE117" s="312">
        <f t="shared" si="62"/>
        <v>45780</v>
      </c>
      <c r="AF117" s="312">
        <f t="shared" si="62"/>
        <v>45787</v>
      </c>
      <c r="AG117" s="312">
        <f t="shared" si="62"/>
        <v>45794</v>
      </c>
      <c r="AH117" s="313">
        <f t="shared" si="62"/>
        <v>45801</v>
      </c>
      <c r="AI117" s="311">
        <f t="shared" si="62"/>
        <v>45808</v>
      </c>
      <c r="AJ117" s="312">
        <f t="shared" si="62"/>
        <v>45815</v>
      </c>
      <c r="AK117" s="312">
        <f t="shared" si="62"/>
        <v>45822</v>
      </c>
      <c r="AL117" s="313">
        <f t="shared" si="62"/>
        <v>45829</v>
      </c>
      <c r="AM117" s="311">
        <f t="shared" si="62"/>
        <v>45836</v>
      </c>
      <c r="AN117" s="312">
        <f t="shared" si="62"/>
        <v>45843</v>
      </c>
      <c r="AO117" s="312">
        <f t="shared" si="62"/>
        <v>45850</v>
      </c>
      <c r="AP117" s="313">
        <f t="shared" si="62"/>
        <v>45857</v>
      </c>
      <c r="AQ117" s="311">
        <f t="shared" si="62"/>
        <v>45864</v>
      </c>
      <c r="AR117" s="312">
        <f t="shared" si="62"/>
        <v>45871</v>
      </c>
      <c r="AS117" s="312">
        <f t="shared" si="62"/>
        <v>45878</v>
      </c>
      <c r="AT117" s="312">
        <f t="shared" si="62"/>
        <v>45885</v>
      </c>
      <c r="AU117" s="313">
        <f t="shared" si="62"/>
        <v>45892</v>
      </c>
      <c r="AV117" s="311">
        <f t="shared" si="62"/>
        <v>45899</v>
      </c>
      <c r="AW117" s="312">
        <f t="shared" si="62"/>
        <v>45906</v>
      </c>
      <c r="AX117" s="312">
        <f t="shared" si="62"/>
        <v>45913</v>
      </c>
      <c r="AY117" s="313">
        <f t="shared" si="62"/>
        <v>45920</v>
      </c>
      <c r="AZ117" s="312">
        <f t="shared" si="62"/>
        <v>45927</v>
      </c>
      <c r="BA117" s="312">
        <f t="shared" si="62"/>
        <v>45934</v>
      </c>
      <c r="BB117" s="312">
        <f t="shared" si="62"/>
        <v>45941</v>
      </c>
      <c r="BC117" s="313">
        <f t="shared" si="62"/>
        <v>45948</v>
      </c>
    </row>
    <row r="118" spans="2:56" x14ac:dyDescent="0.25">
      <c r="B118" s="314" t="s">
        <v>849</v>
      </c>
      <c r="D118" s="281"/>
      <c r="H118" s="282"/>
      <c r="I118" s="281"/>
      <c r="L118" s="282"/>
      <c r="M118" s="281"/>
      <c r="P118" s="282"/>
      <c r="Q118" s="281"/>
      <c r="R118" s="315"/>
      <c r="S118" s="315"/>
      <c r="U118" s="282"/>
      <c r="V118" s="281"/>
      <c r="Y118" s="282"/>
      <c r="Z118" s="281"/>
      <c r="AA118" s="315"/>
      <c r="AB118" s="315"/>
      <c r="AC118" s="316"/>
      <c r="AD118" s="281"/>
      <c r="AE118" s="315"/>
      <c r="AF118" s="315"/>
      <c r="AH118" s="282"/>
      <c r="AI118" s="281"/>
      <c r="AJ118" s="315"/>
      <c r="AK118" s="315"/>
      <c r="AL118" s="282"/>
      <c r="AM118" s="281"/>
      <c r="AN118" s="315"/>
      <c r="AO118" s="315"/>
      <c r="AP118" s="282"/>
      <c r="AQ118" s="281"/>
      <c r="AR118" s="315"/>
      <c r="AS118" s="315"/>
      <c r="AU118" s="282"/>
      <c r="AV118" s="281"/>
      <c r="AW118" s="315"/>
      <c r="AX118" s="315"/>
      <c r="AY118" s="316"/>
      <c r="AZ118" s="315"/>
      <c r="BA118" s="315"/>
      <c r="BB118" s="315"/>
      <c r="BC118" s="316"/>
    </row>
    <row r="119" spans="2:56" x14ac:dyDescent="0.25">
      <c r="B119" s="314" t="s">
        <v>850</v>
      </c>
      <c r="D119" s="281">
        <v>545.78</v>
      </c>
      <c r="E119">
        <v>554.78</v>
      </c>
      <c r="F119">
        <v>551.88</v>
      </c>
      <c r="G119">
        <v>571.28</v>
      </c>
      <c r="H119" s="282">
        <v>536.9</v>
      </c>
      <c r="I119" s="281">
        <v>512</v>
      </c>
      <c r="J119">
        <v>502.5</v>
      </c>
      <c r="K119">
        <v>545.9</v>
      </c>
      <c r="L119" s="282">
        <v>528.48</v>
      </c>
      <c r="M119" s="281">
        <v>581.66999999999996</v>
      </c>
      <c r="N119">
        <v>532.22</v>
      </c>
      <c r="O119">
        <v>514.85</v>
      </c>
      <c r="P119" s="282">
        <v>554.29999999999995</v>
      </c>
      <c r="Q119" s="281">
        <v>579.88</v>
      </c>
      <c r="R119">
        <v>558.91999999999996</v>
      </c>
      <c r="S119">
        <v>540.22</v>
      </c>
      <c r="T119">
        <v>524.95000000000005</v>
      </c>
      <c r="U119" s="282">
        <v>603.32000000000005</v>
      </c>
      <c r="V119" s="281">
        <v>552.63</v>
      </c>
      <c r="W119">
        <v>504.5</v>
      </c>
      <c r="X119">
        <v>535.75</v>
      </c>
      <c r="Y119" s="282">
        <v>534.01</v>
      </c>
      <c r="Z119" s="281">
        <v>547.79</v>
      </c>
      <c r="AA119">
        <v>554.5</v>
      </c>
      <c r="AB119">
        <v>553</v>
      </c>
      <c r="AC119" s="282">
        <v>566.65</v>
      </c>
      <c r="AD119" s="281">
        <v>493.1</v>
      </c>
      <c r="AE119">
        <v>521</v>
      </c>
      <c r="AF119">
        <v>516</v>
      </c>
      <c r="AG119">
        <v>519.75</v>
      </c>
      <c r="AH119" s="282">
        <v>588.70000000000005</v>
      </c>
      <c r="AI119" s="281">
        <v>490.86</v>
      </c>
      <c r="AJ119">
        <v>550.58000000000004</v>
      </c>
      <c r="AK119">
        <v>497.37</v>
      </c>
      <c r="AL119" s="282">
        <v>501.53</v>
      </c>
      <c r="AM119" s="281">
        <v>508.02</v>
      </c>
      <c r="AN119">
        <v>545.21</v>
      </c>
      <c r="AO119">
        <v>546.04</v>
      </c>
      <c r="AP119" s="282">
        <v>541.79</v>
      </c>
      <c r="AQ119" s="281"/>
      <c r="AU119" s="282"/>
      <c r="AV119" s="281"/>
      <c r="AY119" s="282"/>
      <c r="BC119" s="282"/>
      <c r="BD119">
        <f>SUM(D119:BC119)</f>
        <v>21008.610000000004</v>
      </c>
    </row>
    <row r="120" spans="2:56" x14ac:dyDescent="0.25">
      <c r="B120" s="314" t="s">
        <v>2</v>
      </c>
      <c r="D120" s="281">
        <v>120</v>
      </c>
      <c r="E120">
        <v>120</v>
      </c>
      <c r="F120">
        <v>120</v>
      </c>
      <c r="G120">
        <v>120</v>
      </c>
      <c r="H120" s="282">
        <v>120</v>
      </c>
      <c r="I120" s="281">
        <v>124.5</v>
      </c>
      <c r="J120">
        <v>120</v>
      </c>
      <c r="K120">
        <v>120</v>
      </c>
      <c r="L120" s="282">
        <v>120</v>
      </c>
      <c r="M120" s="281">
        <v>119.95</v>
      </c>
      <c r="N120">
        <v>120</v>
      </c>
      <c r="O120">
        <v>120</v>
      </c>
      <c r="P120" s="282">
        <v>120</v>
      </c>
      <c r="Q120" s="281">
        <v>120</v>
      </c>
      <c r="R120">
        <v>120</v>
      </c>
      <c r="S120">
        <v>120</v>
      </c>
      <c r="T120">
        <v>120</v>
      </c>
      <c r="U120" s="282">
        <v>120</v>
      </c>
      <c r="V120" s="281">
        <v>120</v>
      </c>
      <c r="W120">
        <v>120</v>
      </c>
      <c r="X120">
        <v>131.47999999999999</v>
      </c>
      <c r="Y120" s="282">
        <v>136</v>
      </c>
      <c r="Z120" s="281">
        <v>128</v>
      </c>
      <c r="AA120">
        <v>120</v>
      </c>
      <c r="AB120">
        <v>120</v>
      </c>
      <c r="AC120" s="282">
        <v>120</v>
      </c>
      <c r="AD120" s="281">
        <v>120</v>
      </c>
      <c r="AE120">
        <v>120</v>
      </c>
      <c r="AF120">
        <v>120</v>
      </c>
      <c r="AG120">
        <v>120</v>
      </c>
      <c r="AH120" s="282">
        <v>120</v>
      </c>
      <c r="AI120" s="281">
        <v>120</v>
      </c>
      <c r="AJ120">
        <v>120</v>
      </c>
      <c r="AK120">
        <v>120</v>
      </c>
      <c r="AL120" s="282">
        <v>120</v>
      </c>
      <c r="AM120" s="281">
        <v>120</v>
      </c>
      <c r="AN120">
        <v>120</v>
      </c>
      <c r="AO120">
        <v>120</v>
      </c>
      <c r="AP120" s="282">
        <v>120</v>
      </c>
      <c r="AQ120" s="281"/>
      <c r="AU120" s="282"/>
      <c r="AV120" s="281"/>
      <c r="AY120" s="282"/>
      <c r="BC120" s="282"/>
      <c r="BD120">
        <f t="shared" ref="BD120:BD123" si="63">SUM(D120:BC120)</f>
        <v>4719.93</v>
      </c>
    </row>
    <row r="121" spans="2:56" x14ac:dyDescent="0.25">
      <c r="B121" s="314" t="s">
        <v>6</v>
      </c>
      <c r="D121" s="281">
        <v>176</v>
      </c>
      <c r="E121">
        <v>176</v>
      </c>
      <c r="F121">
        <v>176</v>
      </c>
      <c r="G121">
        <v>231.35</v>
      </c>
      <c r="H121" s="282">
        <v>208</v>
      </c>
      <c r="I121" s="281">
        <v>222.97</v>
      </c>
      <c r="J121">
        <v>183.12</v>
      </c>
      <c r="K121">
        <v>190</v>
      </c>
      <c r="L121" s="282">
        <v>198.75</v>
      </c>
      <c r="M121" s="281">
        <v>183.22</v>
      </c>
      <c r="N121">
        <v>173.97</v>
      </c>
      <c r="O121">
        <v>184</v>
      </c>
      <c r="P121" s="282">
        <v>200</v>
      </c>
      <c r="Q121" s="281">
        <v>196</v>
      </c>
      <c r="R121">
        <v>188</v>
      </c>
      <c r="S121">
        <v>176</v>
      </c>
      <c r="T121">
        <v>181</v>
      </c>
      <c r="U121" s="282">
        <v>198.95</v>
      </c>
      <c r="V121" s="281">
        <v>188.45</v>
      </c>
      <c r="W121">
        <v>193.3</v>
      </c>
      <c r="X121">
        <v>180.93</v>
      </c>
      <c r="Y121" s="282">
        <v>184</v>
      </c>
      <c r="Z121" s="281">
        <v>181</v>
      </c>
      <c r="AA121">
        <v>192</v>
      </c>
      <c r="AB121">
        <v>202.55</v>
      </c>
      <c r="AC121" s="282">
        <v>198.72</v>
      </c>
      <c r="AD121" s="281">
        <v>197</v>
      </c>
      <c r="AE121">
        <v>193</v>
      </c>
      <c r="AF121">
        <v>199.83</v>
      </c>
      <c r="AG121">
        <v>192</v>
      </c>
      <c r="AH121" s="282">
        <v>199.85</v>
      </c>
      <c r="AI121" s="281">
        <v>183</v>
      </c>
      <c r="AJ121">
        <v>200</v>
      </c>
      <c r="AK121">
        <v>192</v>
      </c>
      <c r="AL121" s="282">
        <v>197.25</v>
      </c>
      <c r="AM121" s="281">
        <v>193</v>
      </c>
      <c r="AN121">
        <v>204.28</v>
      </c>
      <c r="AO121">
        <v>160</v>
      </c>
      <c r="AP121" s="282">
        <v>144</v>
      </c>
      <c r="AQ121" s="281"/>
      <c r="AU121" s="282"/>
      <c r="AV121" s="281"/>
      <c r="AY121" s="282"/>
      <c r="BC121" s="282"/>
      <c r="BD121">
        <f t="shared" si="63"/>
        <v>7419.4900000000007</v>
      </c>
    </row>
    <row r="122" spans="2:56" x14ac:dyDescent="0.25">
      <c r="B122" s="314" t="s">
        <v>851</v>
      </c>
      <c r="D122" s="281">
        <v>80</v>
      </c>
      <c r="E122">
        <v>80</v>
      </c>
      <c r="F122">
        <v>80</v>
      </c>
      <c r="G122">
        <v>80</v>
      </c>
      <c r="H122" s="282">
        <v>80</v>
      </c>
      <c r="I122" s="281">
        <v>79</v>
      </c>
      <c r="J122">
        <v>80</v>
      </c>
      <c r="K122">
        <v>80</v>
      </c>
      <c r="L122" s="282">
        <v>80</v>
      </c>
      <c r="M122" s="281">
        <v>80</v>
      </c>
      <c r="N122">
        <v>80</v>
      </c>
      <c r="O122">
        <v>80</v>
      </c>
      <c r="P122" s="282">
        <v>80</v>
      </c>
      <c r="Q122" s="281">
        <v>80</v>
      </c>
      <c r="R122">
        <v>80</v>
      </c>
      <c r="S122">
        <v>76.5</v>
      </c>
      <c r="T122">
        <v>80</v>
      </c>
      <c r="U122" s="282">
        <v>80</v>
      </c>
      <c r="V122" s="281">
        <v>80</v>
      </c>
      <c r="W122">
        <v>80</v>
      </c>
      <c r="X122">
        <v>80</v>
      </c>
      <c r="Y122" s="282">
        <v>80</v>
      </c>
      <c r="Z122" s="281">
        <v>80</v>
      </c>
      <c r="AA122">
        <v>80</v>
      </c>
      <c r="AB122">
        <v>80</v>
      </c>
      <c r="AC122" s="282">
        <v>80</v>
      </c>
      <c r="AD122" s="281">
        <v>80</v>
      </c>
      <c r="AE122">
        <v>80</v>
      </c>
      <c r="AF122">
        <v>80</v>
      </c>
      <c r="AG122">
        <v>80</v>
      </c>
      <c r="AH122" s="282">
        <v>80</v>
      </c>
      <c r="AI122" s="281">
        <v>80</v>
      </c>
      <c r="AJ122">
        <v>80</v>
      </c>
      <c r="AK122">
        <v>80</v>
      </c>
      <c r="AL122" s="282">
        <v>80</v>
      </c>
      <c r="AM122" s="281">
        <v>80</v>
      </c>
      <c r="AN122">
        <v>80</v>
      </c>
      <c r="AO122">
        <v>75.5</v>
      </c>
      <c r="AP122" s="282">
        <v>80</v>
      </c>
      <c r="AQ122" s="281"/>
      <c r="AU122" s="282"/>
      <c r="AV122" s="281"/>
      <c r="AY122" s="282"/>
      <c r="BC122" s="282"/>
      <c r="BD122">
        <f t="shared" si="63"/>
        <v>3111</v>
      </c>
    </row>
    <row r="123" spans="2:56" s="84" customFormat="1" x14ac:dyDescent="0.25">
      <c r="C123" s="98"/>
      <c r="D123" s="317">
        <f t="shared" ref="D123:AP123" si="64">SUM(D119:D122)</f>
        <v>921.78</v>
      </c>
      <c r="E123" s="84">
        <f t="shared" si="64"/>
        <v>930.78</v>
      </c>
      <c r="F123" s="84">
        <f t="shared" si="64"/>
        <v>927.88</v>
      </c>
      <c r="G123" s="84">
        <f t="shared" si="64"/>
        <v>1002.63</v>
      </c>
      <c r="H123" s="318">
        <f t="shared" si="64"/>
        <v>944.9</v>
      </c>
      <c r="I123" s="317">
        <f t="shared" si="64"/>
        <v>938.47</v>
      </c>
      <c r="J123" s="84">
        <f t="shared" si="64"/>
        <v>885.62</v>
      </c>
      <c r="K123" s="84">
        <f t="shared" si="64"/>
        <v>935.9</v>
      </c>
      <c r="L123" s="318">
        <f t="shared" si="64"/>
        <v>927.23</v>
      </c>
      <c r="M123" s="317">
        <f t="shared" si="64"/>
        <v>964.84</v>
      </c>
      <c r="N123" s="84">
        <f t="shared" si="64"/>
        <v>906.19</v>
      </c>
      <c r="O123" s="84">
        <f t="shared" si="64"/>
        <v>898.85</v>
      </c>
      <c r="P123" s="318">
        <f t="shared" si="64"/>
        <v>954.3</v>
      </c>
      <c r="Q123" s="317">
        <f t="shared" si="64"/>
        <v>975.88</v>
      </c>
      <c r="R123" s="84">
        <f t="shared" si="64"/>
        <v>946.92</v>
      </c>
      <c r="S123" s="84">
        <f t="shared" si="64"/>
        <v>912.72</v>
      </c>
      <c r="T123" s="84">
        <f t="shared" si="64"/>
        <v>905.95</v>
      </c>
      <c r="U123" s="318">
        <f t="shared" si="64"/>
        <v>1002.27</v>
      </c>
      <c r="V123" s="317">
        <f t="shared" si="64"/>
        <v>941.07999999999993</v>
      </c>
      <c r="W123" s="84">
        <f t="shared" si="64"/>
        <v>897.8</v>
      </c>
      <c r="X123" s="84">
        <f t="shared" si="64"/>
        <v>928.16000000000008</v>
      </c>
      <c r="Y123" s="318">
        <f t="shared" si="64"/>
        <v>934.01</v>
      </c>
      <c r="Z123" s="317">
        <f t="shared" si="64"/>
        <v>936.79</v>
      </c>
      <c r="AA123" s="84">
        <f t="shared" si="64"/>
        <v>946.5</v>
      </c>
      <c r="AB123" s="84">
        <f t="shared" si="64"/>
        <v>955.55</v>
      </c>
      <c r="AC123" s="318">
        <f t="shared" si="64"/>
        <v>965.37</v>
      </c>
      <c r="AD123" s="317">
        <f t="shared" si="64"/>
        <v>890.1</v>
      </c>
      <c r="AE123" s="84">
        <f t="shared" si="64"/>
        <v>914</v>
      </c>
      <c r="AF123" s="84">
        <f t="shared" si="64"/>
        <v>915.83</v>
      </c>
      <c r="AG123" s="84">
        <f t="shared" si="64"/>
        <v>911.75</v>
      </c>
      <c r="AH123" s="318">
        <f t="shared" si="64"/>
        <v>988.55000000000007</v>
      </c>
      <c r="AI123" s="317">
        <f t="shared" si="64"/>
        <v>873.86</v>
      </c>
      <c r="AJ123" s="84">
        <f t="shared" si="64"/>
        <v>950.58</v>
      </c>
      <c r="AK123" s="84">
        <f t="shared" si="64"/>
        <v>889.37</v>
      </c>
      <c r="AL123" s="318">
        <f t="shared" si="64"/>
        <v>898.78</v>
      </c>
      <c r="AM123" s="317">
        <f t="shared" si="64"/>
        <v>901.02</v>
      </c>
      <c r="AN123" s="84">
        <f t="shared" si="64"/>
        <v>949.49</v>
      </c>
      <c r="AO123" s="84">
        <f t="shared" si="64"/>
        <v>901.54</v>
      </c>
      <c r="AP123" s="318">
        <f t="shared" si="64"/>
        <v>885.79</v>
      </c>
      <c r="AQ123" s="317"/>
      <c r="AU123" s="318"/>
      <c r="AV123" s="317"/>
      <c r="AY123" s="318"/>
      <c r="BC123" s="318"/>
      <c r="BD123">
        <f t="shared" si="63"/>
        <v>36259.03</v>
      </c>
    </row>
    <row r="124" spans="2:56" x14ac:dyDescent="0.25">
      <c r="B124" s="314" t="s">
        <v>852</v>
      </c>
      <c r="D124" s="319">
        <f t="shared" ref="D124:Z124" si="65">D123-160</f>
        <v>761.78</v>
      </c>
      <c r="E124" s="320">
        <f t="shared" si="65"/>
        <v>770.78</v>
      </c>
      <c r="F124" s="320">
        <f t="shared" si="65"/>
        <v>767.88</v>
      </c>
      <c r="G124" s="320">
        <f t="shared" si="65"/>
        <v>842.63</v>
      </c>
      <c r="H124" s="321">
        <f t="shared" si="65"/>
        <v>784.9</v>
      </c>
      <c r="I124" s="319">
        <f t="shared" si="65"/>
        <v>778.47</v>
      </c>
      <c r="J124" s="320">
        <f t="shared" si="65"/>
        <v>725.62</v>
      </c>
      <c r="K124" s="320">
        <f t="shared" si="65"/>
        <v>775.9</v>
      </c>
      <c r="L124" s="321">
        <f t="shared" si="65"/>
        <v>767.23</v>
      </c>
      <c r="M124" s="319">
        <f t="shared" si="65"/>
        <v>804.84</v>
      </c>
      <c r="N124" s="320">
        <f t="shared" si="65"/>
        <v>746.19</v>
      </c>
      <c r="O124">
        <f t="shared" si="65"/>
        <v>738.85</v>
      </c>
      <c r="P124" s="282">
        <f t="shared" si="65"/>
        <v>794.3</v>
      </c>
      <c r="Q124" s="281">
        <f t="shared" si="65"/>
        <v>815.88</v>
      </c>
      <c r="R124">
        <f t="shared" si="65"/>
        <v>786.92</v>
      </c>
      <c r="S124">
        <f t="shared" si="65"/>
        <v>752.72</v>
      </c>
      <c r="T124">
        <f t="shared" si="65"/>
        <v>745.95</v>
      </c>
      <c r="U124" s="282">
        <f t="shared" si="65"/>
        <v>842.27</v>
      </c>
      <c r="V124" s="319">
        <f t="shared" si="65"/>
        <v>781.07999999999993</v>
      </c>
      <c r="W124" s="320">
        <f t="shared" si="65"/>
        <v>737.8</v>
      </c>
      <c r="X124">
        <f t="shared" si="65"/>
        <v>768.16000000000008</v>
      </c>
      <c r="Y124" s="282">
        <f t="shared" si="65"/>
        <v>774.01</v>
      </c>
      <c r="Z124" s="281">
        <f t="shared" si="65"/>
        <v>776.79</v>
      </c>
      <c r="AA124">
        <f>AA123-160</f>
        <v>786.5</v>
      </c>
      <c r="AB124">
        <f>AB123-160</f>
        <v>795.55</v>
      </c>
      <c r="AC124" s="282">
        <f>AC123-160</f>
        <v>805.37</v>
      </c>
      <c r="AD124" s="281">
        <f>AD123-120</f>
        <v>770.1</v>
      </c>
      <c r="AE124">
        <f t="shared" ref="AE124:AG124" si="66">AE123-120</f>
        <v>794</v>
      </c>
      <c r="AF124">
        <f t="shared" si="66"/>
        <v>795.83</v>
      </c>
      <c r="AG124">
        <f t="shared" si="66"/>
        <v>791.75</v>
      </c>
      <c r="AH124" s="282">
        <f>AH123-160</f>
        <v>828.55000000000007</v>
      </c>
      <c r="AI124" s="281">
        <f t="shared" ref="AI124" si="67">AI123-160</f>
        <v>713.86</v>
      </c>
      <c r="AJ124">
        <f>AJ123-160</f>
        <v>790.58</v>
      </c>
      <c r="AK124">
        <f>AK123-160</f>
        <v>729.37</v>
      </c>
      <c r="AL124" s="282">
        <f>AL123-160</f>
        <v>738.78</v>
      </c>
      <c r="AM124" s="281">
        <f t="shared" ref="AM124" si="68">AM123-160</f>
        <v>741.02</v>
      </c>
      <c r="AN124">
        <f>AN123-160</f>
        <v>789.49</v>
      </c>
      <c r="AO124">
        <f>AO123-160</f>
        <v>741.54</v>
      </c>
      <c r="AP124" s="282">
        <f>AP123-160</f>
        <v>725.79</v>
      </c>
      <c r="AQ124" s="281"/>
      <c r="AU124" s="282"/>
      <c r="AV124" s="281"/>
      <c r="AY124" s="282"/>
      <c r="BC124" s="282"/>
      <c r="BD124">
        <f>SUM(D124:BC124)</f>
        <v>30179.030000000002</v>
      </c>
    </row>
    <row r="125" spans="2:56" ht="7.5" customHeight="1" x14ac:dyDescent="0.25">
      <c r="B125" s="314"/>
      <c r="D125" s="281"/>
      <c r="H125" s="282"/>
      <c r="I125" s="281"/>
      <c r="L125" s="282"/>
      <c r="M125" s="281"/>
      <c r="P125" s="282"/>
      <c r="Q125" s="281"/>
      <c r="R125" s="315"/>
      <c r="S125" s="315"/>
      <c r="U125" s="282"/>
      <c r="V125" s="281"/>
      <c r="Y125" s="282"/>
      <c r="Z125" s="281"/>
      <c r="AA125" s="315"/>
      <c r="AB125" s="315"/>
      <c r="AC125" s="316"/>
      <c r="AD125" s="281"/>
      <c r="AE125" s="315"/>
      <c r="AF125" s="315"/>
      <c r="AH125" s="282"/>
      <c r="AI125" s="281"/>
      <c r="AJ125" s="315"/>
      <c r="AK125" s="315"/>
      <c r="AL125" s="282"/>
      <c r="AM125" s="281"/>
      <c r="AN125" s="315"/>
      <c r="AO125" s="315"/>
      <c r="AP125" s="282"/>
      <c r="AQ125" s="281"/>
      <c r="AR125" s="315"/>
      <c r="AS125" s="315"/>
      <c r="AU125" s="282"/>
      <c r="AV125" s="281"/>
      <c r="AW125" s="315"/>
      <c r="AX125" s="315"/>
      <c r="AY125" s="316"/>
      <c r="AZ125" s="315"/>
      <c r="BA125" s="315"/>
      <c r="BB125" s="315"/>
      <c r="BC125" s="316"/>
    </row>
    <row r="126" spans="2:56" x14ac:dyDescent="0.25">
      <c r="B126" s="314" t="s">
        <v>853</v>
      </c>
      <c r="D126" s="281"/>
      <c r="H126" s="282"/>
      <c r="I126" s="281"/>
      <c r="L126" s="282"/>
      <c r="M126" s="281"/>
      <c r="P126" s="282"/>
      <c r="Q126" s="281"/>
      <c r="R126" s="315"/>
      <c r="S126" s="315"/>
      <c r="U126" s="282"/>
      <c r="V126" s="281"/>
      <c r="Y126" s="282"/>
      <c r="Z126" s="281"/>
      <c r="AA126" s="315"/>
      <c r="AB126" s="315"/>
      <c r="AC126" s="316"/>
      <c r="AD126" s="281"/>
      <c r="AE126" s="315"/>
      <c r="AF126" s="315"/>
      <c r="AH126" s="282"/>
      <c r="AI126" s="281"/>
      <c r="AJ126" s="315"/>
      <c r="AK126" s="315"/>
      <c r="AL126" s="282"/>
      <c r="AM126" s="281"/>
      <c r="AN126" s="315"/>
      <c r="AO126" s="315"/>
      <c r="AP126" s="282"/>
      <c r="AQ126" s="281"/>
      <c r="AR126" s="315"/>
      <c r="AS126" s="315"/>
      <c r="AU126" s="282"/>
      <c r="AV126" s="281"/>
      <c r="AW126" s="315"/>
      <c r="AX126" s="315"/>
      <c r="AY126" s="316"/>
      <c r="AZ126" s="315"/>
      <c r="BA126" s="315"/>
      <c r="BB126" s="315"/>
      <c r="BC126" s="316"/>
    </row>
    <row r="127" spans="2:56" x14ac:dyDescent="0.25">
      <c r="B127" s="314" t="s">
        <v>850</v>
      </c>
      <c r="D127" s="322">
        <v>482.92</v>
      </c>
      <c r="E127" s="258">
        <v>673.71</v>
      </c>
      <c r="F127" s="258">
        <v>637.61</v>
      </c>
      <c r="G127" s="258">
        <v>518.64</v>
      </c>
      <c r="H127" s="323">
        <v>477.75</v>
      </c>
      <c r="I127" s="322">
        <v>494.75</v>
      </c>
      <c r="J127" s="258">
        <v>514.25</v>
      </c>
      <c r="K127" s="258">
        <v>524.44000000000005</v>
      </c>
      <c r="L127" s="323">
        <v>497</v>
      </c>
      <c r="M127" s="322">
        <v>526.61</v>
      </c>
      <c r="N127" s="258">
        <v>485.19</v>
      </c>
      <c r="O127" s="258">
        <v>488.08</v>
      </c>
      <c r="P127" s="323">
        <v>523.16999999999996</v>
      </c>
      <c r="Q127" s="322">
        <v>510.12</v>
      </c>
      <c r="R127" s="258">
        <v>503.42</v>
      </c>
      <c r="S127" s="258">
        <v>532.6</v>
      </c>
      <c r="T127" s="258">
        <v>496.5</v>
      </c>
      <c r="U127" s="323">
        <v>536.21</v>
      </c>
      <c r="V127" s="322">
        <v>519.75</v>
      </c>
      <c r="W127" s="258">
        <v>539.25</v>
      </c>
      <c r="X127" s="258">
        <v>585</v>
      </c>
      <c r="Y127" s="323">
        <v>524.25</v>
      </c>
      <c r="Z127" s="322">
        <v>540.25</v>
      </c>
      <c r="AA127" s="258">
        <v>576.17999999999995</v>
      </c>
      <c r="AB127" s="258">
        <v>536.25</v>
      </c>
      <c r="AC127" s="323">
        <v>568.25</v>
      </c>
      <c r="AD127" s="322">
        <v>543.75</v>
      </c>
      <c r="AE127" s="258">
        <v>536.25</v>
      </c>
      <c r="AF127" s="258">
        <v>546.5</v>
      </c>
      <c r="AG127" s="258">
        <v>513.75</v>
      </c>
      <c r="AH127" s="323">
        <v>574.13</v>
      </c>
      <c r="AI127" s="322">
        <v>514</v>
      </c>
      <c r="AJ127" s="258">
        <v>488.75</v>
      </c>
      <c r="AK127" s="258">
        <v>492.5</v>
      </c>
      <c r="AL127" s="323">
        <v>536</v>
      </c>
      <c r="AM127" s="322">
        <v>545.25</v>
      </c>
      <c r="AN127" s="258">
        <v>558.04999999999995</v>
      </c>
      <c r="AO127" s="258">
        <v>533.5</v>
      </c>
      <c r="AP127" s="323">
        <v>526.5</v>
      </c>
      <c r="AQ127" s="322"/>
      <c r="AR127" s="258"/>
      <c r="AS127" s="258"/>
      <c r="AT127" s="258"/>
      <c r="AU127" s="323"/>
      <c r="AV127" s="322"/>
      <c r="AW127" s="258"/>
      <c r="AX127" s="258"/>
      <c r="AY127" s="323"/>
      <c r="AZ127" s="258"/>
      <c r="BA127" s="258"/>
      <c r="BB127" s="258"/>
      <c r="BC127" s="323"/>
      <c r="BD127">
        <f>SUM(D127:BC127)</f>
        <v>20721.079999999998</v>
      </c>
    </row>
    <row r="128" spans="2:56" x14ac:dyDescent="0.25">
      <c r="B128" s="314" t="s">
        <v>2</v>
      </c>
      <c r="D128" s="322">
        <v>120</v>
      </c>
      <c r="E128" s="258">
        <v>120</v>
      </c>
      <c r="F128" s="258">
        <v>152</v>
      </c>
      <c r="G128" s="258">
        <v>160</v>
      </c>
      <c r="H128" s="323">
        <v>147.41999999999999</v>
      </c>
      <c r="I128" s="322">
        <v>144</v>
      </c>
      <c r="J128" s="258">
        <v>152</v>
      </c>
      <c r="K128" s="258">
        <v>128</v>
      </c>
      <c r="L128" s="323">
        <v>120</v>
      </c>
      <c r="M128" s="322">
        <v>128</v>
      </c>
      <c r="N128" s="258">
        <v>128</v>
      </c>
      <c r="O128" s="258">
        <v>112</v>
      </c>
      <c r="P128" s="323">
        <v>112</v>
      </c>
      <c r="Q128" s="322">
        <v>112</v>
      </c>
      <c r="R128" s="258">
        <v>112</v>
      </c>
      <c r="S128" s="258">
        <v>112</v>
      </c>
      <c r="T128" s="258">
        <v>112</v>
      </c>
      <c r="U128" s="323">
        <v>120</v>
      </c>
      <c r="V128" s="322">
        <v>112</v>
      </c>
      <c r="W128" s="258">
        <v>120</v>
      </c>
      <c r="X128" s="258">
        <v>112</v>
      </c>
      <c r="Y128" s="323">
        <v>128</v>
      </c>
      <c r="Z128" s="322">
        <v>120</v>
      </c>
      <c r="AA128" s="258">
        <v>160</v>
      </c>
      <c r="AB128" s="258">
        <v>160</v>
      </c>
      <c r="AC128" s="323">
        <v>152</v>
      </c>
      <c r="AD128" s="322">
        <v>168</v>
      </c>
      <c r="AE128" s="258">
        <v>160</v>
      </c>
      <c r="AF128" s="258">
        <v>152</v>
      </c>
      <c r="AG128" s="258">
        <v>152</v>
      </c>
      <c r="AH128" s="323">
        <v>112</v>
      </c>
      <c r="AI128" s="322">
        <v>120</v>
      </c>
      <c r="AJ128" s="258">
        <v>120</v>
      </c>
      <c r="AK128" s="258">
        <v>104</v>
      </c>
      <c r="AL128" s="323">
        <v>120</v>
      </c>
      <c r="AM128" s="322">
        <v>112</v>
      </c>
      <c r="AN128" s="258">
        <v>128</v>
      </c>
      <c r="AO128" s="258">
        <v>112</v>
      </c>
      <c r="AP128" s="323">
        <v>121.5</v>
      </c>
      <c r="AQ128" s="322"/>
      <c r="AR128" s="258"/>
      <c r="AS128" s="258"/>
      <c r="AT128" s="258"/>
      <c r="AU128" s="323"/>
      <c r="AV128" s="322"/>
      <c r="AW128" s="258"/>
      <c r="AX128" s="258"/>
      <c r="AY128" s="323"/>
      <c r="AZ128" s="258"/>
      <c r="BA128" s="258"/>
      <c r="BB128" s="258"/>
      <c r="BC128" s="323"/>
      <c r="BD128">
        <f t="shared" ref="BD128:BD133" si="69">SUM(D128:BC128)</f>
        <v>5036.92</v>
      </c>
    </row>
    <row r="129" spans="2:56" x14ac:dyDescent="0.25">
      <c r="B129" s="314" t="s">
        <v>6</v>
      </c>
      <c r="D129" s="322">
        <v>152.5</v>
      </c>
      <c r="E129" s="258">
        <v>160</v>
      </c>
      <c r="F129" s="258">
        <v>152</v>
      </c>
      <c r="G129" s="258">
        <v>182.72</v>
      </c>
      <c r="H129" s="323">
        <v>200</v>
      </c>
      <c r="I129" s="322">
        <v>168</v>
      </c>
      <c r="J129" s="258">
        <v>155.5</v>
      </c>
      <c r="K129" s="258">
        <v>173</v>
      </c>
      <c r="L129" s="323">
        <v>166</v>
      </c>
      <c r="M129" s="322">
        <v>199.32</v>
      </c>
      <c r="N129" s="258">
        <v>191.35</v>
      </c>
      <c r="O129" s="258">
        <v>174</v>
      </c>
      <c r="P129" s="323">
        <v>141</v>
      </c>
      <c r="Q129" s="322">
        <v>128</v>
      </c>
      <c r="R129" s="258">
        <v>142.5</v>
      </c>
      <c r="S129" s="258">
        <v>152</v>
      </c>
      <c r="T129" s="258">
        <v>160</v>
      </c>
      <c r="U129" s="323">
        <v>174</v>
      </c>
      <c r="V129" s="322">
        <v>152</v>
      </c>
      <c r="W129" s="258">
        <v>160</v>
      </c>
      <c r="X129" s="258">
        <v>200</v>
      </c>
      <c r="Y129" s="323">
        <v>184</v>
      </c>
      <c r="Z129" s="322">
        <v>184</v>
      </c>
      <c r="AA129" s="258">
        <v>200</v>
      </c>
      <c r="AB129" s="258">
        <v>191</v>
      </c>
      <c r="AC129" s="323">
        <v>192</v>
      </c>
      <c r="AD129" s="322">
        <v>192</v>
      </c>
      <c r="AE129" s="258">
        <v>192</v>
      </c>
      <c r="AF129" s="258">
        <v>184</v>
      </c>
      <c r="AG129" s="258">
        <v>80</v>
      </c>
      <c r="AH129" s="323">
        <v>204.6</v>
      </c>
      <c r="AI129" s="322">
        <v>184</v>
      </c>
      <c r="AJ129" s="258">
        <v>176</v>
      </c>
      <c r="AK129" s="258">
        <v>184</v>
      </c>
      <c r="AL129" s="323">
        <v>191.5</v>
      </c>
      <c r="AM129" s="322">
        <v>184</v>
      </c>
      <c r="AN129" s="258">
        <v>184</v>
      </c>
      <c r="AO129" s="258">
        <v>168</v>
      </c>
      <c r="AP129" s="323">
        <v>168</v>
      </c>
      <c r="AQ129" s="322"/>
      <c r="AR129" s="258"/>
      <c r="AS129" s="258"/>
      <c r="AT129" s="258"/>
      <c r="AU129" s="323"/>
      <c r="AV129" s="322"/>
      <c r="AW129" s="258"/>
      <c r="AX129" s="258"/>
      <c r="AY129" s="323"/>
      <c r="AZ129" s="258"/>
      <c r="BA129" s="258"/>
      <c r="BB129" s="258"/>
      <c r="BC129" s="323"/>
      <c r="BD129">
        <f t="shared" si="69"/>
        <v>6726.99</v>
      </c>
    </row>
    <row r="130" spans="2:56" x14ac:dyDescent="0.25">
      <c r="B130" s="314" t="s">
        <v>851</v>
      </c>
      <c r="D130" s="322">
        <v>80</v>
      </c>
      <c r="E130" s="258">
        <v>80</v>
      </c>
      <c r="F130" s="258">
        <v>80</v>
      </c>
      <c r="G130" s="258">
        <v>80</v>
      </c>
      <c r="H130" s="323">
        <v>80</v>
      </c>
      <c r="I130" s="322">
        <v>80</v>
      </c>
      <c r="J130" s="258">
        <v>80</v>
      </c>
      <c r="K130" s="258">
        <v>80</v>
      </c>
      <c r="L130" s="323">
        <v>79</v>
      </c>
      <c r="M130" s="322">
        <v>80</v>
      </c>
      <c r="N130" s="258">
        <v>80</v>
      </c>
      <c r="O130" s="258">
        <v>80</v>
      </c>
      <c r="P130" s="323">
        <v>80.5</v>
      </c>
      <c r="Q130" s="322">
        <v>80</v>
      </c>
      <c r="R130" s="258">
        <v>80</v>
      </c>
      <c r="S130" s="258">
        <v>80</v>
      </c>
      <c r="T130" s="258">
        <v>80</v>
      </c>
      <c r="U130" s="323">
        <v>80</v>
      </c>
      <c r="V130" s="322">
        <v>80</v>
      </c>
      <c r="W130" s="258">
        <v>80</v>
      </c>
      <c r="X130" s="258">
        <v>80</v>
      </c>
      <c r="Y130" s="323">
        <v>80</v>
      </c>
      <c r="Z130" s="322">
        <v>80</v>
      </c>
      <c r="AA130" s="258">
        <v>80</v>
      </c>
      <c r="AB130" s="258">
        <v>80</v>
      </c>
      <c r="AC130" s="323">
        <v>80</v>
      </c>
      <c r="AD130" s="322">
        <v>80</v>
      </c>
      <c r="AE130" s="258">
        <v>80</v>
      </c>
      <c r="AF130" s="258">
        <v>80</v>
      </c>
      <c r="AG130" s="258"/>
      <c r="AH130" s="323">
        <v>80</v>
      </c>
      <c r="AI130" s="322">
        <v>80</v>
      </c>
      <c r="AJ130" s="258">
        <v>80</v>
      </c>
      <c r="AK130" s="258">
        <v>80</v>
      </c>
      <c r="AL130" s="323">
        <v>80</v>
      </c>
      <c r="AM130" s="322">
        <v>80</v>
      </c>
      <c r="AN130" s="258">
        <v>82</v>
      </c>
      <c r="AO130" s="258">
        <v>81</v>
      </c>
      <c r="AP130" s="323">
        <v>80</v>
      </c>
      <c r="AQ130" s="322"/>
      <c r="AR130" s="258"/>
      <c r="AS130" s="258"/>
      <c r="AT130" s="258"/>
      <c r="AU130" s="323"/>
      <c r="AV130" s="322"/>
      <c r="AW130" s="258"/>
      <c r="AX130" s="258"/>
      <c r="AY130" s="323"/>
      <c r="AZ130" s="258"/>
      <c r="BA130" s="258"/>
      <c r="BB130" s="258"/>
      <c r="BC130" s="323"/>
      <c r="BD130">
        <f t="shared" si="69"/>
        <v>3042.5</v>
      </c>
    </row>
    <row r="131" spans="2:56" s="84" customFormat="1" x14ac:dyDescent="0.25">
      <c r="C131" s="98"/>
      <c r="D131" s="317">
        <f t="shared" ref="D131:AP131" si="70">SUM(D127:D130)</f>
        <v>835.42000000000007</v>
      </c>
      <c r="E131" s="84">
        <f t="shared" si="70"/>
        <v>1033.71</v>
      </c>
      <c r="F131" s="84">
        <f t="shared" si="70"/>
        <v>1021.61</v>
      </c>
      <c r="G131" s="84">
        <f t="shared" si="70"/>
        <v>941.36</v>
      </c>
      <c r="H131" s="318">
        <f t="shared" si="70"/>
        <v>905.17</v>
      </c>
      <c r="I131" s="317">
        <f t="shared" si="70"/>
        <v>886.75</v>
      </c>
      <c r="J131" s="84">
        <f t="shared" si="70"/>
        <v>901.75</v>
      </c>
      <c r="K131" s="84">
        <f t="shared" si="70"/>
        <v>905.44</v>
      </c>
      <c r="L131" s="318">
        <f t="shared" si="70"/>
        <v>862</v>
      </c>
      <c r="M131" s="317">
        <f t="shared" si="70"/>
        <v>933.93000000000006</v>
      </c>
      <c r="N131" s="84">
        <f t="shared" si="70"/>
        <v>884.54000000000008</v>
      </c>
      <c r="O131" s="84">
        <f t="shared" si="70"/>
        <v>854.07999999999993</v>
      </c>
      <c r="P131" s="318">
        <f t="shared" si="70"/>
        <v>856.67</v>
      </c>
      <c r="Q131" s="317">
        <f t="shared" si="70"/>
        <v>830.12</v>
      </c>
      <c r="R131" s="84">
        <f t="shared" si="70"/>
        <v>837.92000000000007</v>
      </c>
      <c r="S131" s="84">
        <f t="shared" si="70"/>
        <v>876.6</v>
      </c>
      <c r="T131" s="84">
        <f t="shared" si="70"/>
        <v>848.5</v>
      </c>
      <c r="U131" s="318">
        <f t="shared" si="70"/>
        <v>910.21</v>
      </c>
      <c r="V131" s="317">
        <f t="shared" si="70"/>
        <v>863.75</v>
      </c>
      <c r="W131" s="84">
        <f t="shared" si="70"/>
        <v>899.25</v>
      </c>
      <c r="X131" s="84">
        <f t="shared" si="70"/>
        <v>977</v>
      </c>
      <c r="Y131" s="318">
        <f t="shared" si="70"/>
        <v>916.25</v>
      </c>
      <c r="Z131" s="317">
        <f t="shared" si="70"/>
        <v>924.25</v>
      </c>
      <c r="AA131" s="84">
        <f t="shared" si="70"/>
        <v>1016.18</v>
      </c>
      <c r="AB131" s="84">
        <f t="shared" si="70"/>
        <v>967.25</v>
      </c>
      <c r="AC131" s="318">
        <f t="shared" si="70"/>
        <v>992.25</v>
      </c>
      <c r="AD131" s="317">
        <f t="shared" si="70"/>
        <v>983.75</v>
      </c>
      <c r="AE131" s="84">
        <f t="shared" si="70"/>
        <v>968.25</v>
      </c>
      <c r="AF131" s="84">
        <f t="shared" si="70"/>
        <v>962.5</v>
      </c>
      <c r="AG131" s="84">
        <f t="shared" si="70"/>
        <v>745.75</v>
      </c>
      <c r="AH131" s="318">
        <f t="shared" si="70"/>
        <v>970.73</v>
      </c>
      <c r="AI131" s="317">
        <f t="shared" si="70"/>
        <v>898</v>
      </c>
      <c r="AJ131" s="84">
        <f t="shared" si="70"/>
        <v>864.75</v>
      </c>
      <c r="AK131" s="84">
        <f t="shared" si="70"/>
        <v>860.5</v>
      </c>
      <c r="AL131" s="318">
        <f t="shared" si="70"/>
        <v>927.5</v>
      </c>
      <c r="AM131" s="317">
        <f t="shared" si="70"/>
        <v>921.25</v>
      </c>
      <c r="AN131" s="84">
        <f t="shared" si="70"/>
        <v>952.05</v>
      </c>
      <c r="AO131" s="84">
        <f t="shared" si="70"/>
        <v>894.5</v>
      </c>
      <c r="AP131" s="318">
        <f t="shared" si="70"/>
        <v>896</v>
      </c>
      <c r="AQ131" s="317"/>
      <c r="AU131" s="318"/>
      <c r="AV131" s="317"/>
      <c r="AY131" s="318"/>
      <c r="BC131" s="318"/>
      <c r="BD131">
        <f t="shared" si="69"/>
        <v>35527.490000000005</v>
      </c>
    </row>
    <row r="132" spans="2:56" x14ac:dyDescent="0.25">
      <c r="B132" s="314" t="s">
        <v>852</v>
      </c>
      <c r="D132" s="319">
        <f t="shared" ref="D132:Z132" si="71">D131-160</f>
        <v>675.42000000000007</v>
      </c>
      <c r="E132" s="320">
        <f t="shared" si="71"/>
        <v>873.71</v>
      </c>
      <c r="F132" s="320">
        <f t="shared" si="71"/>
        <v>861.61</v>
      </c>
      <c r="G132" s="320">
        <f t="shared" si="71"/>
        <v>781.36</v>
      </c>
      <c r="H132" s="321">
        <f t="shared" si="71"/>
        <v>745.17</v>
      </c>
      <c r="I132" s="319">
        <f t="shared" si="71"/>
        <v>726.75</v>
      </c>
      <c r="J132" s="320">
        <f t="shared" si="71"/>
        <v>741.75</v>
      </c>
      <c r="K132" s="320">
        <f t="shared" si="71"/>
        <v>745.44</v>
      </c>
      <c r="L132" s="321">
        <f t="shared" si="71"/>
        <v>702</v>
      </c>
      <c r="M132" s="319">
        <f t="shared" si="71"/>
        <v>773.93000000000006</v>
      </c>
      <c r="N132" s="320">
        <f t="shared" si="71"/>
        <v>724.54000000000008</v>
      </c>
      <c r="O132" s="320">
        <f t="shared" si="71"/>
        <v>694.07999999999993</v>
      </c>
      <c r="P132" s="321">
        <f t="shared" si="71"/>
        <v>696.67</v>
      </c>
      <c r="Q132" s="319">
        <f t="shared" si="71"/>
        <v>670.12</v>
      </c>
      <c r="R132" s="320">
        <f t="shared" si="71"/>
        <v>677.92000000000007</v>
      </c>
      <c r="S132" s="320">
        <f t="shared" si="71"/>
        <v>716.6</v>
      </c>
      <c r="T132" s="320">
        <f t="shared" si="71"/>
        <v>688.5</v>
      </c>
      <c r="U132" s="321">
        <f t="shared" si="71"/>
        <v>750.21</v>
      </c>
      <c r="V132" s="319">
        <f t="shared" si="71"/>
        <v>703.75</v>
      </c>
      <c r="W132" s="320">
        <f t="shared" si="71"/>
        <v>739.25</v>
      </c>
      <c r="X132" s="320">
        <f t="shared" si="71"/>
        <v>817</v>
      </c>
      <c r="Y132" s="321">
        <f t="shared" si="71"/>
        <v>756.25</v>
      </c>
      <c r="Z132" s="319">
        <f t="shared" si="71"/>
        <v>764.25</v>
      </c>
      <c r="AA132" s="320">
        <f>AA131-160</f>
        <v>856.18</v>
      </c>
      <c r="AB132" s="320">
        <f>AB131-160</f>
        <v>807.25</v>
      </c>
      <c r="AC132" s="321">
        <f>AC131-160</f>
        <v>832.25</v>
      </c>
      <c r="AD132" s="319">
        <f>AD131-120</f>
        <v>863.75</v>
      </c>
      <c r="AE132" s="320">
        <f t="shared" ref="AE132:AG132" si="72">AE131-120</f>
        <v>848.25</v>
      </c>
      <c r="AF132" s="320">
        <f t="shared" si="72"/>
        <v>842.5</v>
      </c>
      <c r="AG132" s="320">
        <f t="shared" si="72"/>
        <v>625.75</v>
      </c>
      <c r="AH132" s="321">
        <f>AH131-140</f>
        <v>830.73</v>
      </c>
      <c r="AI132" s="319">
        <f>AI131-140</f>
        <v>758</v>
      </c>
      <c r="AJ132" s="320">
        <f t="shared" ref="AJ132:AL132" si="73">AJ131-140</f>
        <v>724.75</v>
      </c>
      <c r="AK132" s="320">
        <f t="shared" si="73"/>
        <v>720.5</v>
      </c>
      <c r="AL132" s="321">
        <f t="shared" si="73"/>
        <v>787.5</v>
      </c>
      <c r="AM132" s="319">
        <f t="shared" ref="AM132" si="74">AM131-160</f>
        <v>761.25</v>
      </c>
      <c r="AN132" s="320">
        <f>AN131-160</f>
        <v>792.05</v>
      </c>
      <c r="AO132" s="320">
        <f>AO131-160</f>
        <v>734.5</v>
      </c>
      <c r="AP132" s="321">
        <f>AP131-160</f>
        <v>736</v>
      </c>
      <c r="AQ132" s="319"/>
      <c r="AR132" s="320"/>
      <c r="AS132" s="320"/>
      <c r="AT132" s="320"/>
      <c r="AU132" s="321"/>
      <c r="AV132" s="319"/>
      <c r="AW132" s="320"/>
      <c r="AX132" s="320"/>
      <c r="AY132" s="321"/>
      <c r="AZ132" s="320"/>
      <c r="BA132" s="320"/>
      <c r="BB132" s="320"/>
      <c r="BC132" s="321"/>
      <c r="BD132">
        <f t="shared" si="69"/>
        <v>29547.49</v>
      </c>
    </row>
    <row r="133" spans="2:56" x14ac:dyDescent="0.25">
      <c r="B133" s="314" t="s">
        <v>854</v>
      </c>
      <c r="D133" s="281">
        <f>D131-D123</f>
        <v>-86.3599999999999</v>
      </c>
      <c r="E133">
        <f t="shared" ref="E133:AP133" si="75">E131-E123</f>
        <v>102.93000000000006</v>
      </c>
      <c r="F133">
        <f t="shared" si="75"/>
        <v>93.730000000000018</v>
      </c>
      <c r="G133">
        <f t="shared" si="75"/>
        <v>-61.269999999999982</v>
      </c>
      <c r="H133" s="282">
        <f t="shared" si="75"/>
        <v>-39.730000000000018</v>
      </c>
      <c r="I133" s="281">
        <f t="shared" si="75"/>
        <v>-51.720000000000027</v>
      </c>
      <c r="J133">
        <f t="shared" si="75"/>
        <v>16.129999999999995</v>
      </c>
      <c r="K133">
        <f t="shared" si="75"/>
        <v>-30.459999999999923</v>
      </c>
      <c r="L133" s="282">
        <f t="shared" si="75"/>
        <v>-65.230000000000018</v>
      </c>
      <c r="M133" s="281">
        <f t="shared" si="75"/>
        <v>-30.909999999999968</v>
      </c>
      <c r="N133">
        <f t="shared" si="75"/>
        <v>-21.649999999999977</v>
      </c>
      <c r="O133">
        <f t="shared" si="75"/>
        <v>-44.770000000000095</v>
      </c>
      <c r="P133" s="282">
        <f t="shared" si="75"/>
        <v>-97.63</v>
      </c>
      <c r="Q133" s="281">
        <f t="shared" si="75"/>
        <v>-145.76</v>
      </c>
      <c r="R133">
        <f t="shared" si="75"/>
        <v>-108.99999999999989</v>
      </c>
      <c r="S133">
        <f t="shared" si="75"/>
        <v>-36.120000000000005</v>
      </c>
      <c r="T133">
        <f t="shared" si="75"/>
        <v>-57.450000000000045</v>
      </c>
      <c r="U133" s="282">
        <f t="shared" si="75"/>
        <v>-92.059999999999945</v>
      </c>
      <c r="V133" s="281">
        <f t="shared" si="75"/>
        <v>-77.329999999999927</v>
      </c>
      <c r="W133">
        <f t="shared" si="75"/>
        <v>1.4500000000000455</v>
      </c>
      <c r="X133">
        <f t="shared" si="75"/>
        <v>48.839999999999918</v>
      </c>
      <c r="Y133" s="282">
        <f t="shared" si="75"/>
        <v>-17.759999999999991</v>
      </c>
      <c r="Z133" s="281">
        <f t="shared" si="75"/>
        <v>-12.539999999999964</v>
      </c>
      <c r="AA133">
        <f t="shared" si="75"/>
        <v>69.67999999999995</v>
      </c>
      <c r="AB133">
        <f t="shared" si="75"/>
        <v>11.700000000000045</v>
      </c>
      <c r="AC133" s="282">
        <f t="shared" si="75"/>
        <v>26.879999999999995</v>
      </c>
      <c r="AD133" s="281">
        <f t="shared" si="75"/>
        <v>93.649999999999977</v>
      </c>
      <c r="AE133">
        <f t="shared" si="75"/>
        <v>54.25</v>
      </c>
      <c r="AF133">
        <f t="shared" si="75"/>
        <v>46.669999999999959</v>
      </c>
      <c r="AG133">
        <f t="shared" si="75"/>
        <v>-166</v>
      </c>
      <c r="AH133" s="282">
        <f t="shared" si="75"/>
        <v>-17.82000000000005</v>
      </c>
      <c r="AI133" s="281">
        <f t="shared" si="75"/>
        <v>24.139999999999986</v>
      </c>
      <c r="AJ133">
        <f t="shared" si="75"/>
        <v>-85.830000000000041</v>
      </c>
      <c r="AK133">
        <f t="shared" si="75"/>
        <v>-28.870000000000005</v>
      </c>
      <c r="AL133" s="282">
        <f t="shared" si="75"/>
        <v>28.720000000000027</v>
      </c>
      <c r="AM133" s="281">
        <f t="shared" si="75"/>
        <v>20.230000000000018</v>
      </c>
      <c r="AN133">
        <f t="shared" si="75"/>
        <v>2.5599999999999454</v>
      </c>
      <c r="AO133">
        <f t="shared" si="75"/>
        <v>-7.0399999999999636</v>
      </c>
      <c r="AP133" s="282">
        <f t="shared" si="75"/>
        <v>10.210000000000036</v>
      </c>
      <c r="AQ133" s="281"/>
      <c r="AU133" s="282"/>
      <c r="AV133" s="281"/>
      <c r="AY133" s="282"/>
      <c r="BC133" s="282"/>
      <c r="BD133">
        <f t="shared" si="69"/>
        <v>-731.53999999999974</v>
      </c>
    </row>
    <row r="134" spans="2:56" x14ac:dyDescent="0.25">
      <c r="B134" s="314" t="s">
        <v>855</v>
      </c>
      <c r="C134" s="79" t="s">
        <v>856</v>
      </c>
      <c r="D134" s="281"/>
      <c r="H134" s="282">
        <f>D123+E123+F123+G123+H123</f>
        <v>4727.97</v>
      </c>
      <c r="I134" s="281"/>
      <c r="L134" s="282">
        <f>I123+J123+K123+L123</f>
        <v>3687.2200000000003</v>
      </c>
      <c r="M134" s="281"/>
      <c r="P134" s="282">
        <f>M123+N123+O123+P123</f>
        <v>3724.1800000000003</v>
      </c>
      <c r="Q134" s="281"/>
      <c r="U134" s="282">
        <f>Q123+R123+S123+T123+U123</f>
        <v>4743.74</v>
      </c>
      <c r="V134" s="281"/>
      <c r="Y134" s="282">
        <f>V123+W123+X123+Y123</f>
        <v>3701.05</v>
      </c>
      <c r="Z134" s="281"/>
      <c r="AC134" s="282">
        <f>Z123+AA123+AB123+AC123</f>
        <v>3804.21</v>
      </c>
      <c r="AD134" s="281"/>
      <c r="AH134" s="282">
        <f>SUM(AD123:AH123)</f>
        <v>4620.2299999999996</v>
      </c>
      <c r="AI134" s="281"/>
      <c r="AL134" s="282">
        <f>AI123+AJ123+AK123+AL123</f>
        <v>3612.59</v>
      </c>
      <c r="AM134" s="281"/>
      <c r="AP134" s="282">
        <f>AM123+AN123+AO123+AP123</f>
        <v>3637.84</v>
      </c>
      <c r="AQ134" s="281"/>
      <c r="AU134" s="282"/>
      <c r="AV134" s="281"/>
      <c r="AY134" s="282"/>
      <c r="BC134" s="282"/>
    </row>
    <row r="135" spans="2:56" x14ac:dyDescent="0.25">
      <c r="C135" s="79" t="s">
        <v>857</v>
      </c>
      <c r="D135" s="281"/>
      <c r="H135" s="282">
        <f>D131+E131+F131+G131+H131</f>
        <v>4737.2700000000004</v>
      </c>
      <c r="I135" s="281"/>
      <c r="L135" s="282">
        <f>I131+J131+K131+L131</f>
        <v>3555.94</v>
      </c>
      <c r="M135" s="281"/>
      <c r="P135" s="282">
        <f>M131+N131+O131+P131</f>
        <v>3529.2200000000003</v>
      </c>
      <c r="Q135" s="281"/>
      <c r="U135" s="282">
        <f>Q131+R131+S131+T131+U131</f>
        <v>4303.3500000000004</v>
      </c>
      <c r="V135" s="281"/>
      <c r="Y135" s="282">
        <f>V131+W131+X131+Y131</f>
        <v>3656.25</v>
      </c>
      <c r="Z135" s="281"/>
      <c r="AC135" s="282">
        <f>Z131+AA131+AB131+AC131</f>
        <v>3899.93</v>
      </c>
      <c r="AD135" s="281"/>
      <c r="AH135" s="282">
        <f>SUM(AD131:AH131)</f>
        <v>4630.9799999999996</v>
      </c>
      <c r="AI135" s="281"/>
      <c r="AL135" s="282">
        <f>AI131+AJ131+AK131+AL131</f>
        <v>3550.75</v>
      </c>
      <c r="AM135" s="281"/>
      <c r="AP135" s="282">
        <f>AM131+AN131+AO131+AP131</f>
        <v>3663.8</v>
      </c>
      <c r="AQ135" s="281"/>
      <c r="AU135" s="282"/>
      <c r="AV135" s="281"/>
      <c r="AY135" s="282"/>
      <c r="BC135" s="282"/>
    </row>
    <row r="136" spans="2:56" x14ac:dyDescent="0.25">
      <c r="C136" s="79" t="s">
        <v>858</v>
      </c>
      <c r="D136" s="281"/>
      <c r="H136" s="282">
        <f>H135-H134</f>
        <v>9.3000000000001819</v>
      </c>
      <c r="I136" s="281"/>
      <c r="L136" s="282">
        <f>L135-L134</f>
        <v>-131.2800000000002</v>
      </c>
      <c r="M136" s="281"/>
      <c r="P136" s="282">
        <f>P135-P134</f>
        <v>-194.96000000000004</v>
      </c>
      <c r="Q136" s="281"/>
      <c r="U136" s="282">
        <f>U135-U134</f>
        <v>-440.38999999999942</v>
      </c>
      <c r="V136" s="281"/>
      <c r="Y136" s="282">
        <f>Y135-Y134</f>
        <v>-44.800000000000182</v>
      </c>
      <c r="Z136" s="281"/>
      <c r="AC136" s="282">
        <f>AC135-AC134</f>
        <v>95.7199999999998</v>
      </c>
      <c r="AD136" s="281"/>
      <c r="AH136" s="282">
        <f>AH135-AH134</f>
        <v>10.75</v>
      </c>
      <c r="AI136" s="281"/>
      <c r="AL136" s="282">
        <f>AL135-AL134</f>
        <v>-61.840000000000146</v>
      </c>
      <c r="AM136" s="281"/>
      <c r="AP136" s="282">
        <f>AP135-AP134</f>
        <v>25.960000000000036</v>
      </c>
      <c r="AQ136" s="281"/>
      <c r="AU136" s="282"/>
      <c r="AV136" s="281"/>
      <c r="AY136" s="282"/>
      <c r="BC136" s="282"/>
    </row>
    <row r="137" spans="2:56" x14ac:dyDescent="0.25">
      <c r="D137" s="281"/>
      <c r="H137" s="282"/>
      <c r="I137" s="281"/>
      <c r="L137" s="282"/>
      <c r="M137" s="281"/>
      <c r="P137" s="282"/>
      <c r="Q137" s="281"/>
      <c r="U137" s="282"/>
      <c r="V137" s="281"/>
      <c r="Y137" s="282"/>
      <c r="Z137" s="281"/>
      <c r="AC137" s="282"/>
      <c r="AD137" s="281"/>
      <c r="AH137" s="282"/>
      <c r="AI137" s="281"/>
      <c r="AL137" s="282"/>
      <c r="AM137" s="281"/>
      <c r="AP137" s="282"/>
      <c r="AQ137" s="281"/>
      <c r="AU137" s="282"/>
      <c r="AV137" s="281"/>
      <c r="AY137" s="282"/>
      <c r="BC137" s="282"/>
    </row>
    <row r="138" spans="2:56" x14ac:dyDescent="0.25">
      <c r="D138" s="281"/>
      <c r="H138" s="282"/>
      <c r="I138" s="281"/>
      <c r="L138" s="282"/>
      <c r="M138" s="281"/>
      <c r="P138" s="282"/>
      <c r="Q138" s="281"/>
      <c r="U138" s="282"/>
      <c r="V138" s="281"/>
      <c r="Y138" s="282"/>
      <c r="Z138" s="281"/>
      <c r="AC138" s="282"/>
      <c r="AD138" s="281"/>
      <c r="AH138" s="282"/>
      <c r="AI138" s="281"/>
      <c r="AL138" s="282"/>
      <c r="AM138" s="281"/>
      <c r="AP138" s="282"/>
      <c r="AQ138" s="281"/>
      <c r="AU138" s="282"/>
      <c r="AV138" s="281"/>
      <c r="AY138" s="282"/>
      <c r="BC138" s="282"/>
    </row>
    <row r="139" spans="2:56" x14ac:dyDescent="0.25">
      <c r="B139" t="s">
        <v>859</v>
      </c>
      <c r="C139" s="79" t="s">
        <v>856</v>
      </c>
      <c r="D139" s="281"/>
      <c r="H139" s="282">
        <f>D124+E124+F124+G124+H124</f>
        <v>3927.9700000000003</v>
      </c>
      <c r="I139" s="281"/>
      <c r="L139" s="282">
        <f>I124+J124+K124+L124</f>
        <v>3047.2200000000003</v>
      </c>
      <c r="M139" s="281"/>
      <c r="P139" s="282">
        <f>M124+N124+O124+P124</f>
        <v>3084.1800000000003</v>
      </c>
      <c r="Q139" s="281"/>
      <c r="U139" s="282">
        <f>Q124+R124+S124+T124+U124</f>
        <v>3943.7400000000002</v>
      </c>
      <c r="V139" s="281"/>
      <c r="Y139" s="282">
        <f>V124+W124+X124+Y124</f>
        <v>3061.05</v>
      </c>
      <c r="Z139" s="281"/>
      <c r="AC139" s="282">
        <f>Z124+AA124+AB124+AC124</f>
        <v>3164.21</v>
      </c>
      <c r="AD139" s="281"/>
      <c r="AH139" s="282">
        <f>SUM(AD124:AH124)</f>
        <v>3980.23</v>
      </c>
      <c r="AI139" s="281"/>
      <c r="AL139" s="282">
        <f>AI124+AJ124+AK124+AL124</f>
        <v>2972.59</v>
      </c>
      <c r="AM139" s="281"/>
      <c r="AP139" s="282">
        <f>AM124+AN124+AO124+AP124</f>
        <v>2997.84</v>
      </c>
      <c r="AQ139" s="281"/>
      <c r="AU139" s="282"/>
      <c r="AV139" s="281"/>
      <c r="AY139" s="282"/>
      <c r="BC139" s="282"/>
    </row>
    <row r="140" spans="2:56" x14ac:dyDescent="0.25">
      <c r="C140" s="79" t="s">
        <v>857</v>
      </c>
      <c r="D140" s="281"/>
      <c r="H140" s="282">
        <f>D132+E132+F132+G132+H132</f>
        <v>3937.2700000000004</v>
      </c>
      <c r="I140" s="281"/>
      <c r="L140" s="282">
        <f>I132+J132+K132+L132</f>
        <v>2915.94</v>
      </c>
      <c r="M140" s="281"/>
      <c r="P140" s="282">
        <f>M132+N132+O132+P132</f>
        <v>2889.2200000000003</v>
      </c>
      <c r="Q140" s="281"/>
      <c r="U140" s="282">
        <f>Q132+R132+S132+T132+U132</f>
        <v>3503.35</v>
      </c>
      <c r="V140" s="281"/>
      <c r="Y140" s="282">
        <f>V132+W132+X132+Y132</f>
        <v>3016.25</v>
      </c>
      <c r="Z140" s="281"/>
      <c r="AC140" s="282">
        <f>Z132+AA132+AB132+AC132</f>
        <v>3259.93</v>
      </c>
      <c r="AD140" s="281"/>
      <c r="AH140" s="282">
        <f>SUM(AD132:AH132)</f>
        <v>4010.98</v>
      </c>
      <c r="AI140" s="281"/>
      <c r="AL140" s="282">
        <f>AI132+AJ132+AK132+AL132</f>
        <v>2990.75</v>
      </c>
      <c r="AM140" s="281"/>
      <c r="AP140" s="282">
        <f>AM132+AN132+AO132+AP132</f>
        <v>3023.8</v>
      </c>
      <c r="AQ140" s="281"/>
      <c r="AU140" s="282"/>
      <c r="AV140" s="281"/>
      <c r="AY140" s="282"/>
      <c r="BC140" s="282"/>
    </row>
    <row r="141" spans="2:56" ht="15.75" thickBot="1" x14ac:dyDescent="0.3">
      <c r="D141" s="324"/>
      <c r="E141" s="325"/>
      <c r="F141" s="325"/>
      <c r="G141" s="325"/>
      <c r="H141" s="326">
        <f>H140-H139</f>
        <v>9.3000000000001819</v>
      </c>
      <c r="I141" s="324"/>
      <c r="J141" s="325"/>
      <c r="K141" s="325"/>
      <c r="L141" s="326">
        <f>L140-L139</f>
        <v>-131.2800000000002</v>
      </c>
      <c r="M141" s="324"/>
      <c r="N141" s="325"/>
      <c r="O141" s="325"/>
      <c r="P141" s="326">
        <f>P140-P139</f>
        <v>-194.96000000000004</v>
      </c>
      <c r="Q141" s="324"/>
      <c r="R141" s="325"/>
      <c r="S141" s="325"/>
      <c r="T141" s="325"/>
      <c r="U141" s="326">
        <f>U140-U139</f>
        <v>-440.39000000000033</v>
      </c>
      <c r="V141" s="324"/>
      <c r="W141" s="325"/>
      <c r="X141" s="325"/>
      <c r="Y141" s="326">
        <f>Y140-Y139</f>
        <v>-44.800000000000182</v>
      </c>
      <c r="Z141" s="324"/>
      <c r="AA141" s="325"/>
      <c r="AB141" s="325"/>
      <c r="AC141" s="326">
        <f>AC140-AC139</f>
        <v>95.7199999999998</v>
      </c>
      <c r="AD141" s="324"/>
      <c r="AE141" s="325"/>
      <c r="AF141" s="325"/>
      <c r="AG141" s="325"/>
      <c r="AH141" s="326">
        <f>AH140-AH139</f>
        <v>30.75</v>
      </c>
      <c r="AI141" s="324"/>
      <c r="AJ141" s="325"/>
      <c r="AK141" s="325"/>
      <c r="AL141" s="326">
        <f>AL140-AL139</f>
        <v>18.159999999999854</v>
      </c>
      <c r="AM141" s="324"/>
      <c r="AN141" s="325"/>
      <c r="AO141" s="325"/>
      <c r="AP141" s="326">
        <f>AP140-AP139</f>
        <v>25.960000000000036</v>
      </c>
      <c r="AQ141" s="324"/>
      <c r="AR141" s="325"/>
      <c r="AS141" s="325"/>
      <c r="AT141" s="325"/>
      <c r="AU141" s="326"/>
      <c r="AV141" s="324"/>
      <c r="AW141" s="325"/>
      <c r="AX141" s="325"/>
      <c r="AY141" s="326"/>
      <c r="AZ141" s="325"/>
      <c r="BA141" s="325"/>
      <c r="BB141" s="325"/>
      <c r="BC141" s="326"/>
    </row>
    <row r="142" spans="2:56" x14ac:dyDescent="0.25">
      <c r="H142">
        <f>D141+H141</f>
        <v>9.3000000000001819</v>
      </c>
      <c r="L142">
        <f>H141+L141</f>
        <v>-121.98000000000002</v>
      </c>
      <c r="P142">
        <f>L142+P141</f>
        <v>-316.94000000000005</v>
      </c>
      <c r="U142">
        <f>P142+U141</f>
        <v>-757.33000000000038</v>
      </c>
      <c r="Y142">
        <f>U142+Y141</f>
        <v>-802.13000000000056</v>
      </c>
      <c r="AC142">
        <f>Y142+AC141</f>
        <v>-706.41000000000076</v>
      </c>
      <c r="AH142">
        <f>AC142+AH141</f>
        <v>-675.66000000000076</v>
      </c>
      <c r="AL142">
        <f>AH142+AL141</f>
        <v>-657.50000000000091</v>
      </c>
      <c r="AP142">
        <f>AL142+AP141</f>
        <v>-631.54000000000087</v>
      </c>
      <c r="AU142">
        <f>AP142+AU141</f>
        <v>-631.54000000000087</v>
      </c>
      <c r="AY142">
        <f>AU142+AY141</f>
        <v>-631.54000000000087</v>
      </c>
      <c r="BC142">
        <f>AY142+BC141</f>
        <v>-631.54000000000087</v>
      </c>
    </row>
    <row r="143" spans="2:56" x14ac:dyDescent="0.25"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</row>
    <row r="144" spans="2:56" x14ac:dyDescent="0.25">
      <c r="B144" t="s">
        <v>860</v>
      </c>
      <c r="D144" s="327">
        <v>40</v>
      </c>
      <c r="E144" s="327">
        <v>32</v>
      </c>
      <c r="F144">
        <v>149.84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2:56" x14ac:dyDescent="0.25">
      <c r="B145" t="s">
        <v>861</v>
      </c>
      <c r="D145" s="327">
        <v>0</v>
      </c>
      <c r="E145" s="327">
        <v>16</v>
      </c>
      <c r="F145">
        <v>16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2:56" x14ac:dyDescent="0.25">
      <c r="B146" t="s">
        <v>862</v>
      </c>
      <c r="D146" s="327">
        <v>0</v>
      </c>
      <c r="E146" s="327">
        <v>182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2:56" x14ac:dyDescent="0.25">
      <c r="B147" t="s">
        <v>863</v>
      </c>
      <c r="D147" s="327">
        <v>0</v>
      </c>
      <c r="E147" s="327">
        <v>0</v>
      </c>
      <c r="F147">
        <v>24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2:56" x14ac:dyDescent="0.25">
      <c r="B148" t="s">
        <v>864</v>
      </c>
      <c r="D148" s="327">
        <f>SUM(D144:D147)</f>
        <v>40</v>
      </c>
      <c r="E148" s="327">
        <f>SUM(E144:E147)</f>
        <v>230</v>
      </c>
      <c r="F148" s="327">
        <f>SUM(F144:F146)</f>
        <v>165.84</v>
      </c>
      <c r="G148" s="327">
        <f>SUM(G144:G146)</f>
        <v>0</v>
      </c>
      <c r="H148" s="327">
        <f>SUM(H144:H146)</f>
        <v>0</v>
      </c>
      <c r="I148" s="327">
        <f>SUM(I144:I147)</f>
        <v>0</v>
      </c>
      <c r="J148" s="327">
        <f t="shared" ref="J148:L148" si="76">SUM(J144:J147)</f>
        <v>0</v>
      </c>
      <c r="K148" s="327">
        <f t="shared" si="76"/>
        <v>0</v>
      </c>
      <c r="L148" s="327">
        <f t="shared" si="76"/>
        <v>0</v>
      </c>
      <c r="M148" s="327">
        <f>SUM(M144:M147)</f>
        <v>0</v>
      </c>
      <c r="N148" s="327">
        <f t="shared" ref="N148:P148" si="77">SUM(N144:N147)</f>
        <v>0</v>
      </c>
      <c r="O148" s="327">
        <f t="shared" si="77"/>
        <v>0</v>
      </c>
      <c r="P148" s="327">
        <f t="shared" si="77"/>
        <v>0</v>
      </c>
      <c r="T148" s="327"/>
      <c r="U148" s="327"/>
      <c r="W148" s="327"/>
      <c r="X148" s="327"/>
      <c r="AG148" s="327"/>
      <c r="AH148" s="327"/>
      <c r="AL148" s="327"/>
      <c r="AP148" s="327"/>
      <c r="AT148" s="327"/>
      <c r="AU148" s="327"/>
    </row>
    <row r="149" spans="2:56" x14ac:dyDescent="0.25">
      <c r="B149" t="s">
        <v>865</v>
      </c>
      <c r="H149" s="327">
        <f>SUM(D148:H148)</f>
        <v>435.84000000000003</v>
      </c>
      <c r="L149" s="327">
        <f>SUM(I148:L148)</f>
        <v>0</v>
      </c>
      <c r="P149" s="327">
        <f>SUM(M148:P148)</f>
        <v>0</v>
      </c>
      <c r="U149" s="327"/>
      <c r="X149" s="327"/>
      <c r="AH149" s="327"/>
      <c r="AL149" s="327"/>
      <c r="AP149" s="327"/>
      <c r="AU149" s="327"/>
    </row>
    <row r="150" spans="2:56" x14ac:dyDescent="0.25">
      <c r="B150" t="s">
        <v>866</v>
      </c>
      <c r="L150" s="327">
        <f>L149+H149</f>
        <v>435.84000000000003</v>
      </c>
      <c r="P150" s="327">
        <f>P149+L150</f>
        <v>435.84000000000003</v>
      </c>
      <c r="U150" s="327"/>
      <c r="X150" s="327"/>
      <c r="AH150" s="327"/>
      <c r="AL150" s="327"/>
      <c r="AP150" s="327"/>
      <c r="AU150" s="327"/>
    </row>
    <row r="151" spans="2:56" x14ac:dyDescent="0.25">
      <c r="H151" s="327">
        <f>H142-H149</f>
        <v>-426.53999999999985</v>
      </c>
      <c r="L151" s="327">
        <f>L142-L150</f>
        <v>-557.82000000000005</v>
      </c>
      <c r="P151" s="327">
        <f>P142-P150</f>
        <v>-752.78000000000009</v>
      </c>
      <c r="U151" s="327"/>
      <c r="X151" s="327"/>
      <c r="AH151" s="327"/>
      <c r="AL151" s="327"/>
      <c r="AP151" s="327"/>
      <c r="AU151" s="327"/>
      <c r="BD151" s="320"/>
    </row>
  </sheetData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6DCC-9500-4C05-B4A5-FA0F0F692284}">
  <dimension ref="A1:AA116"/>
  <sheetViews>
    <sheetView zoomScale="90" zoomScaleNormal="90" workbookViewId="0">
      <pane xSplit="1" ySplit="1" topLeftCell="B9" activePane="bottomRight" state="frozen"/>
      <selection pane="topRight" activeCell="P40" sqref="P40"/>
      <selection pane="bottomLeft" activeCell="P40" sqref="P40"/>
      <selection pane="bottomRight"/>
    </sheetView>
  </sheetViews>
  <sheetFormatPr defaultColWidth="9.140625" defaultRowHeight="15" x14ac:dyDescent="0.25"/>
  <cols>
    <col min="1" max="1" width="10.85546875" style="4" customWidth="1"/>
    <col min="2" max="2" width="17.7109375" style="4" customWidth="1"/>
    <col min="3" max="3" width="16.7109375" style="4" customWidth="1"/>
    <col min="4" max="4" width="17.7109375" style="4" customWidth="1"/>
    <col min="5" max="7" width="17.7109375" style="4" hidden="1" customWidth="1"/>
    <col min="8" max="8" width="17.7109375" style="4" customWidth="1"/>
    <col min="9" max="9" width="16" style="4" customWidth="1"/>
    <col min="10" max="10" width="17.7109375" style="4" customWidth="1"/>
    <col min="11" max="11" width="17.7109375" style="4" hidden="1" customWidth="1"/>
    <col min="12" max="12" width="3" style="4" customWidth="1"/>
    <col min="13" max="13" width="1.42578125" style="4" customWidth="1"/>
    <col min="14" max="14" width="11" style="4" customWidth="1"/>
    <col min="15" max="17" width="14.85546875" style="182" customWidth="1"/>
    <col min="18" max="18" width="17.140625" style="182" bestFit="1" customWidth="1"/>
    <col min="19" max="20" width="14.85546875" style="182" customWidth="1"/>
    <col min="21" max="27" width="11.140625" style="4" customWidth="1"/>
    <col min="28" max="16384" width="9.140625" style="4"/>
  </cols>
  <sheetData>
    <row r="1" spans="1:27" ht="30.75" thickBot="1" x14ac:dyDescent="0.3">
      <c r="A1" s="28" t="s">
        <v>944</v>
      </c>
      <c r="B1" s="28" t="s">
        <v>17</v>
      </c>
      <c r="C1" s="28" t="s">
        <v>18</v>
      </c>
      <c r="D1" s="28" t="s">
        <v>19</v>
      </c>
      <c r="E1" s="28" t="s">
        <v>20</v>
      </c>
      <c r="F1" s="28" t="s">
        <v>21</v>
      </c>
      <c r="G1" s="28" t="s">
        <v>22</v>
      </c>
      <c r="H1" s="28" t="s">
        <v>23</v>
      </c>
      <c r="I1" s="28" t="s">
        <v>7</v>
      </c>
      <c r="J1" s="28" t="s">
        <v>24</v>
      </c>
      <c r="K1" s="28" t="s">
        <v>25</v>
      </c>
      <c r="M1" s="494" t="s">
        <v>945</v>
      </c>
      <c r="N1" s="495"/>
      <c r="O1" s="180" t="s">
        <v>3</v>
      </c>
      <c r="P1" s="180" t="s">
        <v>8</v>
      </c>
      <c r="Q1" s="180" t="s">
        <v>946</v>
      </c>
      <c r="R1" s="180" t="s">
        <v>1</v>
      </c>
      <c r="S1" s="180" t="s">
        <v>2</v>
      </c>
      <c r="T1" s="180" t="s">
        <v>6</v>
      </c>
    </row>
    <row r="2" spans="1:27" ht="21" x14ac:dyDescent="0.35">
      <c r="A2" s="29">
        <f>'Sunday WK1 (1)'!B4</f>
        <v>46194</v>
      </c>
      <c r="B2" s="30">
        <f>'Sunday WK1 (1)'!C57</f>
        <v>35708.657219999994</v>
      </c>
      <c r="C2" s="30">
        <f>'Sunday WK1 (1)'!D57</f>
        <v>0</v>
      </c>
      <c r="D2" s="30">
        <f>'Sunday WK1 (1)'!E57</f>
        <v>7130.6100100000003</v>
      </c>
      <c r="E2" s="30">
        <f>'Sunday WK1 (1)'!F57</f>
        <v>0</v>
      </c>
      <c r="F2" s="30">
        <f>'Sunday WK1 (1)'!G57</f>
        <v>0</v>
      </c>
      <c r="G2" s="30">
        <f>'Sunday WK1 (1)'!H57</f>
        <v>0</v>
      </c>
      <c r="H2" s="30">
        <f>'Sunday WK1 (1)'!I57</f>
        <v>6713.0594099999998</v>
      </c>
      <c r="I2" s="30">
        <f>'Sunday WK1 (1)'!J57</f>
        <v>31.596779999999999</v>
      </c>
      <c r="J2" s="30">
        <f>'Sunday WK1 (1)'!K57</f>
        <v>4759.8965799999996</v>
      </c>
      <c r="K2" s="30">
        <f>'Sunday WK1 (1)'!L57</f>
        <v>0</v>
      </c>
      <c r="L2" s="211" t="s">
        <v>947</v>
      </c>
      <c r="M2" s="212"/>
      <c r="N2" s="32">
        <f>A2</f>
        <v>46194</v>
      </c>
      <c r="O2" s="42"/>
      <c r="P2" s="33"/>
      <c r="Q2" s="33"/>
      <c r="R2" s="33">
        <v>2735.25</v>
      </c>
      <c r="S2" s="33">
        <v>355.2</v>
      </c>
      <c r="T2" s="34">
        <v>632.12</v>
      </c>
    </row>
    <row r="3" spans="1:27" ht="21" x14ac:dyDescent="0.35">
      <c r="A3" s="29">
        <f>A2+1</f>
        <v>46195</v>
      </c>
      <c r="B3" s="30">
        <f>'Monday WK1 (2)'!C$57</f>
        <v>24913.77</v>
      </c>
      <c r="C3" s="30">
        <f>'Monday WK1 (2)'!D$57</f>
        <v>0</v>
      </c>
      <c r="D3" s="30">
        <f>'Monday WK1 (2)'!E$57</f>
        <v>0</v>
      </c>
      <c r="E3" s="30">
        <f>'Monday WK1 (2)'!F$57</f>
        <v>0</v>
      </c>
      <c r="F3" s="30">
        <f>'Monday WK1 (2)'!G$57</f>
        <v>0</v>
      </c>
      <c r="G3" s="30">
        <f>'Monday WK1 (2)'!H$57</f>
        <v>0</v>
      </c>
      <c r="H3" s="30">
        <f>'Monday WK1 (2)'!I$57</f>
        <v>0</v>
      </c>
      <c r="I3" s="30">
        <f>'Monday WK1 (2)'!J$57</f>
        <v>0</v>
      </c>
      <c r="J3" s="30">
        <f>'Monday WK1 (2)'!K$57</f>
        <v>-139.69</v>
      </c>
      <c r="K3" s="30">
        <f>'Monday WK1 (2)'!L$57</f>
        <v>0</v>
      </c>
      <c r="L3" s="211" t="s">
        <v>947</v>
      </c>
      <c r="M3" s="212"/>
      <c r="N3" s="32">
        <f>N2+1</f>
        <v>46195</v>
      </c>
      <c r="O3" s="37">
        <v>64.63</v>
      </c>
      <c r="P3" s="35">
        <v>371.12</v>
      </c>
      <c r="Q3" s="35"/>
      <c r="R3" s="35"/>
      <c r="S3" s="35"/>
      <c r="T3" s="36">
        <v>361.15</v>
      </c>
    </row>
    <row r="4" spans="1:27" ht="21" x14ac:dyDescent="0.35">
      <c r="A4" s="29">
        <f t="shared" ref="A4:A36" si="0">A3+1</f>
        <v>46196</v>
      </c>
      <c r="B4" s="30">
        <f>'Tuesday WK1 (3)'!C$57</f>
        <v>37215.398820000002</v>
      </c>
      <c r="C4" s="30">
        <f>'Tuesday WK1 (3)'!D$57</f>
        <v>0</v>
      </c>
      <c r="D4" s="30">
        <f>'Tuesday WK1 (3)'!E$57</f>
        <v>9926.0828099999999</v>
      </c>
      <c r="E4" s="30">
        <f>'Tuesday WK1 (3)'!F$57</f>
        <v>0</v>
      </c>
      <c r="F4" s="30">
        <f>'Tuesday WK1 (3)'!G$57</f>
        <v>0</v>
      </c>
      <c r="G4" s="30">
        <f>'Tuesday WK1 (3)'!H$57</f>
        <v>0</v>
      </c>
      <c r="H4" s="30">
        <f>'Tuesday WK1 (3)'!I$57</f>
        <v>6195.29421</v>
      </c>
      <c r="I4" s="30">
        <f>'Tuesday WK1 (3)'!J$57</f>
        <v>34.915179999999999</v>
      </c>
      <c r="J4" s="30">
        <f>'Tuesday WK1 (3)'!K$57</f>
        <v>11313.108979999999</v>
      </c>
      <c r="K4" s="30">
        <f>'Monday WK1 (2)'!L$57</f>
        <v>0</v>
      </c>
      <c r="L4" s="211" t="s">
        <v>947</v>
      </c>
      <c r="M4" s="212"/>
      <c r="N4" s="32">
        <f t="shared" ref="N4:N36" si="1">N3+1</f>
        <v>46196</v>
      </c>
      <c r="O4" s="37">
        <v>27.66</v>
      </c>
      <c r="P4" s="35"/>
      <c r="Q4" s="35"/>
      <c r="R4" s="35"/>
      <c r="S4" s="35"/>
      <c r="T4" s="36">
        <v>423.15</v>
      </c>
    </row>
    <row r="5" spans="1:27" ht="21" x14ac:dyDescent="0.35">
      <c r="A5" s="29">
        <f t="shared" si="0"/>
        <v>46197</v>
      </c>
      <c r="B5" s="30">
        <f>'Wednesday WK1 (4)'!C$57</f>
        <v>8937.7111399999994</v>
      </c>
      <c r="C5" s="30">
        <f>'Wednesday WK1 (4)'!D$57</f>
        <v>0</v>
      </c>
      <c r="D5" s="30">
        <f>'Wednesday WK1 (4)'!E$57</f>
        <v>-4481.4876300000005</v>
      </c>
      <c r="E5" s="30">
        <f>'Wednesday WK1 (4)'!F$57</f>
        <v>0</v>
      </c>
      <c r="F5" s="30">
        <f>'Wednesday WK1 (4)'!G$57</f>
        <v>0</v>
      </c>
      <c r="G5" s="30">
        <f>'Wednesday WK1 (4)'!H$57</f>
        <v>0</v>
      </c>
      <c r="H5" s="30">
        <f>'Wednesday WK1 (4)'!I$57</f>
        <v>27.13017</v>
      </c>
      <c r="I5" s="30">
        <f>'Wednesday WK1 (4)'!J$57</f>
        <v>20.816859999999998</v>
      </c>
      <c r="J5" s="30">
        <f>'Wednesday WK1 (4)'!K$57</f>
        <v>-18.660540000000005</v>
      </c>
      <c r="K5" s="30">
        <v>0</v>
      </c>
      <c r="L5" s="211" t="s">
        <v>947</v>
      </c>
      <c r="M5" s="212"/>
      <c r="N5" s="32">
        <f t="shared" si="1"/>
        <v>46197</v>
      </c>
      <c r="O5" s="37">
        <v>67.180000000000007</v>
      </c>
      <c r="P5" s="35"/>
      <c r="Q5" s="35"/>
      <c r="R5" s="35"/>
      <c r="S5" s="35"/>
      <c r="T5" s="36"/>
    </row>
    <row r="6" spans="1:27" ht="21" x14ac:dyDescent="0.35">
      <c r="A6" s="29">
        <f t="shared" si="0"/>
        <v>46198</v>
      </c>
      <c r="B6" s="30">
        <f>'Thursday WK1 (5)'!C$57</f>
        <v>62321.503840000012</v>
      </c>
      <c r="C6" s="30">
        <f>'Thursday WK1 (5)'!D$57</f>
        <v>0</v>
      </c>
      <c r="D6" s="30">
        <f>'Thursday WK1 (5)'!E$57</f>
        <v>10081.437720000004</v>
      </c>
      <c r="E6" s="30">
        <f>'Thursday WK1 (5)'!F$57</f>
        <v>0</v>
      </c>
      <c r="F6" s="30">
        <f>'Thursday WK1 (5)'!G$57</f>
        <v>0</v>
      </c>
      <c r="G6" s="30">
        <f>'Thursday WK1 (5)'!H$57</f>
        <v>0</v>
      </c>
      <c r="H6" s="30">
        <f>'Thursday WK1 (5)'!I$57</f>
        <v>4566.4945200000002</v>
      </c>
      <c r="I6" s="30">
        <f>'Thursday WK1 (5)'!J$57</f>
        <v>47.614159999999998</v>
      </c>
      <c r="J6" s="30">
        <f>'Thursday WK1 (5)'!K$57</f>
        <v>7714.1497599999984</v>
      </c>
      <c r="K6" s="30">
        <v>0</v>
      </c>
      <c r="L6" s="211" t="s">
        <v>947</v>
      </c>
      <c r="M6" s="212"/>
      <c r="N6" s="32">
        <f t="shared" si="1"/>
        <v>46198</v>
      </c>
      <c r="O6" s="37">
        <v>64.569999999999993</v>
      </c>
      <c r="P6" s="35"/>
      <c r="Q6" s="35"/>
      <c r="R6" s="35"/>
      <c r="S6" s="35">
        <v>12.86</v>
      </c>
      <c r="T6" s="36">
        <v>874.61</v>
      </c>
      <c r="U6" s="496" t="s">
        <v>948</v>
      </c>
      <c r="V6" s="493"/>
      <c r="W6" s="493"/>
      <c r="X6" s="493"/>
      <c r="Y6" s="493"/>
      <c r="Z6" s="493"/>
    </row>
    <row r="7" spans="1:27" ht="21" x14ac:dyDescent="0.35">
      <c r="A7" s="29">
        <f t="shared" si="0"/>
        <v>46199</v>
      </c>
      <c r="B7" s="30">
        <f>'Friday WK1 (6)'!C$57</f>
        <v>10139.85</v>
      </c>
      <c r="C7" s="30">
        <f>'Friday WK1 (6)'!D$57</f>
        <v>0</v>
      </c>
      <c r="D7" s="30">
        <f>'Friday WK1 (6)'!E$57</f>
        <v>1337.86</v>
      </c>
      <c r="E7" s="30">
        <f>'Friday WK1 (6)'!F$57</f>
        <v>0</v>
      </c>
      <c r="F7" s="30">
        <f>'Friday WK1 (6)'!G$57</f>
        <v>0</v>
      </c>
      <c r="G7" s="30">
        <f>'Friday WK1 (6)'!H$57</f>
        <v>0</v>
      </c>
      <c r="H7" s="30">
        <f>'Friday WK1 (6)'!I$57</f>
        <v>0</v>
      </c>
      <c r="I7" s="30">
        <f>'Friday WK1 (6)'!J$57</f>
        <v>0</v>
      </c>
      <c r="J7" s="30">
        <f>'Friday WK1 (6)'!K$57</f>
        <v>0</v>
      </c>
      <c r="K7" s="30">
        <v>0</v>
      </c>
      <c r="L7" s="211" t="s">
        <v>947</v>
      </c>
      <c r="M7" s="212"/>
      <c r="N7" s="32">
        <f t="shared" si="1"/>
        <v>46199</v>
      </c>
      <c r="O7" s="37">
        <v>73.22</v>
      </c>
      <c r="P7" s="35"/>
      <c r="Q7" s="35"/>
      <c r="R7" s="35"/>
      <c r="S7" s="35"/>
      <c r="T7" s="36">
        <v>350.17</v>
      </c>
      <c r="U7" s="4" t="s">
        <v>3</v>
      </c>
      <c r="V7" s="4" t="s">
        <v>8</v>
      </c>
      <c r="W7" s="4" t="s">
        <v>946</v>
      </c>
      <c r="X7" s="4" t="s">
        <v>1</v>
      </c>
      <c r="Y7" s="4" t="s">
        <v>2</v>
      </c>
      <c r="Z7" s="4" t="s">
        <v>6</v>
      </c>
    </row>
    <row r="8" spans="1:27" ht="21.75" thickBot="1" x14ac:dyDescent="0.4">
      <c r="A8" s="29">
        <f t="shared" si="0"/>
        <v>46200</v>
      </c>
      <c r="B8" s="30">
        <f>'Saturday WK1 (7)'!C$57</f>
        <v>126.65</v>
      </c>
      <c r="C8" s="30">
        <f>'Saturday WK1 (7)'!D$57</f>
        <v>0</v>
      </c>
      <c r="D8" s="30">
        <f>'Saturday WK1 (7)'!E$57</f>
        <v>0</v>
      </c>
      <c r="E8" s="30">
        <f>'Saturday WK1 (7)'!F$57</f>
        <v>0</v>
      </c>
      <c r="F8" s="30">
        <f>'Saturday WK1 (7)'!G$57</f>
        <v>0</v>
      </c>
      <c r="G8" s="30">
        <f>'Saturday WK1 (7)'!H$57</f>
        <v>0</v>
      </c>
      <c r="H8" s="30">
        <f>'Saturday WK1 (7)'!I$57</f>
        <v>0</v>
      </c>
      <c r="I8" s="30">
        <f>'Saturday WK1 (7)'!J$57</f>
        <v>0</v>
      </c>
      <c r="J8" s="30">
        <f>'Saturday WK1 (7)'!K$57</f>
        <v>0</v>
      </c>
      <c r="K8" s="30">
        <v>0</v>
      </c>
      <c r="L8" s="211" t="s">
        <v>947</v>
      </c>
      <c r="M8" s="212"/>
      <c r="N8" s="32">
        <f t="shared" si="1"/>
        <v>46200</v>
      </c>
      <c r="O8" s="38">
        <v>32.72</v>
      </c>
      <c r="P8" s="39">
        <v>367.71</v>
      </c>
      <c r="Q8" s="39"/>
      <c r="R8" s="39">
        <v>46.1</v>
      </c>
      <c r="S8" s="39"/>
      <c r="T8" s="40">
        <v>331.32</v>
      </c>
      <c r="U8" s="41">
        <f t="shared" ref="U8:X8" si="2">SUM(O2:O8)</f>
        <v>329.98</v>
      </c>
      <c r="V8" s="41">
        <f t="shared" si="2"/>
        <v>738.82999999999993</v>
      </c>
      <c r="W8" s="41">
        <f t="shared" si="2"/>
        <v>0</v>
      </c>
      <c r="X8" s="41">
        <f t="shared" si="2"/>
        <v>2781.35</v>
      </c>
      <c r="Y8" s="41">
        <f>SUM(S2:S8)</f>
        <v>368.06</v>
      </c>
      <c r="Z8" s="41">
        <f>SUM(T2:T8)</f>
        <v>2972.5200000000004</v>
      </c>
      <c r="AA8" s="41">
        <f>SUM(U8:Z8)</f>
        <v>7190.7400000000007</v>
      </c>
    </row>
    <row r="9" spans="1:27" ht="21" x14ac:dyDescent="0.35">
      <c r="A9" s="29">
        <f t="shared" si="0"/>
        <v>46201</v>
      </c>
      <c r="B9" s="30">
        <f>'Sunday WK2 (8)'!C$57</f>
        <v>41682.646640000021</v>
      </c>
      <c r="C9" s="30">
        <f>'Sunday WK2 (8)'!D$57</f>
        <v>0</v>
      </c>
      <c r="D9" s="30">
        <f>'Sunday WK2 (8)'!E$57</f>
        <v>16678.990119999999</v>
      </c>
      <c r="E9" s="30">
        <f>'Sunday WK2 (8)'!F$57</f>
        <v>0</v>
      </c>
      <c r="F9" s="30">
        <f>'Sunday WK2 (8)'!G$57</f>
        <v>0</v>
      </c>
      <c r="G9" s="30">
        <f>'Sunday WK2 (8)'!H$57</f>
        <v>0</v>
      </c>
      <c r="H9" s="30">
        <f>'Sunday WK2 (8)'!I$57</f>
        <v>3600.1329199999996</v>
      </c>
      <c r="I9" s="30">
        <f>'Sunday WK2 (8)'!J$57</f>
        <v>42.441359999999996</v>
      </c>
      <c r="J9" s="30">
        <f>'Sunday WK2 (8)'!K$57</f>
        <v>7091.3589600000005</v>
      </c>
      <c r="K9" s="30">
        <v>0</v>
      </c>
      <c r="L9" s="211" t="s">
        <v>947</v>
      </c>
      <c r="M9" s="212"/>
      <c r="N9" s="32">
        <f t="shared" si="1"/>
        <v>46201</v>
      </c>
      <c r="O9" s="37">
        <v>35.82</v>
      </c>
      <c r="P9" s="33"/>
      <c r="Q9" s="33"/>
      <c r="R9" s="33"/>
      <c r="S9" s="33"/>
      <c r="T9" s="34">
        <v>587.72</v>
      </c>
    </row>
    <row r="10" spans="1:27" ht="21" x14ac:dyDescent="0.35">
      <c r="A10" s="29">
        <f t="shared" si="0"/>
        <v>46202</v>
      </c>
      <c r="B10" s="30">
        <f>'Monday WK2 (9)'!C$57</f>
        <v>10489.76</v>
      </c>
      <c r="C10" s="30">
        <f>'Monday WK2 (9)'!D$57</f>
        <v>0</v>
      </c>
      <c r="D10" s="30">
        <f>'Monday WK2 (9)'!E$57</f>
        <v>2041.15</v>
      </c>
      <c r="E10" s="30">
        <f>'Monday WK2 (9)'!F$57</f>
        <v>0</v>
      </c>
      <c r="F10" s="30">
        <f>'Monday WK2 (9)'!G$57</f>
        <v>0</v>
      </c>
      <c r="G10" s="30">
        <f>'Monday WK2 (9)'!H$57</f>
        <v>0</v>
      </c>
      <c r="H10" s="30">
        <f>'Monday WK2 (9)'!I$57</f>
        <v>0</v>
      </c>
      <c r="I10" s="30">
        <f>'Monday WK2 (9)'!J$57</f>
        <v>0</v>
      </c>
      <c r="J10" s="30">
        <f>'Monday WK2 (9)'!K$57</f>
        <v>0</v>
      </c>
      <c r="K10" s="30">
        <v>0</v>
      </c>
      <c r="L10" s="211" t="s">
        <v>947</v>
      </c>
      <c r="M10" s="212"/>
      <c r="N10" s="32">
        <f t="shared" si="1"/>
        <v>46202</v>
      </c>
      <c r="O10" s="37"/>
      <c r="P10" s="35"/>
      <c r="Q10" s="35"/>
      <c r="R10" s="35"/>
      <c r="S10" s="35">
        <v>2.93</v>
      </c>
      <c r="T10" s="36">
        <v>467.25</v>
      </c>
    </row>
    <row r="11" spans="1:27" ht="21" x14ac:dyDescent="0.35">
      <c r="A11" s="29">
        <f t="shared" si="0"/>
        <v>46203</v>
      </c>
      <c r="B11" s="30">
        <f>'Tuesday WK2 (10)'!C57</f>
        <v>48550.246579999999</v>
      </c>
      <c r="C11" s="30">
        <f>'Tuesday WK2 (10)'!D$57</f>
        <v>0</v>
      </c>
      <c r="D11" s="30">
        <f>'Tuesday WK2 (10)'!E$57</f>
        <v>2795.2278900000001</v>
      </c>
      <c r="E11" s="30">
        <f>'Tuesday WK2 (10)'!F$57</f>
        <v>0</v>
      </c>
      <c r="F11" s="30">
        <f>'Tuesday WK2 (10)'!G$57</f>
        <v>0</v>
      </c>
      <c r="G11" s="30">
        <f>'Tuesday WK2 (10)'!H$57</f>
        <v>0</v>
      </c>
      <c r="H11" s="30">
        <f>'Tuesday WK2 (10)'!I$57</f>
        <v>5524.0544899999995</v>
      </c>
      <c r="I11" s="30">
        <f>'Tuesday WK2 (10)'!J$57</f>
        <v>50.399419999999999</v>
      </c>
      <c r="J11" s="30">
        <f>'Tuesday WK2 (10)'!K$57</f>
        <v>7597.1416199999994</v>
      </c>
      <c r="K11" s="30">
        <v>0</v>
      </c>
      <c r="L11" s="211" t="s">
        <v>947</v>
      </c>
      <c r="M11" s="212"/>
      <c r="N11" s="32">
        <f t="shared" si="1"/>
        <v>46203</v>
      </c>
      <c r="O11" s="37">
        <v>221.38</v>
      </c>
      <c r="P11" s="35"/>
      <c r="Q11" s="35"/>
      <c r="R11" s="35"/>
      <c r="S11" s="35"/>
      <c r="T11" s="36">
        <v>485.3</v>
      </c>
    </row>
    <row r="12" spans="1:27" ht="21" x14ac:dyDescent="0.35">
      <c r="A12" s="29">
        <f t="shared" si="0"/>
        <v>46204</v>
      </c>
      <c r="B12" s="30">
        <f>'Wednesday WK2 (11)'!C57</f>
        <v>113.58000000000001</v>
      </c>
      <c r="C12" s="30">
        <f>'Wednesday WK2 (11)'!D$57</f>
        <v>0</v>
      </c>
      <c r="D12" s="30">
        <f>'Wednesday WK2 (11)'!E$57</f>
        <v>0</v>
      </c>
      <c r="E12" s="30">
        <f>'Wednesday WK2 (11)'!F$57</f>
        <v>0</v>
      </c>
      <c r="F12" s="30">
        <f>'Wednesday WK2 (11)'!G$57</f>
        <v>0</v>
      </c>
      <c r="G12" s="30">
        <f>'Wednesday WK2 (11)'!H$57</f>
        <v>0</v>
      </c>
      <c r="H12" s="30">
        <f>'Wednesday WK2 (11)'!I$57</f>
        <v>0</v>
      </c>
      <c r="I12" s="30">
        <f>'Wednesday WK2 (11)'!J$57</f>
        <v>0</v>
      </c>
      <c r="J12" s="30">
        <f>'Wednesday WK2 (11)'!K$57</f>
        <v>0</v>
      </c>
      <c r="K12" s="30">
        <v>0</v>
      </c>
      <c r="L12" s="211" t="s">
        <v>947</v>
      </c>
      <c r="M12" s="212"/>
      <c r="N12" s="32">
        <f t="shared" si="1"/>
        <v>46204</v>
      </c>
      <c r="O12" s="37"/>
      <c r="P12" s="35"/>
      <c r="Q12" s="35"/>
      <c r="R12" s="35"/>
      <c r="S12" s="35"/>
      <c r="T12" s="36"/>
    </row>
    <row r="13" spans="1:27" ht="21" x14ac:dyDescent="0.35">
      <c r="A13" s="29">
        <f t="shared" si="0"/>
        <v>46205</v>
      </c>
      <c r="B13" s="30">
        <f>'Thursday WK2 (12)'!C$57</f>
        <v>24524.846160000001</v>
      </c>
      <c r="C13" s="30">
        <f>'Thursday WK2 (12)'!D$57</f>
        <v>0</v>
      </c>
      <c r="D13" s="30">
        <f>'Thursday WK2 (12)'!E$57</f>
        <v>18687.967280000001</v>
      </c>
      <c r="E13" s="30">
        <f>'Thursday WK2 (12)'!F$57</f>
        <v>0</v>
      </c>
      <c r="F13" s="30">
        <f>'Thursday WK2 (12)'!G$57</f>
        <v>0</v>
      </c>
      <c r="G13" s="30">
        <f>'Thursday WK2 (12)'!H$57</f>
        <v>0</v>
      </c>
      <c r="H13" s="30">
        <f>'Thursday WK2 (12)'!I$57</f>
        <v>4760.8204799999994</v>
      </c>
      <c r="I13" s="30">
        <f>'Thursday WK2 (12)'!J$57</f>
        <v>31.075839999999999</v>
      </c>
      <c r="J13" s="30">
        <f>'Thursday WK2 (12)'!K$57</f>
        <v>5761.0502399999996</v>
      </c>
      <c r="K13" s="30">
        <v>0</v>
      </c>
      <c r="L13" s="211" t="s">
        <v>947</v>
      </c>
      <c r="M13" s="212"/>
      <c r="N13" s="32">
        <f t="shared" si="1"/>
        <v>46205</v>
      </c>
      <c r="O13" s="37">
        <v>96.09</v>
      </c>
      <c r="P13" s="35">
        <v>276.58999999999997</v>
      </c>
      <c r="Q13" s="35"/>
      <c r="R13" s="35"/>
      <c r="S13" s="35">
        <v>32.520000000000003</v>
      </c>
      <c r="T13" s="36">
        <v>412.97</v>
      </c>
      <c r="U13" s="496" t="s">
        <v>948</v>
      </c>
      <c r="V13" s="493"/>
      <c r="W13" s="493"/>
      <c r="X13" s="493"/>
      <c r="Y13" s="493"/>
      <c r="Z13" s="493"/>
    </row>
    <row r="14" spans="1:27" ht="21" x14ac:dyDescent="0.35">
      <c r="A14" s="29">
        <f t="shared" si="0"/>
        <v>46206</v>
      </c>
      <c r="B14" s="30">
        <f>'Friday WK2 (13)'!C$57</f>
        <v>8349.24</v>
      </c>
      <c r="C14" s="30">
        <f>'Friday WK2 (13)'!D$57</f>
        <v>0</v>
      </c>
      <c r="D14" s="30">
        <f>'Friday WK2 (13)'!E$57</f>
        <v>0</v>
      </c>
      <c r="E14" s="30">
        <f>'Friday WK2 (13)'!F$57</f>
        <v>0</v>
      </c>
      <c r="F14" s="30">
        <f>'Friday WK2 (13)'!G$57</f>
        <v>0</v>
      </c>
      <c r="G14" s="30">
        <f>'Friday WK2 (13)'!H$57</f>
        <v>0</v>
      </c>
      <c r="H14" s="30">
        <f>'Friday WK2 (13)'!I$57</f>
        <v>0</v>
      </c>
      <c r="I14" s="30">
        <f>'Friday WK2 (13)'!J$57</f>
        <v>0</v>
      </c>
      <c r="J14" s="30">
        <f>'Friday WK2 (13)'!K$57</f>
        <v>218.72</v>
      </c>
      <c r="K14" s="30">
        <v>0</v>
      </c>
      <c r="L14" s="211" t="s">
        <v>947</v>
      </c>
      <c r="M14" s="212"/>
      <c r="N14" s="32">
        <f t="shared" si="1"/>
        <v>46206</v>
      </c>
      <c r="O14" s="37">
        <v>100.98</v>
      </c>
      <c r="P14" s="35">
        <v>240.82</v>
      </c>
      <c r="Q14" s="35"/>
      <c r="R14" s="35">
        <v>24.07</v>
      </c>
      <c r="S14" s="35">
        <v>19.3</v>
      </c>
      <c r="T14" s="36">
        <v>384.98</v>
      </c>
      <c r="U14" s="4" t="s">
        <v>3</v>
      </c>
      <c r="V14" s="4" t="s">
        <v>8</v>
      </c>
      <c r="W14" s="4" t="s">
        <v>946</v>
      </c>
      <c r="X14" s="4" t="s">
        <v>1</v>
      </c>
      <c r="Y14" s="4" t="s">
        <v>2</v>
      </c>
      <c r="Z14" s="4" t="s">
        <v>6</v>
      </c>
    </row>
    <row r="15" spans="1:27" ht="21" x14ac:dyDescent="0.35">
      <c r="A15" s="29">
        <f t="shared" si="0"/>
        <v>46207</v>
      </c>
      <c r="B15" s="30">
        <f>'Saturday WK2 (14)'!C$57</f>
        <v>365.91</v>
      </c>
      <c r="C15" s="30">
        <f>'Saturday WK2 (14)'!D$57</f>
        <v>0</v>
      </c>
      <c r="D15" s="30">
        <f>'Saturday WK2 (14)'!E$57</f>
        <v>0</v>
      </c>
      <c r="E15" s="30">
        <f>'Saturday WK2 (14)'!F$57</f>
        <v>0</v>
      </c>
      <c r="F15" s="30">
        <f>'Saturday WK2 (14)'!G$57</f>
        <v>0</v>
      </c>
      <c r="G15" s="30">
        <f>'Saturday WK2 (14)'!H$57</f>
        <v>0</v>
      </c>
      <c r="H15" s="30">
        <f>'Saturday WK2 (14)'!I$57</f>
        <v>0</v>
      </c>
      <c r="I15" s="30">
        <f>'Saturday WK2 (14)'!J$57</f>
        <v>0</v>
      </c>
      <c r="J15" s="30">
        <f>'Saturday WK2 (14)'!K$57</f>
        <v>0</v>
      </c>
      <c r="K15" s="30">
        <v>0</v>
      </c>
      <c r="L15" s="211" t="s">
        <v>947</v>
      </c>
      <c r="M15" s="212"/>
      <c r="N15" s="32">
        <f t="shared" si="1"/>
        <v>46207</v>
      </c>
      <c r="O15" s="38"/>
      <c r="P15" s="39"/>
      <c r="Q15" s="39"/>
      <c r="R15" s="39"/>
      <c r="S15" s="39"/>
      <c r="T15" s="40">
        <v>301.13</v>
      </c>
      <c r="U15" s="41">
        <f t="shared" ref="U15:Z15" si="3">SUM(O9:O15)</f>
        <v>454.27</v>
      </c>
      <c r="V15" s="41">
        <f t="shared" si="3"/>
        <v>517.41</v>
      </c>
      <c r="W15" s="41">
        <f t="shared" si="3"/>
        <v>0</v>
      </c>
      <c r="X15" s="41">
        <f t="shared" si="3"/>
        <v>24.07</v>
      </c>
      <c r="Y15" s="41">
        <f>SUM(S9:S15)</f>
        <v>54.75</v>
      </c>
      <c r="Z15" s="41">
        <f t="shared" si="3"/>
        <v>2639.3500000000004</v>
      </c>
      <c r="AA15" s="41">
        <f>SUM(U15:Z15)</f>
        <v>3689.8500000000004</v>
      </c>
    </row>
    <row r="16" spans="1:27" ht="21" x14ac:dyDescent="0.35">
      <c r="A16" s="29">
        <f t="shared" si="0"/>
        <v>46208</v>
      </c>
      <c r="B16" s="30">
        <f>'Sunday WK3 (15)'!C$57</f>
        <v>24862.045879999994</v>
      </c>
      <c r="C16" s="30">
        <f>'Sunday WK3 (15)'!D$57</f>
        <v>0</v>
      </c>
      <c r="D16" s="30">
        <f>'Sunday WK3 (15)'!E$57</f>
        <v>12850.978539999998</v>
      </c>
      <c r="E16" s="30">
        <f>'Sunday WK3 (15)'!F$57</f>
        <v>0</v>
      </c>
      <c r="F16" s="30">
        <f>'Sunday WK3 (15)'!G$57</f>
        <v>0</v>
      </c>
      <c r="G16" s="30">
        <f>'Sunday WK3 (15)'!H$57</f>
        <v>0</v>
      </c>
      <c r="H16" s="30">
        <f>'Sunday WK3 (15)'!I$57</f>
        <v>6384.8361400000003</v>
      </c>
      <c r="I16" s="30">
        <f>'Sunday WK3 (15)'!J$57</f>
        <v>44.830119999999994</v>
      </c>
      <c r="J16" s="30">
        <f>'Sunday WK3 (15)'!K$57</f>
        <v>21057.599320000001</v>
      </c>
      <c r="K16" s="30">
        <v>0</v>
      </c>
      <c r="L16" s="211" t="s">
        <v>947</v>
      </c>
      <c r="M16" s="212"/>
      <c r="N16" s="32">
        <f t="shared" si="1"/>
        <v>46208</v>
      </c>
      <c r="O16" s="42"/>
      <c r="P16" s="33"/>
      <c r="Q16" s="33"/>
      <c r="R16" s="33"/>
      <c r="S16" s="35"/>
      <c r="T16" s="34">
        <v>184.4</v>
      </c>
    </row>
    <row r="17" spans="1:27" ht="21" x14ac:dyDescent="0.35">
      <c r="A17" s="29">
        <f t="shared" si="0"/>
        <v>46209</v>
      </c>
      <c r="B17" s="30">
        <f>'Monday WK3 (16)'!C$57</f>
        <v>16851.14</v>
      </c>
      <c r="C17" s="30">
        <f>'Monday WK3 (16)'!D$57</f>
        <v>0</v>
      </c>
      <c r="D17" s="30">
        <f>'Monday WK3 (16)'!E$57</f>
        <v>3151.46</v>
      </c>
      <c r="E17" s="30">
        <f>'Monday WK3 (16)'!F$57</f>
        <v>0</v>
      </c>
      <c r="F17" s="30">
        <f>'Monday WK3 (16)'!G$57</f>
        <v>0</v>
      </c>
      <c r="G17" s="30">
        <f>'Monday WK3 (16)'!H$57</f>
        <v>0</v>
      </c>
      <c r="H17" s="30">
        <f>'Monday WK3 (16)'!I$57</f>
        <v>0</v>
      </c>
      <c r="I17" s="30">
        <f>'Monday WK3 (16)'!J$57</f>
        <v>0</v>
      </c>
      <c r="J17" s="30">
        <f>'Monday WK3 (16)'!K$57</f>
        <v>0</v>
      </c>
      <c r="K17" s="30">
        <v>0</v>
      </c>
      <c r="L17" s="211" t="s">
        <v>947</v>
      </c>
      <c r="M17" s="212"/>
      <c r="N17" s="32">
        <f t="shared" si="1"/>
        <v>46209</v>
      </c>
      <c r="O17" s="37">
        <v>7.47</v>
      </c>
      <c r="P17" s="35">
        <v>209.23</v>
      </c>
      <c r="Q17" s="35"/>
      <c r="R17" s="35"/>
      <c r="S17" s="35">
        <v>144.05000000000001</v>
      </c>
      <c r="T17" s="36">
        <v>1000</v>
      </c>
    </row>
    <row r="18" spans="1:27" ht="21" x14ac:dyDescent="0.35">
      <c r="A18" s="29">
        <f t="shared" si="0"/>
        <v>46210</v>
      </c>
      <c r="B18" s="30">
        <f>'Tuesday WK3 (17)'!C$57</f>
        <v>36731.21976</v>
      </c>
      <c r="C18" s="30">
        <f>'Tuesday WK3 (17)'!D$57</f>
        <v>0</v>
      </c>
      <c r="D18" s="30">
        <f>'Tuesday WK3 (17)'!E$57</f>
        <v>8796.3210799999997</v>
      </c>
      <c r="E18" s="30">
        <f>'Tuesday WK3 (17)'!F$57</f>
        <v>0</v>
      </c>
      <c r="F18" s="30">
        <f>'Tuesday WK3 (17)'!G$57</f>
        <v>0</v>
      </c>
      <c r="G18" s="30">
        <f>'Tuesday WK3 (17)'!H$57</f>
        <v>0</v>
      </c>
      <c r="H18" s="30">
        <f>'Tuesday WK3 (17)'!I$57</f>
        <v>4048.4762800000003</v>
      </c>
      <c r="I18" s="30">
        <f>'Tuesday WK3 (17)'!J$57</f>
        <v>47.692239999999998</v>
      </c>
      <c r="J18" s="30">
        <f>'Tuesday WK3 (17)'!K$57</f>
        <v>5527.8706400000001</v>
      </c>
      <c r="K18" s="30">
        <v>0</v>
      </c>
      <c r="L18" s="211" t="s">
        <v>947</v>
      </c>
      <c r="M18" s="212"/>
      <c r="N18" s="32">
        <f t="shared" si="1"/>
        <v>46210</v>
      </c>
      <c r="O18" s="37">
        <v>149.04</v>
      </c>
      <c r="P18" s="205"/>
      <c r="Q18" s="35"/>
      <c r="R18" s="35"/>
      <c r="S18" s="35">
        <v>864.08</v>
      </c>
      <c r="T18" s="36"/>
      <c r="U18" s="43"/>
    </row>
    <row r="19" spans="1:27" ht="21" x14ac:dyDescent="0.35">
      <c r="A19" s="29">
        <f t="shared" si="0"/>
        <v>46211</v>
      </c>
      <c r="B19" s="30">
        <f>'Wednesday WK3 (18)'!C$57</f>
        <v>2316.2799999999997</v>
      </c>
      <c r="C19" s="30">
        <f>'Wednesday WK3 (18)'!D$57</f>
        <v>0</v>
      </c>
      <c r="D19" s="30">
        <f>'Wednesday WK3 (18)'!E$57</f>
        <v>1849.5</v>
      </c>
      <c r="E19" s="30">
        <f>'Wednesday WK3 (18)'!F$57</f>
        <v>0</v>
      </c>
      <c r="F19" s="30">
        <f>'Wednesday WK3 (18)'!G$57</f>
        <v>0</v>
      </c>
      <c r="G19" s="30">
        <f>'Wednesday WK3 (18)'!H$57</f>
        <v>0</v>
      </c>
      <c r="H19" s="30">
        <f>'Wednesday WK3 (18)'!I$57</f>
        <v>0</v>
      </c>
      <c r="I19" s="30">
        <f>'Wednesday WK3 (18)'!J$57</f>
        <v>0</v>
      </c>
      <c r="J19" s="30">
        <f>'Wednesday WK3 (18)'!K$57</f>
        <v>0</v>
      </c>
      <c r="K19" s="30">
        <v>0</v>
      </c>
      <c r="L19" s="211" t="s">
        <v>947</v>
      </c>
      <c r="M19" s="212"/>
      <c r="N19" s="32">
        <f t="shared" si="1"/>
        <v>46211</v>
      </c>
      <c r="O19" s="37">
        <v>64.69</v>
      </c>
      <c r="P19" s="35"/>
      <c r="Q19" s="35"/>
      <c r="R19" s="35"/>
      <c r="S19" s="35"/>
      <c r="T19" s="36">
        <v>739.21</v>
      </c>
    </row>
    <row r="20" spans="1:27" ht="21" x14ac:dyDescent="0.35">
      <c r="A20" s="29">
        <f t="shared" si="0"/>
        <v>46212</v>
      </c>
      <c r="B20" s="30">
        <f>'Thursday WK3 (19)'!C$57</f>
        <v>79333.770980000001</v>
      </c>
      <c r="C20" s="30">
        <f>'Thursday WK3 (19)'!D$57</f>
        <v>0</v>
      </c>
      <c r="D20" s="30">
        <f>'Thursday WK3 (19)'!E$57</f>
        <v>14084.033090000003</v>
      </c>
      <c r="E20" s="30">
        <f>'Thursday WK3 (19)'!F$57</f>
        <v>0</v>
      </c>
      <c r="F20" s="30">
        <f>'Thursday WK3 (19)'!G$57</f>
        <v>0</v>
      </c>
      <c r="G20" s="30">
        <f>'Thursday WK3 (19)'!H$57</f>
        <v>0</v>
      </c>
      <c r="H20" s="30">
        <f>'Thursday WK3 (19)'!I$57</f>
        <v>3911.3976899999998</v>
      </c>
      <c r="I20" s="30">
        <f>'Thursday WK3 (19)'!J$57</f>
        <v>66.845019999999991</v>
      </c>
      <c r="J20" s="30">
        <f>'Thursday WK3 (19)'!K$57</f>
        <v>5715.5732199999993</v>
      </c>
      <c r="K20" s="30">
        <v>0</v>
      </c>
      <c r="L20" s="211" t="s">
        <v>947</v>
      </c>
      <c r="M20" s="212"/>
      <c r="N20" s="32">
        <f t="shared" si="1"/>
        <v>46212</v>
      </c>
      <c r="O20" s="37">
        <v>84.45</v>
      </c>
      <c r="P20" s="35"/>
      <c r="Q20" s="35"/>
      <c r="R20" s="35"/>
      <c r="S20" s="35"/>
      <c r="T20" s="36">
        <v>460.56</v>
      </c>
      <c r="U20" s="496" t="s">
        <v>82</v>
      </c>
      <c r="V20" s="493"/>
      <c r="W20" s="493"/>
      <c r="X20" s="493"/>
      <c r="Y20" s="493"/>
      <c r="Z20" s="493"/>
    </row>
    <row r="21" spans="1:27" ht="21" x14ac:dyDescent="0.35">
      <c r="A21" s="29">
        <f t="shared" si="0"/>
        <v>46213</v>
      </c>
      <c r="B21" s="30">
        <f>'Friday WK3 (20)'!C$57</f>
        <v>1234.96</v>
      </c>
      <c r="C21" s="30">
        <f>'Friday WK3 (20)'!D$57</f>
        <v>0</v>
      </c>
      <c r="D21" s="30">
        <f>'Friday WK3 (20)'!E$57</f>
        <v>0</v>
      </c>
      <c r="E21" s="30">
        <f>'Friday WK3 (20)'!F$57</f>
        <v>0</v>
      </c>
      <c r="F21" s="30">
        <f>'Friday WK3 (20)'!G$57</f>
        <v>0</v>
      </c>
      <c r="G21" s="30">
        <f>'Friday WK3 (20)'!H$57</f>
        <v>0</v>
      </c>
      <c r="H21" s="30">
        <f>'Friday WK3 (20)'!I$57</f>
        <v>0</v>
      </c>
      <c r="I21" s="30">
        <f>'Friday WK3 (20)'!J$57</f>
        <v>0</v>
      </c>
      <c r="J21" s="30">
        <f>'Friday WK3 (20)'!K$57</f>
        <v>0</v>
      </c>
      <c r="K21" s="30">
        <v>0</v>
      </c>
      <c r="L21" s="211" t="s">
        <v>947</v>
      </c>
      <c r="M21" s="212"/>
      <c r="N21" s="32">
        <f t="shared" si="1"/>
        <v>46213</v>
      </c>
      <c r="O21" s="37">
        <v>366.77</v>
      </c>
      <c r="P21" s="35">
        <v>386.46</v>
      </c>
      <c r="Q21" s="35"/>
      <c r="R21" s="35">
        <v>27.54</v>
      </c>
      <c r="S21" s="35">
        <v>29.51</v>
      </c>
      <c r="T21" s="36">
        <v>365.89</v>
      </c>
      <c r="U21" s="4" t="s">
        <v>3</v>
      </c>
      <c r="V21" s="4" t="s">
        <v>8</v>
      </c>
      <c r="W21" s="4" t="s">
        <v>946</v>
      </c>
      <c r="X21" s="4" t="s">
        <v>1</v>
      </c>
      <c r="Y21" s="4" t="s">
        <v>2</v>
      </c>
      <c r="Z21" s="4" t="s">
        <v>6</v>
      </c>
    </row>
    <row r="22" spans="1:27" ht="21.75" thickBot="1" x14ac:dyDescent="0.4">
      <c r="A22" s="29">
        <f t="shared" si="0"/>
        <v>46214</v>
      </c>
      <c r="B22" s="30">
        <f>'Saturday WK3 (21)'!C$57</f>
        <v>-1302.79</v>
      </c>
      <c r="C22" s="30">
        <f>'Saturday WK3 (21)'!D$57</f>
        <v>0</v>
      </c>
      <c r="D22" s="30">
        <f>'Saturday WK3 (21)'!E$57</f>
        <v>0</v>
      </c>
      <c r="E22" s="30">
        <f>'Saturday WK3 (21)'!F$57</f>
        <v>0</v>
      </c>
      <c r="F22" s="30">
        <f>'Saturday WK3 (21)'!G$57</f>
        <v>0</v>
      </c>
      <c r="G22" s="30">
        <f>'Saturday WK3 (21)'!H$57</f>
        <v>0</v>
      </c>
      <c r="H22" s="30">
        <f>'Saturday WK3 (21)'!I$57</f>
        <v>0</v>
      </c>
      <c r="I22" s="30">
        <f>'Saturday WK3 (21)'!J$57</f>
        <v>0</v>
      </c>
      <c r="J22" s="30">
        <f>'Saturday WK3 (21)'!K$57</f>
        <v>0</v>
      </c>
      <c r="K22" s="30">
        <v>0</v>
      </c>
      <c r="L22" s="211" t="s">
        <v>947</v>
      </c>
      <c r="M22" s="212"/>
      <c r="N22" s="32">
        <f t="shared" si="1"/>
        <v>46214</v>
      </c>
      <c r="O22" s="38">
        <v>57.09</v>
      </c>
      <c r="P22" s="39"/>
      <c r="Q22" s="39"/>
      <c r="R22" s="39"/>
      <c r="S22" s="39"/>
      <c r="T22" s="40">
        <v>301.08999999999997</v>
      </c>
      <c r="U22" s="41">
        <f>SUM(O16:O22)</f>
        <v>729.51</v>
      </c>
      <c r="V22" s="41">
        <f>SUM(P16:P22)</f>
        <v>595.68999999999994</v>
      </c>
      <c r="W22" s="41">
        <f t="shared" ref="W22" si="4">SUM(Q16:Q22)</f>
        <v>0</v>
      </c>
      <c r="X22" s="41">
        <f>SUM(R16:R22)</f>
        <v>27.54</v>
      </c>
      <c r="Y22" s="41">
        <f>SUM(S16:S22)</f>
        <v>1037.6400000000001</v>
      </c>
      <c r="Z22" s="41">
        <f>SUM(T16:T22)</f>
        <v>3051.15</v>
      </c>
      <c r="AA22" s="41">
        <f>SUM(U22:Z22)</f>
        <v>5441.5300000000007</v>
      </c>
    </row>
    <row r="23" spans="1:27" ht="21" x14ac:dyDescent="0.35">
      <c r="A23" s="29">
        <f t="shared" si="0"/>
        <v>46215</v>
      </c>
      <c r="B23" s="30">
        <f>'Sunday WK4 (22)'!C$57</f>
        <v>22781.302299999996</v>
      </c>
      <c r="C23" s="30">
        <f>'Sunday WK4 (22)'!D$57</f>
        <v>0</v>
      </c>
      <c r="D23" s="30">
        <f>'Sunday WK4 (22)'!E$57</f>
        <v>11432.792149999999</v>
      </c>
      <c r="E23" s="30">
        <f>'Sunday WK4 (22)'!F$57</f>
        <v>0</v>
      </c>
      <c r="F23" s="30">
        <f>'Sunday WK4 (22)'!G$57</f>
        <v>0</v>
      </c>
      <c r="G23" s="30">
        <f>'Sunday WK4 (22)'!H$57</f>
        <v>0</v>
      </c>
      <c r="H23" s="30">
        <f>'Sunday WK4 (22)'!I$57</f>
        <v>9432.4531500000012</v>
      </c>
      <c r="I23" s="30">
        <f>'Sunday WK4 (22)'!J$57</f>
        <v>40.607700000000001</v>
      </c>
      <c r="J23" s="30">
        <f>'Sunday WK4 (22)'!K$57</f>
        <v>7368.4046999999991</v>
      </c>
      <c r="K23" s="30">
        <v>0</v>
      </c>
      <c r="L23" s="211" t="s">
        <v>947</v>
      </c>
      <c r="M23" s="212"/>
      <c r="N23" s="32">
        <f t="shared" si="1"/>
        <v>46215</v>
      </c>
      <c r="O23" s="42">
        <v>76.8</v>
      </c>
      <c r="P23" s="33"/>
      <c r="Q23" s="33"/>
      <c r="R23" s="33"/>
      <c r="S23" s="35"/>
      <c r="T23" s="36"/>
    </row>
    <row r="24" spans="1:27" ht="21" x14ac:dyDescent="0.35">
      <c r="A24" s="29">
        <f t="shared" si="0"/>
        <v>46216</v>
      </c>
      <c r="B24" s="30">
        <f>'Monday WK4 (23)'!C$57</f>
        <v>22235.15</v>
      </c>
      <c r="C24" s="30">
        <f>'Monday WK4 (23)'!D$57</f>
        <v>0</v>
      </c>
      <c r="D24" s="30">
        <f>'Monday WK4 (23)'!E$57</f>
        <v>520.97</v>
      </c>
      <c r="E24" s="30">
        <f>'Monday WK4 (23)'!F$57</f>
        <v>0</v>
      </c>
      <c r="F24" s="30">
        <f>'Monday WK4 (23)'!G$57</f>
        <v>0</v>
      </c>
      <c r="G24" s="30">
        <f>'Monday WK4 (23)'!H$57</f>
        <v>0</v>
      </c>
      <c r="H24" s="30">
        <f>'Monday WK4 (23)'!I$57</f>
        <v>0</v>
      </c>
      <c r="I24" s="30">
        <f>'Monday WK4 (23)'!J$57</f>
        <v>0</v>
      </c>
      <c r="J24" s="30">
        <f>'Monday WK4 (23)'!K$57</f>
        <v>-36.42</v>
      </c>
      <c r="K24" s="30">
        <v>0</v>
      </c>
      <c r="L24" s="211" t="s">
        <v>947</v>
      </c>
      <c r="M24" s="212"/>
      <c r="N24" s="32">
        <f t="shared" si="1"/>
        <v>46216</v>
      </c>
      <c r="O24" s="37">
        <v>153.6</v>
      </c>
      <c r="P24" s="35">
        <v>342.96</v>
      </c>
      <c r="Q24" s="35"/>
      <c r="R24" s="35"/>
      <c r="S24" s="35">
        <f>8.65+17.2</f>
        <v>25.85</v>
      </c>
      <c r="T24" s="36">
        <v>510.9</v>
      </c>
    </row>
    <row r="25" spans="1:27" ht="21" x14ac:dyDescent="0.35">
      <c r="A25" s="29">
        <f t="shared" si="0"/>
        <v>46217</v>
      </c>
      <c r="B25" s="30">
        <f>'Tuesday WK4 (24)'!C$57</f>
        <v>23095.188779999997</v>
      </c>
      <c r="C25" s="30">
        <f>'Tuesday WK4 (24)'!D$57</f>
        <v>0</v>
      </c>
      <c r="D25" s="30">
        <f>'Tuesday WK4 (24)'!E$57</f>
        <v>7706.9809899999991</v>
      </c>
      <c r="E25" s="30">
        <f>'Tuesday WK4 (24)'!F$57</f>
        <v>0</v>
      </c>
      <c r="F25" s="30">
        <f>'Tuesday WK4 (24)'!G$57</f>
        <v>0</v>
      </c>
      <c r="G25" s="30">
        <f>'Tuesday WK4 (24)'!H$57</f>
        <v>0</v>
      </c>
      <c r="H25" s="30">
        <f>'Tuesday WK4 (24)'!I$57</f>
        <v>4167.59159</v>
      </c>
      <c r="I25" s="30">
        <f>'Tuesday WK4 (24)'!J$57</f>
        <v>32.941220000000001</v>
      </c>
      <c r="J25" s="30">
        <f>'Tuesday WK4 (24)'!K$57</f>
        <v>5478.2814199999993</v>
      </c>
      <c r="K25" s="30">
        <v>0</v>
      </c>
      <c r="L25" s="211" t="s">
        <v>947</v>
      </c>
      <c r="M25" s="212"/>
      <c r="N25" s="32">
        <f t="shared" si="1"/>
        <v>46217</v>
      </c>
      <c r="O25" s="37">
        <v>163.72999999999999</v>
      </c>
      <c r="P25" s="35"/>
      <c r="Q25" s="35"/>
      <c r="R25" s="35"/>
      <c r="S25" s="35"/>
      <c r="T25" s="36">
        <v>306.93</v>
      </c>
    </row>
    <row r="26" spans="1:27" ht="21" x14ac:dyDescent="0.35">
      <c r="A26" s="29">
        <f t="shared" si="0"/>
        <v>46218</v>
      </c>
      <c r="B26" s="30">
        <f>'Wednesday WK4 (25)'!C$57</f>
        <v>-2555.0539399999998</v>
      </c>
      <c r="C26" s="30">
        <f>'Wednesday WK4 (25)'!D$57</f>
        <v>0</v>
      </c>
      <c r="D26" s="30">
        <f>'Wednesday WK4 (25)'!E$57</f>
        <v>7.6002299999999998</v>
      </c>
      <c r="E26" s="30">
        <f>'Wednesday WK4 (25)'!F$57</f>
        <v>0</v>
      </c>
      <c r="F26" s="30">
        <f>'Wednesday WK4 (25)'!G$57</f>
        <v>0</v>
      </c>
      <c r="G26" s="30">
        <f>'Wednesday WK4 (25)'!H$57</f>
        <v>0</v>
      </c>
      <c r="H26" s="30">
        <f>'Wednesday WK4 (25)'!I$57</f>
        <v>-698.44357000000002</v>
      </c>
      <c r="I26" s="30">
        <f>'Wednesday WK4 (25)'!J$57</f>
        <v>9.3659400000000002</v>
      </c>
      <c r="J26" s="30">
        <f>'Wednesday WK4 (25)'!K$57</f>
        <v>-300.31865999999997</v>
      </c>
      <c r="K26" s="30">
        <v>0</v>
      </c>
      <c r="L26" s="211" t="s">
        <v>947</v>
      </c>
      <c r="M26" s="212"/>
      <c r="N26" s="32">
        <f t="shared" si="1"/>
        <v>46218</v>
      </c>
      <c r="O26" s="37">
        <v>85.17</v>
      </c>
      <c r="P26" s="35"/>
      <c r="Q26" s="35"/>
      <c r="R26" s="35"/>
      <c r="S26" s="35">
        <v>1232.73</v>
      </c>
      <c r="T26" s="36"/>
    </row>
    <row r="27" spans="1:27" ht="21" x14ac:dyDescent="0.35">
      <c r="A27" s="29">
        <f t="shared" si="0"/>
        <v>46219</v>
      </c>
      <c r="B27" s="30">
        <f>'Thursday WK4 (26)'!C$57</f>
        <v>28602.445479999998</v>
      </c>
      <c r="C27" s="30">
        <f>'Thursday WK4 (26)'!D$57</f>
        <v>0</v>
      </c>
      <c r="D27" s="30">
        <f>'Thursday WK4 (26)'!E$57</f>
        <v>6514.1803399999999</v>
      </c>
      <c r="E27" s="30">
        <f>'Thursday WK4 (26)'!F$57</f>
        <v>0</v>
      </c>
      <c r="F27" s="30">
        <f>'Thursday WK4 (26)'!G$57</f>
        <v>0</v>
      </c>
      <c r="G27" s="30">
        <f>'Thursday WK4 (26)'!H$57</f>
        <v>0</v>
      </c>
      <c r="H27" s="30">
        <f>'Thursday WK4 (26)'!I$57</f>
        <v>5840.7699399999992</v>
      </c>
      <c r="I27" s="30">
        <f>'Thursday WK4 (26)'!J$57</f>
        <v>34.850520000000003</v>
      </c>
      <c r="J27" s="30">
        <f>'Thursday WK4 (26)'!K$57</f>
        <v>3524.2937200000001</v>
      </c>
      <c r="K27" s="30">
        <v>0</v>
      </c>
      <c r="L27" s="211" t="s">
        <v>947</v>
      </c>
      <c r="M27" s="212"/>
      <c r="N27" s="32">
        <f t="shared" si="1"/>
        <v>46219</v>
      </c>
      <c r="O27" s="37"/>
      <c r="P27" s="35">
        <v>94.06</v>
      </c>
      <c r="Q27" s="35"/>
      <c r="R27" s="35"/>
      <c r="S27" s="35"/>
      <c r="T27" s="36">
        <v>631.54</v>
      </c>
      <c r="U27" s="496" t="s">
        <v>948</v>
      </c>
      <c r="V27" s="493"/>
      <c r="W27" s="493"/>
      <c r="X27" s="493"/>
      <c r="Y27" s="493"/>
      <c r="Z27" s="493"/>
    </row>
    <row r="28" spans="1:27" ht="21" x14ac:dyDescent="0.35">
      <c r="A28" s="29">
        <f t="shared" si="0"/>
        <v>46220</v>
      </c>
      <c r="B28" s="30">
        <f>'Friday WK4 (27)'!C$57</f>
        <v>8458.4900000000016</v>
      </c>
      <c r="C28" s="30">
        <f>'Friday WK4 (27)'!D$57</f>
        <v>0</v>
      </c>
      <c r="D28" s="30">
        <f>'Friday WK4 (27)'!E$57</f>
        <v>0</v>
      </c>
      <c r="E28" s="30">
        <f>'Friday WK4 (27)'!F$57</f>
        <v>0</v>
      </c>
      <c r="F28" s="30">
        <f>'Friday WK4 (27)'!G$57</f>
        <v>0</v>
      </c>
      <c r="G28" s="30">
        <f>'Friday WK4 (27)'!H$57</f>
        <v>0</v>
      </c>
      <c r="H28" s="30">
        <f>'Friday WK4 (27)'!I$57</f>
        <v>0</v>
      </c>
      <c r="I28" s="30">
        <f>'Friday WK4 (27)'!J$57</f>
        <v>0</v>
      </c>
      <c r="J28" s="30">
        <f>'Friday WK4 (27)'!K$57</f>
        <v>0</v>
      </c>
      <c r="K28" s="30">
        <f>'Friday WK4 (27)'!L$57</f>
        <v>0</v>
      </c>
      <c r="L28" s="211" t="s">
        <v>947</v>
      </c>
      <c r="M28" s="212"/>
      <c r="N28" s="32">
        <f t="shared" si="1"/>
        <v>46220</v>
      </c>
      <c r="O28" s="37"/>
      <c r="P28" s="35"/>
      <c r="Q28" s="35"/>
      <c r="R28" s="35"/>
      <c r="S28" s="35">
        <v>364.57</v>
      </c>
      <c r="T28" s="36">
        <v>470.8</v>
      </c>
      <c r="U28" s="4" t="s">
        <v>3</v>
      </c>
      <c r="V28" s="4" t="s">
        <v>8</v>
      </c>
      <c r="W28" s="4" t="s">
        <v>946</v>
      </c>
      <c r="X28" s="4" t="s">
        <v>1</v>
      </c>
      <c r="Y28" s="4" t="s">
        <v>2</v>
      </c>
      <c r="Z28" s="4" t="s">
        <v>6</v>
      </c>
    </row>
    <row r="29" spans="1:27" ht="21.75" thickBot="1" x14ac:dyDescent="0.4">
      <c r="A29" s="29">
        <f t="shared" si="0"/>
        <v>46221</v>
      </c>
      <c r="B29" s="30">
        <f>'Saturday WK4 (28)'!C$57</f>
        <v>-7749.6609000000008</v>
      </c>
      <c r="C29" s="30">
        <f>'Saturday WK4 (28)'!D$57</f>
        <v>0</v>
      </c>
      <c r="D29" s="30">
        <f>'Saturday WK4 (28)'!E$57</f>
        <v>-3346.05845</v>
      </c>
      <c r="E29" s="30">
        <f>'Saturday WK4 (28)'!F$57</f>
        <v>0</v>
      </c>
      <c r="F29" s="30">
        <f>'Saturday WK4 (28)'!G$57</f>
        <v>0</v>
      </c>
      <c r="G29" s="30">
        <f>'Saturday WK4 (28)'!H$57</f>
        <v>0</v>
      </c>
      <c r="H29" s="30">
        <f>'Saturday WK4 (28)'!I$57</f>
        <v>-810.92145000000005</v>
      </c>
      <c r="I29" s="30">
        <f>'Saturday WK4 (28)'!J$57</f>
        <v>39.460899999999995</v>
      </c>
      <c r="J29" s="30">
        <f>'Saturday WK4 (28)'!K$57</f>
        <v>-1343.2000999999998</v>
      </c>
      <c r="K29" s="30">
        <v>0</v>
      </c>
      <c r="L29" s="214" t="s">
        <v>947</v>
      </c>
      <c r="M29" s="212"/>
      <c r="N29" s="32">
        <f t="shared" si="1"/>
        <v>46221</v>
      </c>
      <c r="O29" s="38">
        <v>40.46</v>
      </c>
      <c r="P29" s="39">
        <v>83.28</v>
      </c>
      <c r="Q29" s="39"/>
      <c r="R29" s="39"/>
      <c r="S29" s="39"/>
      <c r="T29" s="40"/>
      <c r="U29" s="41">
        <f>SUM(O23:O29)</f>
        <v>519.76</v>
      </c>
      <c r="V29" s="41">
        <f t="shared" ref="V29:Z29" si="5">SUM(P23:P29)</f>
        <v>520.29999999999995</v>
      </c>
      <c r="W29" s="41">
        <f t="shared" si="5"/>
        <v>0</v>
      </c>
      <c r="X29" s="41">
        <f t="shared" si="5"/>
        <v>0</v>
      </c>
      <c r="Y29" s="41">
        <f>SUM(S23:S29)</f>
        <v>1623.1499999999999</v>
      </c>
      <c r="Z29" s="41">
        <f t="shared" si="5"/>
        <v>1920.1699999999998</v>
      </c>
      <c r="AA29" s="41">
        <f>SUM(U29:Z29)</f>
        <v>4583.38</v>
      </c>
    </row>
    <row r="30" spans="1:27" ht="21" hidden="1" x14ac:dyDescent="0.35">
      <c r="A30" s="29">
        <f t="shared" si="0"/>
        <v>46222</v>
      </c>
      <c r="B30" s="30">
        <f>'Sunday WK5 (29)'!C$57</f>
        <v>0</v>
      </c>
      <c r="C30" s="30">
        <f>'Sunday WK5 (29)'!D$57</f>
        <v>0</v>
      </c>
      <c r="D30" s="30">
        <f>'Sunday WK5 (29)'!E$57</f>
        <v>0</v>
      </c>
      <c r="E30" s="30">
        <f>'Sunday WK5 (29)'!F$57</f>
        <v>0</v>
      </c>
      <c r="F30" s="30">
        <f>'Sunday WK5 (29)'!G$57</f>
        <v>0</v>
      </c>
      <c r="G30" s="30">
        <f>'Sunday WK5 (29)'!H$57</f>
        <v>0</v>
      </c>
      <c r="H30" s="30">
        <f>'Sunday WK5 (29)'!I$57</f>
        <v>0</v>
      </c>
      <c r="I30" s="30">
        <f>'Sunday WK5 (29)'!J$57</f>
        <v>0</v>
      </c>
      <c r="J30" s="30">
        <f>'Sunday WK5 (29)'!K$57</f>
        <v>0</v>
      </c>
      <c r="K30" s="30">
        <v>0</v>
      </c>
      <c r="L30" s="214" t="s">
        <v>947</v>
      </c>
      <c r="M30" s="212"/>
      <c r="N30" s="32">
        <f t="shared" si="1"/>
        <v>46222</v>
      </c>
      <c r="O30" s="42"/>
      <c r="P30" s="33"/>
      <c r="Q30" s="33"/>
      <c r="R30" s="33"/>
      <c r="S30" s="33"/>
      <c r="T30" s="34"/>
    </row>
    <row r="31" spans="1:27" ht="21" hidden="1" x14ac:dyDescent="0.35">
      <c r="A31" s="29">
        <f>A29+2</f>
        <v>46223</v>
      </c>
      <c r="B31" s="30">
        <f>'Monday WK5 (30)'!C$57</f>
        <v>0</v>
      </c>
      <c r="C31" s="30">
        <f>'Monday WK5 (30)'!D$57</f>
        <v>0</v>
      </c>
      <c r="D31" s="30">
        <f>'Monday WK5 (30)'!E$57</f>
        <v>0</v>
      </c>
      <c r="E31" s="30">
        <f>'Monday WK5 (30)'!F$57</f>
        <v>0</v>
      </c>
      <c r="F31" s="30">
        <f>'Monday WK5 (30)'!G$57</f>
        <v>0</v>
      </c>
      <c r="G31" s="30">
        <f>'Monday WK5 (30)'!H$57</f>
        <v>0</v>
      </c>
      <c r="H31" s="30">
        <f>'Monday WK5 (30)'!I$57</f>
        <v>0</v>
      </c>
      <c r="I31" s="30">
        <f>'Monday WK5 (30)'!J$57</f>
        <v>0</v>
      </c>
      <c r="J31" s="30">
        <f>'Monday WK5 (30)'!K$57</f>
        <v>0</v>
      </c>
      <c r="K31" s="30">
        <v>0</v>
      </c>
      <c r="L31" s="211" t="s">
        <v>947</v>
      </c>
      <c r="M31" s="212"/>
      <c r="N31" s="32">
        <f t="shared" si="1"/>
        <v>46223</v>
      </c>
      <c r="O31" s="37"/>
      <c r="P31" s="35"/>
      <c r="Q31" s="35"/>
      <c r="R31" s="35"/>
      <c r="S31" s="35"/>
      <c r="T31" s="36"/>
    </row>
    <row r="32" spans="1:27" ht="21" hidden="1" x14ac:dyDescent="0.35">
      <c r="A32" s="29">
        <f t="shared" si="0"/>
        <v>46224</v>
      </c>
      <c r="B32" s="30">
        <f>'Tuesday WK5 (31)'!C$57</f>
        <v>0</v>
      </c>
      <c r="C32" s="30">
        <f>'Tuesday WK5 (31)'!D$57</f>
        <v>0</v>
      </c>
      <c r="D32" s="30">
        <f>'Tuesday WK5 (31)'!E$57</f>
        <v>0</v>
      </c>
      <c r="E32" s="30">
        <f>'Tuesday WK5 (31)'!F$57</f>
        <v>0</v>
      </c>
      <c r="F32" s="30">
        <f>'Tuesday WK5 (31)'!G$57</f>
        <v>0</v>
      </c>
      <c r="G32" s="30">
        <f>'Tuesday WK5 (31)'!H$57</f>
        <v>0</v>
      </c>
      <c r="H32" s="30">
        <f>'Tuesday WK5 (31)'!I$57</f>
        <v>0</v>
      </c>
      <c r="I32" s="30">
        <f>'Tuesday WK5 (31)'!J$57</f>
        <v>0</v>
      </c>
      <c r="J32" s="30">
        <f>'Tuesday WK5 (31)'!K$57</f>
        <v>0</v>
      </c>
      <c r="K32" s="30">
        <v>0</v>
      </c>
      <c r="L32" s="211" t="s">
        <v>947</v>
      </c>
      <c r="M32" s="212"/>
      <c r="N32" s="32">
        <f t="shared" si="1"/>
        <v>46224</v>
      </c>
      <c r="O32" s="37"/>
      <c r="P32" s="35"/>
      <c r="Q32" s="35"/>
      <c r="R32" s="35"/>
      <c r="S32" s="35"/>
      <c r="T32" s="36"/>
    </row>
    <row r="33" spans="1:27" ht="21" hidden="1" x14ac:dyDescent="0.35">
      <c r="A33" s="29">
        <f t="shared" si="0"/>
        <v>46225</v>
      </c>
      <c r="B33" s="30">
        <f>'Wednesday WK5 (32)'!C$57</f>
        <v>0</v>
      </c>
      <c r="C33" s="30">
        <f>'Wednesday WK5 (32)'!D$57</f>
        <v>0</v>
      </c>
      <c r="D33" s="30">
        <f>'Wednesday WK5 (32)'!E$57</f>
        <v>0</v>
      </c>
      <c r="E33" s="30">
        <f>'Wednesday WK5 (32)'!F$57</f>
        <v>0</v>
      </c>
      <c r="F33" s="30">
        <f>'Wednesday WK5 (32)'!G$57</f>
        <v>0</v>
      </c>
      <c r="G33" s="30">
        <f>'Wednesday WK5 (32)'!H$57</f>
        <v>0</v>
      </c>
      <c r="H33" s="30">
        <f>'Wednesday WK5 (32)'!I$57</f>
        <v>0</v>
      </c>
      <c r="I33" s="30">
        <f>'Wednesday WK5 (32)'!J$57</f>
        <v>0</v>
      </c>
      <c r="J33" s="30">
        <f>'Wednesday WK5 (32)'!K$57</f>
        <v>0</v>
      </c>
      <c r="K33" s="30" t="e">
        <v>#REF!</v>
      </c>
      <c r="L33" s="211" t="s">
        <v>947</v>
      </c>
      <c r="M33" s="212"/>
      <c r="N33" s="32">
        <f t="shared" si="1"/>
        <v>46225</v>
      </c>
      <c r="O33" s="37"/>
      <c r="P33" s="35"/>
      <c r="Q33" s="35"/>
      <c r="R33" s="35"/>
      <c r="S33" s="35"/>
      <c r="T33" s="36"/>
    </row>
    <row r="34" spans="1:27" ht="21" hidden="1" x14ac:dyDescent="0.35">
      <c r="A34" s="29">
        <f t="shared" si="0"/>
        <v>46226</v>
      </c>
      <c r="B34" s="30">
        <f>'Thursday WK5 (33)'!C$57</f>
        <v>0</v>
      </c>
      <c r="C34" s="30">
        <f>'Thursday WK5 (33)'!D$57</f>
        <v>0</v>
      </c>
      <c r="D34" s="30">
        <f>'Thursday WK5 (33)'!E$57</f>
        <v>0</v>
      </c>
      <c r="E34" s="30">
        <f>'Thursday WK5 (33)'!F$57</f>
        <v>0</v>
      </c>
      <c r="F34" s="30">
        <f>'Thursday WK5 (33)'!G$57</f>
        <v>0</v>
      </c>
      <c r="G34" s="30">
        <f>'Thursday WK5 (33)'!H$57</f>
        <v>0</v>
      </c>
      <c r="H34" s="30">
        <f>'Thursday WK5 (33)'!I$57</f>
        <v>0</v>
      </c>
      <c r="I34" s="30">
        <f>'Thursday WK5 (33)'!J$57</f>
        <v>0</v>
      </c>
      <c r="J34" s="30">
        <f>'Thursday WK5 (33)'!K$57</f>
        <v>0</v>
      </c>
      <c r="K34" s="30">
        <v>0</v>
      </c>
      <c r="L34" s="211" t="s">
        <v>947</v>
      </c>
      <c r="M34" s="212"/>
      <c r="N34" s="32">
        <f t="shared" si="1"/>
        <v>46226</v>
      </c>
      <c r="O34" s="37"/>
      <c r="P34" s="35"/>
      <c r="Q34" s="35"/>
      <c r="R34" s="35"/>
      <c r="S34" s="35"/>
      <c r="T34" s="36"/>
      <c r="U34" s="492" t="s">
        <v>948</v>
      </c>
      <c r="V34" s="493"/>
      <c r="W34" s="493"/>
      <c r="X34" s="493"/>
      <c r="Y34" s="493"/>
      <c r="Z34" s="493"/>
    </row>
    <row r="35" spans="1:27" ht="21" hidden="1" x14ac:dyDescent="0.35">
      <c r="A35" s="29">
        <f t="shared" si="0"/>
        <v>46227</v>
      </c>
      <c r="B35" s="30">
        <f>'Friday WK5 (34)'!C$57</f>
        <v>0</v>
      </c>
      <c r="C35" s="30">
        <f>'Friday WK5 (34)'!D$57</f>
        <v>0</v>
      </c>
      <c r="D35" s="30">
        <f>'Friday WK5 (34)'!E$57</f>
        <v>0</v>
      </c>
      <c r="E35" s="30">
        <f>'Friday WK5 (34)'!F$57</f>
        <v>0</v>
      </c>
      <c r="F35" s="30">
        <f>'Friday WK5 (34)'!G$57</f>
        <v>0</v>
      </c>
      <c r="G35" s="30">
        <f>'Friday WK5 (34)'!H$57</f>
        <v>0</v>
      </c>
      <c r="H35" s="30">
        <f>'Friday WK5 (34)'!I$57</f>
        <v>0</v>
      </c>
      <c r="I35" s="30">
        <f>'Friday WK5 (34)'!J$57</f>
        <v>0</v>
      </c>
      <c r="J35" s="30">
        <f>'Friday WK5 (34)'!K$57</f>
        <v>0</v>
      </c>
      <c r="K35" s="30">
        <v>0</v>
      </c>
      <c r="L35" s="211" t="s">
        <v>947</v>
      </c>
      <c r="M35" s="212"/>
      <c r="N35" s="32">
        <f t="shared" si="1"/>
        <v>46227</v>
      </c>
      <c r="O35" s="37"/>
      <c r="P35" s="35"/>
      <c r="Q35" s="35"/>
      <c r="R35" s="35"/>
      <c r="S35" s="35"/>
      <c r="T35" s="36"/>
      <c r="U35" s="4" t="s">
        <v>3</v>
      </c>
      <c r="V35" s="4" t="s">
        <v>8</v>
      </c>
      <c r="W35" s="4" t="s">
        <v>946</v>
      </c>
      <c r="X35" s="4" t="s">
        <v>1</v>
      </c>
      <c r="Y35" s="4" t="s">
        <v>2</v>
      </c>
      <c r="Z35" s="4" t="s">
        <v>6</v>
      </c>
    </row>
    <row r="36" spans="1:27" ht="21.75" hidden="1" thickBot="1" x14ac:dyDescent="0.4">
      <c r="A36" s="29">
        <f t="shared" si="0"/>
        <v>46228</v>
      </c>
      <c r="B36" s="30">
        <f>'Saturday WK5 (35)'!C$57</f>
        <v>0</v>
      </c>
      <c r="C36" s="30">
        <f>'Saturday WK5 (35)'!D$57</f>
        <v>0</v>
      </c>
      <c r="D36" s="30">
        <f>'Saturday WK5 (35)'!E$57</f>
        <v>0</v>
      </c>
      <c r="E36" s="30">
        <f>'Saturday WK5 (35)'!F$57</f>
        <v>0</v>
      </c>
      <c r="F36" s="30">
        <f>'Saturday WK5 (35)'!G$57</f>
        <v>0</v>
      </c>
      <c r="G36" s="30">
        <f>'Saturday WK5 (35)'!H$57</f>
        <v>0</v>
      </c>
      <c r="H36" s="30">
        <f>'Saturday WK5 (35)'!I$57</f>
        <v>0</v>
      </c>
      <c r="I36" s="30">
        <f>'Saturday WK5 (35)'!J$57</f>
        <v>0</v>
      </c>
      <c r="J36" s="30">
        <f>'Saturday WK5 (35)'!K$57</f>
        <v>0</v>
      </c>
      <c r="K36" s="30">
        <v>0</v>
      </c>
      <c r="L36" s="211" t="s">
        <v>947</v>
      </c>
      <c r="M36" s="212"/>
      <c r="N36" s="32">
        <f t="shared" si="1"/>
        <v>46228</v>
      </c>
      <c r="O36" s="38"/>
      <c r="P36" s="39"/>
      <c r="Q36" s="39"/>
      <c r="R36" s="39"/>
      <c r="S36" s="39"/>
      <c r="T36" s="40"/>
      <c r="U36" s="41">
        <f t="shared" ref="U36:Z36" si="6">SUM(O30:O36)</f>
        <v>0</v>
      </c>
      <c r="V36" s="41">
        <f>SUM(P30:P36)</f>
        <v>0</v>
      </c>
      <c r="W36" s="41">
        <f t="shared" si="6"/>
        <v>0</v>
      </c>
      <c r="X36" s="41">
        <f t="shared" si="6"/>
        <v>0</v>
      </c>
      <c r="Y36" s="41">
        <f t="shared" si="6"/>
        <v>0</v>
      </c>
      <c r="Z36" s="41">
        <f t="shared" si="6"/>
        <v>0</v>
      </c>
      <c r="AA36" s="41">
        <f>SUM(U36:Z36)</f>
        <v>0</v>
      </c>
    </row>
    <row r="37" spans="1:27" ht="18" x14ac:dyDescent="0.25">
      <c r="A37" s="29" t="s">
        <v>949</v>
      </c>
      <c r="B37" s="30">
        <f>Rebates!C57</f>
        <v>-9014.91</v>
      </c>
      <c r="C37" s="30">
        <f>Rebates!D57</f>
        <v>0</v>
      </c>
      <c r="D37" s="30">
        <f>Rebates!E57</f>
        <v>-591.20000000000005</v>
      </c>
      <c r="E37" s="30">
        <f>Rebates!F57</f>
        <v>0</v>
      </c>
      <c r="F37" s="30">
        <f>Rebates!G57</f>
        <v>0</v>
      </c>
      <c r="G37" s="30">
        <f>Rebates!H57</f>
        <v>0</v>
      </c>
      <c r="H37" s="30">
        <f>Rebates!I57</f>
        <v>0</v>
      </c>
      <c r="I37" s="30">
        <f>Rebates!J57</f>
        <v>0</v>
      </c>
      <c r="J37" s="30">
        <f>Rebates!K57</f>
        <v>-1500.9899999999998</v>
      </c>
      <c r="K37" s="30"/>
      <c r="M37" s="212"/>
      <c r="N37" s="32"/>
      <c r="O37" s="181">
        <f t="shared" ref="O37:T37" si="7">SUM(O2:O36)</f>
        <v>2033.52</v>
      </c>
      <c r="P37" s="181">
        <f>SUM(P2:P36)</f>
        <v>2372.23</v>
      </c>
      <c r="Q37" s="181">
        <f t="shared" si="7"/>
        <v>0</v>
      </c>
      <c r="R37" s="181">
        <f t="shared" si="7"/>
        <v>2832.96</v>
      </c>
      <c r="S37" s="181">
        <f t="shared" si="7"/>
        <v>3083.6</v>
      </c>
      <c r="T37" s="181">
        <f t="shared" si="7"/>
        <v>10583.190000000002</v>
      </c>
      <c r="U37" s="41"/>
      <c r="V37" s="41"/>
      <c r="W37" s="41"/>
      <c r="X37" s="41"/>
      <c r="Y37" s="41"/>
      <c r="Z37" s="41"/>
      <c r="AA37" s="41"/>
    </row>
    <row r="38" spans="1:27" ht="18" x14ac:dyDescent="0.25">
      <c r="A38" s="44" t="s">
        <v>950</v>
      </c>
      <c r="B38" s="30">
        <f>SUM(B2:B37)</f>
        <v>559319.34874000004</v>
      </c>
      <c r="C38" s="30">
        <f t="shared" ref="C38:J38" si="8">SUM(C2:C37)</f>
        <v>0</v>
      </c>
      <c r="D38" s="30">
        <f t="shared" si="8"/>
        <v>127175.39616999999</v>
      </c>
      <c r="E38" s="30">
        <f t="shared" si="8"/>
        <v>0</v>
      </c>
      <c r="F38" s="30">
        <f t="shared" si="8"/>
        <v>0</v>
      </c>
      <c r="G38" s="30">
        <f t="shared" si="8"/>
        <v>0</v>
      </c>
      <c r="H38" s="30">
        <f t="shared" si="8"/>
        <v>63663.14596999999</v>
      </c>
      <c r="I38" s="30">
        <f t="shared" si="8"/>
        <v>575.45326</v>
      </c>
      <c r="J38" s="30">
        <f t="shared" si="8"/>
        <v>89788.169859999995</v>
      </c>
      <c r="K38" s="30" t="e">
        <f t="shared" ref="K38" si="9">SUM(K2:K36)</f>
        <v>#REF!</v>
      </c>
      <c r="AA38" s="4">
        <f>SUM(AA2:AA36)</f>
        <v>20905.5</v>
      </c>
    </row>
    <row r="39" spans="1:27" ht="18" x14ac:dyDescent="0.25">
      <c r="A39" s="44"/>
      <c r="B39" s="67"/>
      <c r="C39" s="67"/>
      <c r="D39" s="67"/>
      <c r="E39" s="67"/>
      <c r="F39" s="67"/>
      <c r="G39" s="67"/>
      <c r="H39" s="67"/>
      <c r="I39" s="67"/>
      <c r="J39" s="67"/>
      <c r="K39" s="67"/>
      <c r="O39" s="183"/>
      <c r="P39" s="183"/>
      <c r="Q39" s="183"/>
      <c r="R39" s="183"/>
      <c r="S39" s="183"/>
      <c r="T39" s="183"/>
    </row>
    <row r="40" spans="1:27" ht="18" x14ac:dyDescent="0.25">
      <c r="A40" s="44" t="s">
        <v>0</v>
      </c>
      <c r="B40" s="67">
        <f>B116</f>
        <v>2173.0835999999999</v>
      </c>
      <c r="C40" s="67">
        <f t="shared" ref="C40:K40" si="10">C116</f>
        <v>0</v>
      </c>
      <c r="D40" s="67">
        <f t="shared" si="10"/>
        <v>450.07380000000006</v>
      </c>
      <c r="E40" s="67">
        <f t="shared" si="10"/>
        <v>0</v>
      </c>
      <c r="F40" s="67">
        <f t="shared" si="10"/>
        <v>0</v>
      </c>
      <c r="G40" s="67">
        <f t="shared" si="10"/>
        <v>0</v>
      </c>
      <c r="H40" s="67">
        <f t="shared" si="10"/>
        <v>722.84579999999983</v>
      </c>
      <c r="I40" s="67">
        <f t="shared" si="10"/>
        <v>554.63639999999998</v>
      </c>
      <c r="J40" s="67">
        <f t="shared" si="10"/>
        <v>645.56039999999996</v>
      </c>
      <c r="K40" s="67">
        <f t="shared" si="10"/>
        <v>0</v>
      </c>
      <c r="O40" s="183"/>
      <c r="P40" s="183"/>
      <c r="Q40" s="183"/>
      <c r="R40" s="183"/>
      <c r="S40" s="183"/>
      <c r="T40" s="183"/>
    </row>
    <row r="41" spans="1:27" ht="23.25" customHeight="1" x14ac:dyDescent="0.25">
      <c r="A41" s="44" t="s">
        <v>951</v>
      </c>
      <c r="B41" s="67">
        <f>B78</f>
        <v>2697.75</v>
      </c>
      <c r="C41" s="67">
        <f t="shared" ref="C41:I41" si="11">C78</f>
        <v>0</v>
      </c>
      <c r="D41" s="67">
        <f t="shared" si="11"/>
        <v>1353.36</v>
      </c>
      <c r="E41" s="67">
        <f t="shared" si="11"/>
        <v>0</v>
      </c>
      <c r="F41" s="67">
        <f t="shared" si="11"/>
        <v>0</v>
      </c>
      <c r="G41" s="67">
        <f t="shared" si="11"/>
        <v>0</v>
      </c>
      <c r="H41" s="67">
        <f t="shared" si="11"/>
        <v>0.01</v>
      </c>
      <c r="I41" s="67">
        <f t="shared" si="11"/>
        <v>0</v>
      </c>
    </row>
    <row r="42" spans="1:27" ht="30" x14ac:dyDescent="0.25">
      <c r="A42" s="28"/>
      <c r="B42" s="28" t="s">
        <v>85</v>
      </c>
      <c r="C42" s="28" t="s">
        <v>86</v>
      </c>
      <c r="D42" s="28" t="s">
        <v>87</v>
      </c>
      <c r="E42" s="28" t="s">
        <v>88</v>
      </c>
      <c r="F42" s="28" t="s">
        <v>89</v>
      </c>
      <c r="G42" s="28" t="s">
        <v>90</v>
      </c>
      <c r="H42" s="28" t="s">
        <v>91</v>
      </c>
      <c r="I42" s="28"/>
      <c r="J42" s="28" t="s">
        <v>952</v>
      </c>
      <c r="K42" s="28" t="s">
        <v>93</v>
      </c>
    </row>
    <row r="43" spans="1:27" ht="21" x14ac:dyDescent="0.35">
      <c r="A43" s="29">
        <f t="shared" ref="A43:A77" si="12">A2</f>
        <v>46194</v>
      </c>
      <c r="B43" s="30">
        <f>'Sunday WK1 (1)'!C110</f>
        <v>0</v>
      </c>
      <c r="C43" s="30">
        <f>'Sunday WK1 (1)'!D110</f>
        <v>0</v>
      </c>
      <c r="D43" s="30">
        <f>'Sunday WK1 (1)'!E110</f>
        <v>453.25</v>
      </c>
      <c r="E43" s="30">
        <f>'Sunday WK1 (1)'!F110</f>
        <v>0</v>
      </c>
      <c r="F43" s="30">
        <f>'Sunday WK1 (1)'!G110</f>
        <v>0</v>
      </c>
      <c r="G43" s="30">
        <f>'Sunday WK1 (1)'!H110</f>
        <v>0</v>
      </c>
      <c r="H43" s="30">
        <f>'Sunday WK1 (1)'!I110</f>
        <v>0</v>
      </c>
      <c r="I43" s="30">
        <f>'Sunday WK1 (1)'!J110</f>
        <v>0</v>
      </c>
      <c r="J43" s="30">
        <f>'Sunday WK1 (1)'!K110</f>
        <v>0</v>
      </c>
      <c r="K43" s="30" t="e">
        <v>#REF!</v>
      </c>
      <c r="L43" s="211" t="s">
        <v>947</v>
      </c>
      <c r="N43" s="208"/>
      <c r="T43" s="4"/>
    </row>
    <row r="44" spans="1:27" ht="21" x14ac:dyDescent="0.35">
      <c r="A44" s="29">
        <f t="shared" si="12"/>
        <v>46195</v>
      </c>
      <c r="B44" s="30">
        <f>'Monday WK1 (2)'!C$110</f>
        <v>0</v>
      </c>
      <c r="C44" s="30">
        <f>'Monday WK1 (2)'!D$110</f>
        <v>0</v>
      </c>
      <c r="D44" s="30">
        <f>'Monday WK1 (2)'!E$110</f>
        <v>0</v>
      </c>
      <c r="E44" s="30">
        <f>'Monday WK1 (2)'!F$110</f>
        <v>0</v>
      </c>
      <c r="F44" s="30">
        <f>'Monday WK1 (2)'!G$110</f>
        <v>0</v>
      </c>
      <c r="G44" s="30">
        <f>'Monday WK1 (2)'!H$110</f>
        <v>0</v>
      </c>
      <c r="H44" s="30">
        <f>'Monday WK1 (2)'!I$110</f>
        <v>0</v>
      </c>
      <c r="I44" s="30">
        <f>'Monday WK1 (2)'!J$110</f>
        <v>0</v>
      </c>
      <c r="J44" s="30">
        <f>'Monday WK1 (2)'!K$110</f>
        <v>0</v>
      </c>
      <c r="K44" s="30">
        <v>0</v>
      </c>
      <c r="L44" s="211" t="s">
        <v>947</v>
      </c>
    </row>
    <row r="45" spans="1:27" ht="21" x14ac:dyDescent="0.35">
      <c r="A45" s="29">
        <f t="shared" si="12"/>
        <v>46196</v>
      </c>
      <c r="B45" s="30">
        <f>'Tuesday WK1 (3)'!C$110</f>
        <v>0</v>
      </c>
      <c r="C45" s="30">
        <f>'Tuesday WK1 (3)'!D$110</f>
        <v>0</v>
      </c>
      <c r="D45" s="30">
        <f>'Tuesday WK1 (3)'!E$110</f>
        <v>0</v>
      </c>
      <c r="E45" s="30">
        <f>'Tuesday WK1 (3)'!F$110</f>
        <v>0</v>
      </c>
      <c r="F45" s="30">
        <f>'Tuesday WK1 (3)'!G$110</f>
        <v>0</v>
      </c>
      <c r="G45" s="30">
        <f>'Tuesday WK1 (3)'!H$110</f>
        <v>0</v>
      </c>
      <c r="H45" s="30">
        <f>'Tuesday WK1 (3)'!I$110</f>
        <v>0.01</v>
      </c>
      <c r="I45" s="30">
        <f>'Tuesday WK1 (3)'!J$110</f>
        <v>0</v>
      </c>
      <c r="J45" s="30">
        <f>'Tuesday WK1 (3)'!K$110</f>
        <v>0</v>
      </c>
      <c r="K45" s="30">
        <v>0</v>
      </c>
      <c r="L45" s="211" t="s">
        <v>947</v>
      </c>
      <c r="Q45" s="202"/>
      <c r="R45" s="204"/>
      <c r="S45" s="203"/>
    </row>
    <row r="46" spans="1:27" ht="21" x14ac:dyDescent="0.35">
      <c r="A46" s="29">
        <f t="shared" si="12"/>
        <v>46197</v>
      </c>
      <c r="B46" s="30">
        <f>'Wednesday WK1 (4)'!C$110</f>
        <v>0</v>
      </c>
      <c r="C46" s="30">
        <f>'Wednesday WK1 (4)'!D$110</f>
        <v>0</v>
      </c>
      <c r="D46" s="30">
        <f>'Wednesday WK1 (4)'!E$110</f>
        <v>0</v>
      </c>
      <c r="E46" s="30">
        <f>'Wednesday WK1 (4)'!F$110</f>
        <v>0</v>
      </c>
      <c r="F46" s="30">
        <f>'Wednesday WK1 (4)'!G$110</f>
        <v>0</v>
      </c>
      <c r="G46" s="30">
        <f>'Wednesday WK1 (4)'!H$110</f>
        <v>0</v>
      </c>
      <c r="H46" s="30">
        <f>'Wednesday WK1 (4)'!I$110</f>
        <v>0</v>
      </c>
      <c r="I46" s="30">
        <f>'Wednesday WK1 (4)'!J$110</f>
        <v>0</v>
      </c>
      <c r="J46" s="30">
        <f>'Wednesday WK1 (4)'!K$110</f>
        <v>0</v>
      </c>
      <c r="K46" s="30">
        <v>0</v>
      </c>
      <c r="L46" s="211" t="s">
        <v>947</v>
      </c>
      <c r="Q46" s="202"/>
      <c r="R46" s="204"/>
      <c r="S46" s="203"/>
    </row>
    <row r="47" spans="1:27" ht="21" x14ac:dyDescent="0.35">
      <c r="A47" s="29">
        <f t="shared" si="12"/>
        <v>46198</v>
      </c>
      <c r="B47" s="30">
        <f>'Thursday WK1 (5)'!C$110</f>
        <v>0</v>
      </c>
      <c r="C47" s="30">
        <f>'Thursday WK1 (5)'!D$110</f>
        <v>0</v>
      </c>
      <c r="D47" s="30">
        <f>'Thursday WK1 (5)'!E$110</f>
        <v>136.65</v>
      </c>
      <c r="E47" s="30">
        <f>'Thursday WK1 (5)'!F$110</f>
        <v>0</v>
      </c>
      <c r="F47" s="30">
        <f>'Thursday WK1 (5)'!G$110</f>
        <v>0</v>
      </c>
      <c r="G47" s="30">
        <f>'Thursday WK1 (5)'!H$110</f>
        <v>0</v>
      </c>
      <c r="H47" s="30">
        <f>'Thursday WK1 (5)'!I$110</f>
        <v>0</v>
      </c>
      <c r="I47" s="30">
        <f>'Thursday WK1 (5)'!J$110</f>
        <v>0</v>
      </c>
      <c r="J47" s="30">
        <f>'Thursday WK1 (5)'!K$110</f>
        <v>0</v>
      </c>
      <c r="K47" s="30">
        <v>0</v>
      </c>
      <c r="L47" s="211" t="s">
        <v>947</v>
      </c>
      <c r="Q47" s="202"/>
      <c r="R47" s="204"/>
      <c r="S47" s="203"/>
    </row>
    <row r="48" spans="1:27" ht="21" x14ac:dyDescent="0.35">
      <c r="A48" s="29">
        <f t="shared" si="12"/>
        <v>46199</v>
      </c>
      <c r="B48" s="30">
        <f>'Friday WK1 (6)'!C$110</f>
        <v>0</v>
      </c>
      <c r="C48" s="30">
        <f>'Friday WK1 (6)'!D$110</f>
        <v>0</v>
      </c>
      <c r="D48" s="30">
        <f>'Friday WK1 (6)'!E$110</f>
        <v>0</v>
      </c>
      <c r="E48" s="30">
        <f>'Friday WK1 (6)'!F$110</f>
        <v>0</v>
      </c>
      <c r="F48" s="30">
        <f>'Friday WK1 (6)'!G$110</f>
        <v>0</v>
      </c>
      <c r="G48" s="30">
        <f>'Friday WK1 (6)'!H$110</f>
        <v>0</v>
      </c>
      <c r="H48" s="30">
        <f>'Friday WK1 (6)'!I$110</f>
        <v>0</v>
      </c>
      <c r="I48" s="30">
        <f>'Friday WK1 (6)'!J$110</f>
        <v>0</v>
      </c>
      <c r="J48" s="30">
        <f>'Friday WK1 (6)'!K$110</f>
        <v>0</v>
      </c>
      <c r="K48" s="30">
        <v>0</v>
      </c>
      <c r="L48" s="211" t="s">
        <v>947</v>
      </c>
      <c r="Q48" s="202"/>
      <c r="R48" s="204"/>
      <c r="S48" s="203"/>
    </row>
    <row r="49" spans="1:19" ht="21" x14ac:dyDescent="0.35">
      <c r="A49" s="29">
        <f t="shared" si="12"/>
        <v>46200</v>
      </c>
      <c r="B49" s="30">
        <f>'Saturday WK1 (7)'!C$110</f>
        <v>0</v>
      </c>
      <c r="C49" s="30">
        <f>'Saturday WK1 (7)'!D$110</f>
        <v>0</v>
      </c>
      <c r="D49" s="30">
        <f>'Saturday WK1 (7)'!E$110</f>
        <v>0</v>
      </c>
      <c r="E49" s="30">
        <f>'Saturday WK1 (7)'!F$110</f>
        <v>0</v>
      </c>
      <c r="F49" s="30">
        <f>'Saturday WK1 (7)'!G$110</f>
        <v>0</v>
      </c>
      <c r="G49" s="30">
        <f>'Saturday WK1 (7)'!H$110</f>
        <v>0</v>
      </c>
      <c r="H49" s="30">
        <f>'Saturday WK1 (7)'!I$110</f>
        <v>0</v>
      </c>
      <c r="I49" s="30">
        <f>'Saturday WK1 (7)'!J$110</f>
        <v>0</v>
      </c>
      <c r="J49" s="30">
        <f>'Saturday WK1 (7)'!K$110</f>
        <v>0</v>
      </c>
      <c r="K49" s="30">
        <v>0</v>
      </c>
      <c r="L49" s="211" t="s">
        <v>947</v>
      </c>
      <c r="Q49" s="202"/>
      <c r="R49" s="204"/>
      <c r="S49" s="203"/>
    </row>
    <row r="50" spans="1:19" ht="21" x14ac:dyDescent="0.35">
      <c r="A50" s="29">
        <f t="shared" si="12"/>
        <v>46201</v>
      </c>
      <c r="B50" s="30">
        <f>'Sunday WK2 (8)'!C$110</f>
        <v>666.9</v>
      </c>
      <c r="C50" s="30">
        <f>'Sunday WK2 (8)'!D$110</f>
        <v>0</v>
      </c>
      <c r="D50" s="30">
        <f>'Sunday WK2 (8)'!E$110</f>
        <v>101.34</v>
      </c>
      <c r="E50" s="30">
        <f>'Sunday WK2 (8)'!F$110</f>
        <v>0</v>
      </c>
      <c r="F50" s="30">
        <f>'Sunday WK2 (8)'!G$110</f>
        <v>0</v>
      </c>
      <c r="G50" s="30">
        <f>'Sunday WK2 (8)'!H$110</f>
        <v>0</v>
      </c>
      <c r="H50" s="30">
        <f>'Sunday WK2 (8)'!I$110</f>
        <v>0</v>
      </c>
      <c r="I50" s="30">
        <f>'Sunday WK2 (8)'!J$110</f>
        <v>0</v>
      </c>
      <c r="J50" s="30">
        <f>'Sunday WK2 (8)'!K$110</f>
        <v>0</v>
      </c>
      <c r="K50" s="30">
        <v>0</v>
      </c>
      <c r="L50" s="211" t="s">
        <v>947</v>
      </c>
      <c r="Q50" s="202"/>
      <c r="R50" s="204"/>
      <c r="S50" s="203"/>
    </row>
    <row r="51" spans="1:19" ht="21" x14ac:dyDescent="0.35">
      <c r="A51" s="29">
        <f t="shared" si="12"/>
        <v>46202</v>
      </c>
      <c r="B51" s="30">
        <f>'Monday WK2 (9)'!C$110</f>
        <v>0</v>
      </c>
      <c r="C51" s="30">
        <f>'Monday WK2 (9)'!D$110</f>
        <v>0</v>
      </c>
      <c r="D51" s="30">
        <f>'Monday WK2 (9)'!E$110</f>
        <v>0</v>
      </c>
      <c r="E51" s="30">
        <f>'Monday WK2 (9)'!F$110</f>
        <v>0</v>
      </c>
      <c r="F51" s="30">
        <f>'Monday WK2 (9)'!G$110</f>
        <v>0</v>
      </c>
      <c r="G51" s="30">
        <f>'Monday WK2 (9)'!H$110</f>
        <v>0</v>
      </c>
      <c r="H51" s="30">
        <f>'Monday WK2 (9)'!I$110</f>
        <v>0</v>
      </c>
      <c r="I51" s="30">
        <f>'Monday WK2 (9)'!J$110</f>
        <v>0</v>
      </c>
      <c r="J51" s="30">
        <f>'Monday WK2 (9)'!K$110</f>
        <v>0</v>
      </c>
      <c r="K51" s="30">
        <v>0</v>
      </c>
      <c r="L51" s="211" t="s">
        <v>947</v>
      </c>
      <c r="Q51" s="202"/>
      <c r="R51" s="204"/>
      <c r="S51" s="203"/>
    </row>
    <row r="52" spans="1:19" ht="21" x14ac:dyDescent="0.35">
      <c r="A52" s="29">
        <f t="shared" si="12"/>
        <v>46203</v>
      </c>
      <c r="B52" s="30">
        <f>'Tuesday WK2 (10)'!C$110</f>
        <v>44.69</v>
      </c>
      <c r="C52" s="30">
        <f>'Tuesday WK2 (10)'!D$110</f>
        <v>0</v>
      </c>
      <c r="D52" s="30">
        <f>'Tuesday WK2 (10)'!E$110</f>
        <v>0</v>
      </c>
      <c r="E52" s="30">
        <f>'Tuesday WK2 (10)'!F$110</f>
        <v>0</v>
      </c>
      <c r="F52" s="30">
        <f>'Tuesday WK2 (10)'!G$110</f>
        <v>0</v>
      </c>
      <c r="G52" s="30">
        <f>'Tuesday WK2 (10)'!H$110</f>
        <v>0</v>
      </c>
      <c r="H52" s="30">
        <f>'Tuesday WK2 (10)'!I$110</f>
        <v>0</v>
      </c>
      <c r="I52" s="30">
        <f>'Tuesday WK2 (10)'!J$110</f>
        <v>0</v>
      </c>
      <c r="J52" s="30">
        <f>'Tuesday WK2 (10)'!K$110</f>
        <v>0</v>
      </c>
      <c r="K52" s="30">
        <v>0</v>
      </c>
      <c r="L52" s="211" t="s">
        <v>947</v>
      </c>
    </row>
    <row r="53" spans="1:19" ht="21" x14ac:dyDescent="0.35">
      <c r="A53" s="29">
        <f t="shared" si="12"/>
        <v>46204</v>
      </c>
      <c r="B53" s="30">
        <f>'Wednesday WK2 (11)'!C$110</f>
        <v>0</v>
      </c>
      <c r="C53" s="30">
        <f>'Wednesday WK2 (11)'!D$110</f>
        <v>0</v>
      </c>
      <c r="D53" s="30">
        <f>'Wednesday WK2 (11)'!E$110</f>
        <v>0</v>
      </c>
      <c r="E53" s="30">
        <f>'Wednesday WK2 (11)'!F$110</f>
        <v>0</v>
      </c>
      <c r="F53" s="30">
        <f>'Wednesday WK2 (11)'!G$110</f>
        <v>0</v>
      </c>
      <c r="G53" s="30">
        <f>'Wednesday WK2 (11)'!H$110</f>
        <v>0</v>
      </c>
      <c r="H53" s="30">
        <f>'Wednesday WK2 (11)'!I$110</f>
        <v>0</v>
      </c>
      <c r="I53" s="30">
        <f>'Wednesday WK2 (11)'!J$110</f>
        <v>0</v>
      </c>
      <c r="J53" s="30">
        <f>'Wednesday WK2 (11)'!K$110</f>
        <v>0</v>
      </c>
      <c r="K53" s="30">
        <v>0</v>
      </c>
      <c r="L53" s="211" t="s">
        <v>947</v>
      </c>
    </row>
    <row r="54" spans="1:19" ht="21" x14ac:dyDescent="0.35">
      <c r="A54" s="29">
        <f t="shared" si="12"/>
        <v>46205</v>
      </c>
      <c r="B54" s="30">
        <f>'Thursday WK2 (12)'!C$110</f>
        <v>0</v>
      </c>
      <c r="C54" s="30">
        <f>'Thursday WK2 (12)'!D$110</f>
        <v>0</v>
      </c>
      <c r="D54" s="30">
        <f>'Thursday WK2 (12)'!E$110</f>
        <v>0</v>
      </c>
      <c r="E54" s="30">
        <f>'Thursday WK2 (12)'!F$110</f>
        <v>0</v>
      </c>
      <c r="F54" s="30">
        <f>'Thursday WK2 (12)'!G$110</f>
        <v>0</v>
      </c>
      <c r="G54" s="30">
        <f>'Thursday WK2 (12)'!H$110</f>
        <v>0</v>
      </c>
      <c r="H54" s="30">
        <f>'Thursday WK2 (12)'!I$110</f>
        <v>0</v>
      </c>
      <c r="I54" s="30">
        <f>'Thursday WK2 (12)'!J$110</f>
        <v>0</v>
      </c>
      <c r="J54" s="30">
        <f>'Thursday WK2 (12)'!K$110</f>
        <v>0</v>
      </c>
      <c r="K54" s="30">
        <v>0</v>
      </c>
      <c r="L54" s="211" t="s">
        <v>947</v>
      </c>
    </row>
    <row r="55" spans="1:19" ht="21" x14ac:dyDescent="0.35">
      <c r="A55" s="29">
        <f t="shared" si="12"/>
        <v>46206</v>
      </c>
      <c r="B55" s="30">
        <f>'Friday WK2 (13)'!C$110</f>
        <v>0</v>
      </c>
      <c r="C55" s="30">
        <f>'Friday WK2 (13)'!D$110</f>
        <v>0</v>
      </c>
      <c r="D55" s="30">
        <f>'Friday WK2 (13)'!E$110</f>
        <v>0</v>
      </c>
      <c r="E55" s="30">
        <f>'Friday WK2 (13)'!F$110</f>
        <v>0</v>
      </c>
      <c r="F55" s="30">
        <f>'Friday WK2 (13)'!G$110</f>
        <v>0</v>
      </c>
      <c r="G55" s="30">
        <f>'Friday WK2 (13)'!H$110</f>
        <v>0</v>
      </c>
      <c r="H55" s="30">
        <f>'Friday WK2 (13)'!I$110</f>
        <v>0</v>
      </c>
      <c r="I55" s="30">
        <f>'Friday WK2 (13)'!J$110</f>
        <v>0</v>
      </c>
      <c r="J55" s="30">
        <f>'Friday WK2 (13)'!K$110</f>
        <v>0</v>
      </c>
      <c r="K55" s="30">
        <v>0</v>
      </c>
      <c r="L55" s="211" t="s">
        <v>947</v>
      </c>
    </row>
    <row r="56" spans="1:19" ht="21" x14ac:dyDescent="0.35">
      <c r="A56" s="29">
        <f t="shared" si="12"/>
        <v>46207</v>
      </c>
      <c r="B56" s="30">
        <f>'Saturday WK2 (14)'!C$110</f>
        <v>0</v>
      </c>
      <c r="C56" s="30">
        <f>'Saturday WK2 (14)'!D$110</f>
        <v>0</v>
      </c>
      <c r="D56" s="30">
        <f>'Saturday WK2 (14)'!E$110</f>
        <v>0</v>
      </c>
      <c r="E56" s="30">
        <f>'Saturday WK2 (14)'!F$110</f>
        <v>0</v>
      </c>
      <c r="F56" s="30">
        <f>'Saturday WK2 (14)'!G$110</f>
        <v>0</v>
      </c>
      <c r="G56" s="30">
        <f>'Saturday WK2 (14)'!H$110</f>
        <v>0</v>
      </c>
      <c r="H56" s="30">
        <f>'Saturday WK2 (14)'!I$110</f>
        <v>0</v>
      </c>
      <c r="I56" s="30">
        <f>'Saturday WK2 (14)'!J$110</f>
        <v>0</v>
      </c>
      <c r="J56" s="30">
        <f>'Saturday WK2 (14)'!K$110</f>
        <v>0</v>
      </c>
      <c r="K56" s="30">
        <v>0</v>
      </c>
      <c r="L56" s="211" t="s">
        <v>947</v>
      </c>
    </row>
    <row r="57" spans="1:19" ht="21" x14ac:dyDescent="0.35">
      <c r="A57" s="29">
        <f t="shared" si="12"/>
        <v>46208</v>
      </c>
      <c r="B57" s="30">
        <f>'Sunday WK3 (15)'!C$110</f>
        <v>107.16</v>
      </c>
      <c r="C57" s="30">
        <f>'Sunday WK3 (15)'!D$110</f>
        <v>0</v>
      </c>
      <c r="D57" s="30">
        <f>'Sunday WK3 (15)'!E$110</f>
        <v>353.82</v>
      </c>
      <c r="E57" s="30">
        <f>'Sunday WK3 (15)'!F$110</f>
        <v>0</v>
      </c>
      <c r="F57" s="30">
        <f>'Sunday WK3 (15)'!G$110</f>
        <v>0</v>
      </c>
      <c r="G57" s="30">
        <f>'Sunday WK3 (15)'!H$110</f>
        <v>0</v>
      </c>
      <c r="H57" s="30">
        <f>'Sunday WK3 (15)'!I$110</f>
        <v>0</v>
      </c>
      <c r="I57" s="30">
        <f>'Sunday WK3 (15)'!J$110</f>
        <v>0</v>
      </c>
      <c r="J57" s="30">
        <f>'Sunday WK3 (15)'!K$110</f>
        <v>0</v>
      </c>
      <c r="K57" s="30">
        <v>0</v>
      </c>
      <c r="L57" s="211" t="s">
        <v>947</v>
      </c>
    </row>
    <row r="58" spans="1:19" ht="21" x14ac:dyDescent="0.35">
      <c r="A58" s="29">
        <f t="shared" si="12"/>
        <v>46209</v>
      </c>
      <c r="B58" s="30">
        <f>'Monday WK3 (16)'!C$110</f>
        <v>0</v>
      </c>
      <c r="C58" s="30">
        <f>'Monday WK3 (16)'!D$110</f>
        <v>0</v>
      </c>
      <c r="D58" s="30">
        <f>'Monday WK3 (16)'!E$110</f>
        <v>0</v>
      </c>
      <c r="E58" s="30">
        <f>'Monday WK3 (16)'!F$110</f>
        <v>0</v>
      </c>
      <c r="F58" s="30">
        <f>'Monday WK3 (16)'!G$110</f>
        <v>0</v>
      </c>
      <c r="G58" s="30">
        <f>'Monday WK3 (16)'!H$110</f>
        <v>0</v>
      </c>
      <c r="H58" s="30">
        <f>'Monday WK3 (16)'!I$110</f>
        <v>0</v>
      </c>
      <c r="I58" s="30">
        <f>'Monday WK3 (16)'!J$110</f>
        <v>0</v>
      </c>
      <c r="J58" s="30">
        <f>'Monday WK3 (16)'!K$110</f>
        <v>0</v>
      </c>
      <c r="K58" s="30">
        <v>0</v>
      </c>
      <c r="L58" s="211" t="s">
        <v>947</v>
      </c>
    </row>
    <row r="59" spans="1:19" ht="21" x14ac:dyDescent="0.35">
      <c r="A59" s="29">
        <f t="shared" si="12"/>
        <v>46210</v>
      </c>
      <c r="B59" s="30">
        <f>'Tuesday WK3 (17)'!C$110</f>
        <v>111.44</v>
      </c>
      <c r="C59" s="30">
        <f>'Tuesday WK3 (17)'!D$110</f>
        <v>0</v>
      </c>
      <c r="D59" s="30">
        <f>'Tuesday WK3 (17)'!E$110</f>
        <v>0</v>
      </c>
      <c r="E59" s="30">
        <f>'Tuesday WK3 (17)'!F$110</f>
        <v>0</v>
      </c>
      <c r="F59" s="30">
        <f>'Tuesday WK3 (17)'!G$110</f>
        <v>0</v>
      </c>
      <c r="G59" s="30">
        <f>'Tuesday WK3 (17)'!H$110</f>
        <v>0</v>
      </c>
      <c r="H59" s="30">
        <f>'Tuesday WK3 (17)'!I$110</f>
        <v>0</v>
      </c>
      <c r="I59" s="30">
        <f>'Tuesday WK3 (17)'!J$110</f>
        <v>0</v>
      </c>
      <c r="J59" s="30">
        <f>'Tuesday WK3 (17)'!K$110</f>
        <v>0</v>
      </c>
      <c r="K59" s="30">
        <v>0</v>
      </c>
      <c r="L59" s="211" t="s">
        <v>947</v>
      </c>
    </row>
    <row r="60" spans="1:19" ht="21" x14ac:dyDescent="0.35">
      <c r="A60" s="29">
        <f t="shared" si="12"/>
        <v>46211</v>
      </c>
      <c r="B60" s="30">
        <f>'Wednesday WK3 (18)'!C$110</f>
        <v>0</v>
      </c>
      <c r="C60" s="30">
        <f>'Wednesday WK3 (18)'!D$110</f>
        <v>0</v>
      </c>
      <c r="D60" s="30">
        <f>'Wednesday WK3 (18)'!E$110</f>
        <v>0</v>
      </c>
      <c r="E60" s="30">
        <f>'Wednesday WK3 (18)'!F$110</f>
        <v>0</v>
      </c>
      <c r="F60" s="30">
        <f>'Wednesday WK3 (18)'!G$110</f>
        <v>0</v>
      </c>
      <c r="G60" s="30">
        <f>'Wednesday WK3 (18)'!H$110</f>
        <v>0</v>
      </c>
      <c r="H60" s="30">
        <f>'Wednesday WK3 (18)'!I$110</f>
        <v>0</v>
      </c>
      <c r="I60" s="30">
        <f>'Wednesday WK3 (18)'!J$110</f>
        <v>0</v>
      </c>
      <c r="J60" s="30">
        <f>'Wednesday WK3 (18)'!K$110</f>
        <v>0</v>
      </c>
      <c r="K60" s="30">
        <v>0</v>
      </c>
      <c r="L60" s="211" t="s">
        <v>947</v>
      </c>
    </row>
    <row r="61" spans="1:19" ht="21" x14ac:dyDescent="0.35">
      <c r="A61" s="29">
        <f t="shared" si="12"/>
        <v>46212</v>
      </c>
      <c r="B61" s="30">
        <f>'Thursday WK3 (19)'!C$110</f>
        <v>0</v>
      </c>
      <c r="C61" s="30">
        <f>'Thursday WK3 (19)'!D$110</f>
        <v>0</v>
      </c>
      <c r="D61" s="30">
        <f>'Thursday WK3 (19)'!E$110</f>
        <v>0</v>
      </c>
      <c r="E61" s="30">
        <f>'Thursday WK3 (19)'!F$110</f>
        <v>0</v>
      </c>
      <c r="F61" s="30">
        <f>'Thursday WK3 (19)'!G$110</f>
        <v>0</v>
      </c>
      <c r="G61" s="30">
        <f>'Thursday WK3 (19)'!H$110</f>
        <v>0</v>
      </c>
      <c r="H61" s="30">
        <f>'Thursday WK3 (19)'!I$110</f>
        <v>0</v>
      </c>
      <c r="I61" s="30">
        <f>'Thursday WK3 (19)'!J$110</f>
        <v>0</v>
      </c>
      <c r="J61" s="30">
        <f>'Thursday WK3 (19)'!K$110</f>
        <v>0</v>
      </c>
      <c r="K61" s="30">
        <v>0</v>
      </c>
      <c r="L61" s="211" t="s">
        <v>947</v>
      </c>
    </row>
    <row r="62" spans="1:19" ht="21" x14ac:dyDescent="0.35">
      <c r="A62" s="29">
        <f t="shared" si="12"/>
        <v>46213</v>
      </c>
      <c r="B62" s="30">
        <f>'Friday WK3 (20)'!C$110</f>
        <v>0</v>
      </c>
      <c r="C62" s="30">
        <f>'Friday WK3 (20)'!D$110</f>
        <v>0</v>
      </c>
      <c r="D62" s="30">
        <f>'Friday WK3 (20)'!E$110</f>
        <v>0</v>
      </c>
      <c r="E62" s="30">
        <f>'Friday WK3 (20)'!F$110</f>
        <v>0</v>
      </c>
      <c r="F62" s="30">
        <f>'Friday WK3 (20)'!G$110</f>
        <v>0</v>
      </c>
      <c r="G62" s="30">
        <f>'Friday WK3 (20)'!H$110</f>
        <v>0</v>
      </c>
      <c r="H62" s="30">
        <f>'Friday WK3 (20)'!I$110</f>
        <v>0</v>
      </c>
      <c r="I62" s="30">
        <f>'Friday WK3 (20)'!J$110</f>
        <v>0</v>
      </c>
      <c r="J62" s="30">
        <f>'Friday WK3 (20)'!K$110</f>
        <v>0</v>
      </c>
      <c r="K62" s="30">
        <v>0</v>
      </c>
      <c r="L62" s="211" t="s">
        <v>947</v>
      </c>
    </row>
    <row r="63" spans="1:19" ht="21" x14ac:dyDescent="0.35">
      <c r="A63" s="29">
        <f t="shared" si="12"/>
        <v>46214</v>
      </c>
      <c r="B63" s="30">
        <f>'Saturday WK3 (21)'!C$110</f>
        <v>0</v>
      </c>
      <c r="C63" s="30">
        <f>'Saturday WK3 (21)'!D$110</f>
        <v>0</v>
      </c>
      <c r="D63" s="30">
        <f>'Saturday WK3 (21)'!E$110</f>
        <v>0</v>
      </c>
      <c r="E63" s="30">
        <f>'Saturday WK3 (21)'!F$110</f>
        <v>0</v>
      </c>
      <c r="F63" s="30">
        <f>'Saturday WK3 (21)'!G$110</f>
        <v>0</v>
      </c>
      <c r="G63" s="30">
        <f>'Saturday WK3 (21)'!H$110</f>
        <v>0</v>
      </c>
      <c r="H63" s="30">
        <f>'Saturday WK3 (21)'!I$110</f>
        <v>0</v>
      </c>
      <c r="I63" s="30">
        <f>'Saturday WK3 (21)'!J$110</f>
        <v>0</v>
      </c>
      <c r="J63" s="30">
        <f>'Saturday WK3 (21)'!K$110</f>
        <v>0</v>
      </c>
      <c r="K63" s="30">
        <v>0</v>
      </c>
      <c r="L63" s="211" t="s">
        <v>947</v>
      </c>
      <c r="N63" s="30"/>
    </row>
    <row r="64" spans="1:19" ht="21" x14ac:dyDescent="0.35">
      <c r="A64" s="29">
        <f t="shared" si="12"/>
        <v>46215</v>
      </c>
      <c r="B64" s="30">
        <f>'Sunday WK4 (22)'!C$110</f>
        <v>0</v>
      </c>
      <c r="C64" s="30">
        <f>'Sunday WK4 (22)'!D$110</f>
        <v>0</v>
      </c>
      <c r="D64" s="30">
        <f>'Sunday WK4 (22)'!E$110</f>
        <v>308.3</v>
      </c>
      <c r="E64" s="30">
        <f>'Sunday WK4 (22)'!F$110</f>
        <v>0</v>
      </c>
      <c r="F64" s="30">
        <f>'Sunday WK4 (22)'!G$110</f>
        <v>0</v>
      </c>
      <c r="G64" s="30">
        <f>'Sunday WK4 (22)'!H$110</f>
        <v>0</v>
      </c>
      <c r="H64" s="30">
        <f>'Sunday WK4 (22)'!I$110</f>
        <v>0</v>
      </c>
      <c r="I64" s="30">
        <f>'Sunday WK4 (22)'!J$110</f>
        <v>0</v>
      </c>
      <c r="J64" s="30">
        <f>'Sunday WK4 (22)'!K$110</f>
        <v>0</v>
      </c>
      <c r="K64" s="30">
        <v>0</v>
      </c>
      <c r="L64" s="211" t="s">
        <v>947</v>
      </c>
    </row>
    <row r="65" spans="1:12" ht="21" x14ac:dyDescent="0.35">
      <c r="A65" s="29">
        <f t="shared" si="12"/>
        <v>46216</v>
      </c>
      <c r="B65" s="30">
        <f>'Monday WK4 (23)'!C$110</f>
        <v>0</v>
      </c>
      <c r="C65" s="30">
        <f>'Monday WK4 (23)'!D$110</f>
        <v>0</v>
      </c>
      <c r="D65" s="30">
        <f>'Monday WK4 (23)'!E$110</f>
        <v>0</v>
      </c>
      <c r="E65" s="30">
        <f>'Monday WK4 (23)'!F$110</f>
        <v>0</v>
      </c>
      <c r="F65" s="30">
        <f>'Monday WK4 (23)'!G$110</f>
        <v>0</v>
      </c>
      <c r="G65" s="30">
        <f>'Monday WK4 (23)'!H$110</f>
        <v>0</v>
      </c>
      <c r="H65" s="30">
        <f>'Monday WK4 (23)'!I$110</f>
        <v>0</v>
      </c>
      <c r="I65" s="30">
        <f>'Monday WK4 (23)'!J$110</f>
        <v>0</v>
      </c>
      <c r="J65" s="30">
        <f>'Monday WK4 (23)'!K$110</f>
        <v>0</v>
      </c>
      <c r="K65" s="30" t="e">
        <v>#REF!</v>
      </c>
      <c r="L65" s="211" t="s">
        <v>947</v>
      </c>
    </row>
    <row r="66" spans="1:12" ht="21" x14ac:dyDescent="0.35">
      <c r="A66" s="29">
        <f t="shared" si="12"/>
        <v>46217</v>
      </c>
      <c r="B66" s="30">
        <f>'Tuesday WK4 (24)'!C$110</f>
        <v>0</v>
      </c>
      <c r="C66" s="30">
        <f>'Tuesday WK4 (24)'!D$110</f>
        <v>0</v>
      </c>
      <c r="D66" s="30">
        <f>'Tuesday WK4 (24)'!E$110</f>
        <v>0</v>
      </c>
      <c r="E66" s="30">
        <f>'Tuesday WK4 (24)'!F$110</f>
        <v>0</v>
      </c>
      <c r="F66" s="30">
        <f>'Tuesday WK4 (24)'!G$110</f>
        <v>0</v>
      </c>
      <c r="G66" s="30">
        <f>'Tuesday WK4 (24)'!H$110</f>
        <v>0</v>
      </c>
      <c r="H66" s="30">
        <f>'Tuesday WK4 (24)'!I$110</f>
        <v>0</v>
      </c>
      <c r="I66" s="30">
        <f>'Tuesday WK4 (24)'!J$110</f>
        <v>0</v>
      </c>
      <c r="J66" s="30">
        <f>'Tuesday WK4 (24)'!K$110</f>
        <v>0</v>
      </c>
      <c r="K66" s="30">
        <v>0</v>
      </c>
      <c r="L66" s="211" t="s">
        <v>947</v>
      </c>
    </row>
    <row r="67" spans="1:12" ht="21" x14ac:dyDescent="0.35">
      <c r="A67" s="29">
        <f t="shared" si="12"/>
        <v>46218</v>
      </c>
      <c r="B67" s="30">
        <f>'Wednesday WK4 (25)'!C$110</f>
        <v>0</v>
      </c>
      <c r="C67" s="30">
        <f>'Wednesday WK4 (25)'!D$110</f>
        <v>0</v>
      </c>
      <c r="D67" s="30">
        <f>'Wednesday WK4 (25)'!E$110</f>
        <v>0</v>
      </c>
      <c r="E67" s="30">
        <f>'Wednesday WK4 (25)'!F$110</f>
        <v>0</v>
      </c>
      <c r="F67" s="30">
        <f>'Wednesday WK4 (25)'!G$110</f>
        <v>0</v>
      </c>
      <c r="G67" s="30">
        <f>'Wednesday WK4 (25)'!H$110</f>
        <v>0</v>
      </c>
      <c r="H67" s="30">
        <f>'Wednesday WK4 (25)'!I$110</f>
        <v>0</v>
      </c>
      <c r="I67" s="30">
        <f>'Wednesday WK4 (25)'!J$110</f>
        <v>0</v>
      </c>
      <c r="J67" s="30">
        <f>'Wednesday WK4 (25)'!K$110</f>
        <v>0</v>
      </c>
      <c r="K67" s="30">
        <v>0</v>
      </c>
      <c r="L67" s="211" t="s">
        <v>947</v>
      </c>
    </row>
    <row r="68" spans="1:12" ht="21" x14ac:dyDescent="0.35">
      <c r="A68" s="29">
        <f t="shared" si="12"/>
        <v>46219</v>
      </c>
      <c r="B68" s="30">
        <f>'Thursday WK4 (26)'!C$110</f>
        <v>0</v>
      </c>
      <c r="C68" s="30">
        <f>'Thursday WK4 (26)'!D$110</f>
        <v>0</v>
      </c>
      <c r="D68" s="30">
        <f>'Thursday WK4 (26)'!E$110</f>
        <v>0</v>
      </c>
      <c r="E68" s="30">
        <f>'Thursday WK4 (26)'!F$110</f>
        <v>0</v>
      </c>
      <c r="F68" s="30">
        <f>'Thursday WK4 (26)'!G$110</f>
        <v>0</v>
      </c>
      <c r="G68" s="30">
        <f>'Thursday WK4 (26)'!H$110</f>
        <v>0</v>
      </c>
      <c r="H68" s="30">
        <f>'Thursday WK4 (26)'!I$110</f>
        <v>0</v>
      </c>
      <c r="I68" s="30">
        <f>'Thursday WK4 (26)'!J$110</f>
        <v>0</v>
      </c>
      <c r="J68" s="30">
        <f>'Thursday WK4 (26)'!K$110</f>
        <v>0</v>
      </c>
      <c r="K68" s="30">
        <v>0</v>
      </c>
      <c r="L68" s="211" t="s">
        <v>947</v>
      </c>
    </row>
    <row r="69" spans="1:12" ht="21" x14ac:dyDescent="0.35">
      <c r="A69" s="29">
        <f t="shared" si="12"/>
        <v>46220</v>
      </c>
      <c r="B69" s="30">
        <f>'Friday WK4 (27)'!C$110</f>
        <v>0</v>
      </c>
      <c r="C69" s="30">
        <f>'Friday WK4 (27)'!D$110</f>
        <v>0</v>
      </c>
      <c r="D69" s="30">
        <f>'Friday WK4 (27)'!E$110</f>
        <v>0</v>
      </c>
      <c r="E69" s="30">
        <f>'Friday WK4 (27)'!F$110</f>
        <v>0</v>
      </c>
      <c r="F69" s="30">
        <f>'Friday WK4 (27)'!G$110</f>
        <v>0</v>
      </c>
      <c r="G69" s="30">
        <f>'Friday WK4 (27)'!H$110</f>
        <v>0</v>
      </c>
      <c r="H69" s="30">
        <f>'Friday WK4 (27)'!I$110</f>
        <v>0</v>
      </c>
      <c r="I69" s="30">
        <f>'Friday WK4 (27)'!J$110</f>
        <v>0</v>
      </c>
      <c r="J69" s="30">
        <f>'Friday WK4 (27)'!K$110</f>
        <v>0</v>
      </c>
      <c r="K69" s="30">
        <v>0</v>
      </c>
      <c r="L69" s="211" t="s">
        <v>947</v>
      </c>
    </row>
    <row r="70" spans="1:12" ht="21" x14ac:dyDescent="0.35">
      <c r="A70" s="29">
        <f t="shared" si="12"/>
        <v>46221</v>
      </c>
      <c r="B70" s="30">
        <f>'Saturday WK4 (28)'!C$110</f>
        <v>1767.56</v>
      </c>
      <c r="C70" s="30">
        <f>'Saturday WK4 (28)'!D$110</f>
        <v>0</v>
      </c>
      <c r="D70" s="30">
        <f>'Saturday WK4 (28)'!E$110</f>
        <v>0</v>
      </c>
      <c r="E70" s="30">
        <f>'Saturday WK4 (28)'!F$110</f>
        <v>0</v>
      </c>
      <c r="F70" s="30">
        <f>'Saturday WK4 (28)'!G$110</f>
        <v>0</v>
      </c>
      <c r="G70" s="30">
        <f>'Saturday WK4 (28)'!H$110</f>
        <v>0</v>
      </c>
      <c r="H70" s="30">
        <f>'Saturday WK4 (28)'!I$110</f>
        <v>0</v>
      </c>
      <c r="I70" s="30">
        <f>'Saturday WK4 (28)'!J$110</f>
        <v>0</v>
      </c>
      <c r="J70" s="30">
        <f>'Saturday WK4 (28)'!K$110</f>
        <v>0</v>
      </c>
      <c r="K70" s="30">
        <v>0</v>
      </c>
      <c r="L70" s="211" t="s">
        <v>947</v>
      </c>
    </row>
    <row r="71" spans="1:12" ht="21" x14ac:dyDescent="0.35">
      <c r="A71" s="29">
        <f t="shared" si="12"/>
        <v>46222</v>
      </c>
      <c r="B71" s="30">
        <f>'Sunday WK5 (29)'!C$110</f>
        <v>0</v>
      </c>
      <c r="C71" s="30">
        <f>'Sunday WK5 (29)'!D$110</f>
        <v>0</v>
      </c>
      <c r="D71" s="30">
        <f>'Sunday WK5 (29)'!E$110</f>
        <v>0</v>
      </c>
      <c r="E71" s="30">
        <f>'Sunday WK5 (29)'!F$110</f>
        <v>0</v>
      </c>
      <c r="F71" s="30">
        <f>'Sunday WK5 (29)'!G$110</f>
        <v>0</v>
      </c>
      <c r="G71" s="30">
        <f>'Sunday WK5 (29)'!H$110</f>
        <v>0</v>
      </c>
      <c r="H71" s="30">
        <f>'Sunday WK5 (29)'!I$110</f>
        <v>0</v>
      </c>
      <c r="I71" s="30">
        <f>'Sunday WK5 (29)'!J$110</f>
        <v>0</v>
      </c>
      <c r="J71" s="30">
        <v>0</v>
      </c>
      <c r="K71" s="30">
        <v>0</v>
      </c>
      <c r="L71" s="211" t="s">
        <v>947</v>
      </c>
    </row>
    <row r="72" spans="1:12" ht="21" x14ac:dyDescent="0.35">
      <c r="A72" s="29">
        <f t="shared" si="12"/>
        <v>46223</v>
      </c>
      <c r="B72" s="30">
        <f>'Monday WK5 (30)'!C$110</f>
        <v>0</v>
      </c>
      <c r="C72" s="30">
        <f>'Monday WK5 (30)'!D$110</f>
        <v>0</v>
      </c>
      <c r="D72" s="30">
        <f>'Monday WK5 (30)'!E$110</f>
        <v>0</v>
      </c>
      <c r="E72" s="30">
        <f>'Monday WK5 (30)'!F$110</f>
        <v>0</v>
      </c>
      <c r="F72" s="30">
        <f>'Monday WK5 (30)'!G$110</f>
        <v>0</v>
      </c>
      <c r="G72" s="30">
        <f>'Monday WK5 (30)'!H$110</f>
        <v>0</v>
      </c>
      <c r="H72" s="30">
        <f>'Monday WK5 (30)'!I$110</f>
        <v>0</v>
      </c>
      <c r="I72" s="30">
        <f>'Monday WK5 (30)'!J$110</f>
        <v>0</v>
      </c>
      <c r="J72" s="30">
        <v>0</v>
      </c>
      <c r="K72" s="30">
        <v>0</v>
      </c>
      <c r="L72" s="211" t="s">
        <v>947</v>
      </c>
    </row>
    <row r="73" spans="1:12" ht="21" x14ac:dyDescent="0.35">
      <c r="A73" s="29">
        <f t="shared" si="12"/>
        <v>46224</v>
      </c>
      <c r="B73" s="30">
        <f>'Tuesday WK5 (31)'!C$110</f>
        <v>0</v>
      </c>
      <c r="C73" s="30">
        <f>'Tuesday WK5 (31)'!D$110</f>
        <v>0</v>
      </c>
      <c r="D73" s="30">
        <f>'Tuesday WK5 (31)'!E$110</f>
        <v>0</v>
      </c>
      <c r="E73" s="30">
        <f>'Tuesday WK5 (31)'!F$110</f>
        <v>0</v>
      </c>
      <c r="F73" s="30">
        <f>'Tuesday WK5 (31)'!G$110</f>
        <v>0</v>
      </c>
      <c r="G73" s="30">
        <f>'Tuesday WK5 (31)'!H$110</f>
        <v>0</v>
      </c>
      <c r="H73" s="30">
        <f>'Tuesday WK5 (31)'!I$110</f>
        <v>0</v>
      </c>
      <c r="I73" s="30">
        <f>'Tuesday WK5 (31)'!J$110</f>
        <v>0</v>
      </c>
      <c r="J73" s="30">
        <v>0</v>
      </c>
      <c r="K73" s="30">
        <v>0</v>
      </c>
      <c r="L73" s="211" t="s">
        <v>947</v>
      </c>
    </row>
    <row r="74" spans="1:12" ht="21" x14ac:dyDescent="0.35">
      <c r="A74" s="29">
        <f t="shared" si="12"/>
        <v>46225</v>
      </c>
      <c r="B74" s="30">
        <f>'Wednesday WK5 (32)'!C$110</f>
        <v>0</v>
      </c>
      <c r="C74" s="30">
        <f>'Wednesday WK5 (32)'!D$110</f>
        <v>0</v>
      </c>
      <c r="D74" s="30">
        <f>'Wednesday WK5 (32)'!E$110</f>
        <v>0</v>
      </c>
      <c r="E74" s="30">
        <f>'Wednesday WK5 (32)'!F$110</f>
        <v>0</v>
      </c>
      <c r="F74" s="30">
        <f>'Wednesday WK5 (32)'!G$110</f>
        <v>0</v>
      </c>
      <c r="G74" s="30">
        <f>'Wednesday WK5 (32)'!H$110</f>
        <v>0</v>
      </c>
      <c r="H74" s="30">
        <f>'Wednesday WK5 (32)'!I$110</f>
        <v>0</v>
      </c>
      <c r="I74" s="30">
        <f>'Wednesday WK5 (32)'!J$110</f>
        <v>0</v>
      </c>
      <c r="J74" s="30">
        <v>0</v>
      </c>
      <c r="K74" s="30">
        <v>0</v>
      </c>
      <c r="L74" s="211" t="s">
        <v>947</v>
      </c>
    </row>
    <row r="75" spans="1:12" ht="21" x14ac:dyDescent="0.35">
      <c r="A75" s="29">
        <f t="shared" si="12"/>
        <v>46226</v>
      </c>
      <c r="B75" s="30">
        <f>'Thursday WK5 (33)'!C$110</f>
        <v>0</v>
      </c>
      <c r="C75" s="30">
        <f>'Thursday WK5 (33)'!D$110</f>
        <v>0</v>
      </c>
      <c r="D75" s="30">
        <f>'Thursday WK5 (33)'!E$110</f>
        <v>0</v>
      </c>
      <c r="E75" s="30">
        <f>'Thursday WK5 (33)'!F$110</f>
        <v>0</v>
      </c>
      <c r="F75" s="30">
        <f>'Thursday WK5 (33)'!G$110</f>
        <v>0</v>
      </c>
      <c r="G75" s="30">
        <f>'Thursday WK5 (33)'!H$110</f>
        <v>0</v>
      </c>
      <c r="H75" s="30">
        <f>'Thursday WK5 (33)'!I$110</f>
        <v>0</v>
      </c>
      <c r="I75" s="30">
        <f>'Thursday WK5 (33)'!J$110</f>
        <v>0</v>
      </c>
      <c r="J75" s="30">
        <v>0</v>
      </c>
      <c r="K75" s="30">
        <v>0</v>
      </c>
      <c r="L75" s="211" t="s">
        <v>947</v>
      </c>
    </row>
    <row r="76" spans="1:12" ht="21" x14ac:dyDescent="0.35">
      <c r="A76" s="29">
        <f t="shared" si="12"/>
        <v>46227</v>
      </c>
      <c r="B76" s="30">
        <f>'Friday WK5 (34)'!C$110</f>
        <v>0</v>
      </c>
      <c r="C76" s="30">
        <f>'Friday WK5 (34)'!D$110</f>
        <v>0</v>
      </c>
      <c r="D76" s="30">
        <f>'Friday WK5 (34)'!E$110</f>
        <v>0</v>
      </c>
      <c r="E76" s="30">
        <f>'Friday WK5 (34)'!F$110</f>
        <v>0</v>
      </c>
      <c r="F76" s="30">
        <f>'Friday WK5 (34)'!G$110</f>
        <v>0</v>
      </c>
      <c r="G76" s="30">
        <f>'Friday WK5 (34)'!H$110</f>
        <v>0</v>
      </c>
      <c r="H76" s="30">
        <f>'Friday WK5 (34)'!I$110</f>
        <v>0</v>
      </c>
      <c r="I76" s="30">
        <f>'Friday WK5 (34)'!J$110</f>
        <v>0</v>
      </c>
      <c r="J76" s="30">
        <v>0</v>
      </c>
      <c r="K76" s="30">
        <v>0</v>
      </c>
      <c r="L76" s="211" t="s">
        <v>947</v>
      </c>
    </row>
    <row r="77" spans="1:12" ht="21" x14ac:dyDescent="0.35">
      <c r="A77" s="29">
        <f t="shared" si="12"/>
        <v>46228</v>
      </c>
      <c r="B77" s="30">
        <f>'Saturday WK5 (35)'!C$110</f>
        <v>0</v>
      </c>
      <c r="C77" s="30">
        <f>'Saturday WK5 (35)'!D$110</f>
        <v>0</v>
      </c>
      <c r="D77" s="30">
        <f>'Saturday WK5 (35)'!E$110</f>
        <v>0</v>
      </c>
      <c r="E77" s="30">
        <f>'Saturday WK5 (35)'!F$110</f>
        <v>0</v>
      </c>
      <c r="F77" s="30">
        <f>'Saturday WK5 (35)'!G$110</f>
        <v>0</v>
      </c>
      <c r="G77" s="30">
        <f>'Saturday WK5 (35)'!H$110</f>
        <v>0</v>
      </c>
      <c r="H77" s="30">
        <f>'Saturday WK5 (35)'!I$110</f>
        <v>0</v>
      </c>
      <c r="I77" s="30">
        <f>'Saturday WK5 (35)'!J$110</f>
        <v>0</v>
      </c>
      <c r="J77" s="30">
        <v>0</v>
      </c>
      <c r="K77" s="30">
        <v>0</v>
      </c>
      <c r="L77" s="211" t="s">
        <v>947</v>
      </c>
    </row>
    <row r="78" spans="1:12" ht="21" x14ac:dyDescent="0.35">
      <c r="A78" s="44" t="s">
        <v>950</v>
      </c>
      <c r="B78" s="30">
        <f>SUM(B43:B77)</f>
        <v>2697.75</v>
      </c>
      <c r="C78" s="30">
        <f t="shared" ref="C78:I78" si="13">SUM(C43:C77)</f>
        <v>0</v>
      </c>
      <c r="D78" s="30">
        <f t="shared" si="13"/>
        <v>1353.36</v>
      </c>
      <c r="E78" s="30">
        <f t="shared" si="13"/>
        <v>0</v>
      </c>
      <c r="F78" s="30">
        <f t="shared" si="13"/>
        <v>0</v>
      </c>
      <c r="G78" s="30">
        <f t="shared" si="13"/>
        <v>0</v>
      </c>
      <c r="H78" s="30">
        <f t="shared" si="13"/>
        <v>0.01</v>
      </c>
      <c r="I78" s="30">
        <f t="shared" si="13"/>
        <v>0</v>
      </c>
      <c r="J78" s="30">
        <f>SUM(J43:J77)</f>
        <v>0</v>
      </c>
      <c r="K78" s="30" t="e">
        <f t="shared" ref="K78" si="14">SUM(K43:K77)</f>
        <v>#REF!</v>
      </c>
      <c r="L78" s="211" t="s">
        <v>947</v>
      </c>
    </row>
    <row r="80" spans="1:12" x14ac:dyDescent="0.25">
      <c r="A80" s="4" t="s">
        <v>0</v>
      </c>
      <c r="L80" s="4" t="s">
        <v>950</v>
      </c>
    </row>
    <row r="81" spans="1:15" ht="21" x14ac:dyDescent="0.35">
      <c r="A81" s="32">
        <f>A43</f>
        <v>46194</v>
      </c>
      <c r="B81" s="30">
        <f>'Sunday WK1 (1)'!C56</f>
        <v>123.79722</v>
      </c>
      <c r="C81" s="30">
        <f>'Sunday WK1 (1)'!D56</f>
        <v>0</v>
      </c>
      <c r="D81" s="30">
        <f>'Sunday WK1 (1)'!E56</f>
        <v>25.640010000000004</v>
      </c>
      <c r="E81" s="30">
        <f>'Sunday WK1 (1)'!F56</f>
        <v>0</v>
      </c>
      <c r="F81" s="30">
        <f>'Sunday WK1 (1)'!G56</f>
        <v>0</v>
      </c>
      <c r="G81" s="30">
        <f>'Sunday WK1 (1)'!H56</f>
        <v>0</v>
      </c>
      <c r="H81" s="30">
        <f>'Sunday WK1 (1)'!I56</f>
        <v>41.179410000000004</v>
      </c>
      <c r="I81" s="30">
        <f>'Sunday WK1 (1)'!J56</f>
        <v>31.596779999999999</v>
      </c>
      <c r="J81" s="30">
        <f>'Sunday WK1 (1)'!K56</f>
        <v>36.776579999999996</v>
      </c>
      <c r="L81" s="491">
        <f t="shared" ref="L81" si="15">B81+C81+H81+D81+I81+J81</f>
        <v>258.99</v>
      </c>
      <c r="M81" s="491"/>
      <c r="N81" s="491"/>
      <c r="O81" s="211" t="s">
        <v>947</v>
      </c>
    </row>
    <row r="82" spans="1:15" ht="21" x14ac:dyDescent="0.35">
      <c r="A82" s="32">
        <f t="shared" ref="A82:A116" si="16">A44</f>
        <v>46195</v>
      </c>
      <c r="B82" s="30">
        <f>'Monday WK1 (2)'!C$56</f>
        <v>0</v>
      </c>
      <c r="C82" s="30">
        <f>'Monday WK1 (2)'!D$56</f>
        <v>0</v>
      </c>
      <c r="D82" s="30">
        <f>'Monday WK1 (2)'!E$56</f>
        <v>0</v>
      </c>
      <c r="E82" s="30">
        <f>'Monday WK1 (2)'!F$56</f>
        <v>0</v>
      </c>
      <c r="F82" s="30">
        <f>'Monday WK1 (2)'!G$56</f>
        <v>0</v>
      </c>
      <c r="G82" s="30">
        <f>'Monday WK1 (2)'!H$56</f>
        <v>0</v>
      </c>
      <c r="H82" s="30">
        <f>'Monday WK1 (2)'!I$56</f>
        <v>0</v>
      </c>
      <c r="I82" s="30">
        <f>'Monday WK1 (2)'!J$56</f>
        <v>0</v>
      </c>
      <c r="J82" s="30">
        <f>'Monday WK1 (2)'!K$56</f>
        <v>0</v>
      </c>
      <c r="L82" s="491">
        <f t="shared" ref="L82:L84" si="17">B82+C82+H82+D82+I82+J82</f>
        <v>0</v>
      </c>
      <c r="M82" s="491"/>
      <c r="N82" s="491"/>
      <c r="O82" s="211" t="s">
        <v>947</v>
      </c>
    </row>
    <row r="83" spans="1:15" ht="21" x14ac:dyDescent="0.35">
      <c r="A83" s="32">
        <f t="shared" si="16"/>
        <v>46196</v>
      </c>
      <c r="B83" s="30">
        <f>'Tuesday WK1 (3)'!C$56</f>
        <v>136.79882000000001</v>
      </c>
      <c r="C83" s="30">
        <f>'Tuesday WK1 (3)'!D$56</f>
        <v>0</v>
      </c>
      <c r="D83" s="30">
        <f>'Tuesday WK1 (3)'!E$56</f>
        <v>28.332810000000002</v>
      </c>
      <c r="E83" s="30">
        <f>'Tuesday WK1 (3)'!F$56</f>
        <v>0</v>
      </c>
      <c r="F83" s="30">
        <f>'Tuesday WK1 (3)'!G$56</f>
        <v>0</v>
      </c>
      <c r="G83" s="30">
        <f>'Tuesday WK1 (3)'!H$56</f>
        <v>0</v>
      </c>
      <c r="H83" s="30">
        <f>'Tuesday WK1 (3)'!I$56</f>
        <v>45.50421</v>
      </c>
      <c r="I83" s="30">
        <f>'Tuesday WK1 (3)'!J$56</f>
        <v>34.915179999999999</v>
      </c>
      <c r="J83" s="30">
        <f>'Tuesday WK1 (3)'!K$56</f>
        <v>40.638979999999997</v>
      </c>
      <c r="L83" s="491">
        <f t="shared" si="17"/>
        <v>286.19</v>
      </c>
      <c r="M83" s="491"/>
      <c r="N83" s="491"/>
      <c r="O83" s="211" t="s">
        <v>947</v>
      </c>
    </row>
    <row r="84" spans="1:15" ht="21" x14ac:dyDescent="0.35">
      <c r="A84" s="32">
        <f t="shared" si="16"/>
        <v>46197</v>
      </c>
      <c r="B84" s="30">
        <f>'Wednesday WK1 (4)'!C$55</f>
        <v>0</v>
      </c>
      <c r="C84" s="30">
        <f>'Wednesday WK1 (4)'!D$55</f>
        <v>0</v>
      </c>
      <c r="D84" s="30">
        <f>'Wednesday WK1 (4)'!E$55</f>
        <v>0</v>
      </c>
      <c r="E84" s="30">
        <f>'Wednesday WK1 (4)'!F$55</f>
        <v>0</v>
      </c>
      <c r="F84" s="30">
        <f>'Wednesday WK1 (4)'!G$55</f>
        <v>0</v>
      </c>
      <c r="G84" s="30">
        <f>'Wednesday WK1 (4)'!H$55</f>
        <v>0</v>
      </c>
      <c r="H84" s="30">
        <f>'Wednesday WK1 (4)'!I$55</f>
        <v>0</v>
      </c>
      <c r="I84" s="30">
        <f>'Wednesday WK1 (4)'!J$55</f>
        <v>0</v>
      </c>
      <c r="J84" s="30">
        <f>'Wednesday WK1 (4)'!K$55</f>
        <v>0</v>
      </c>
      <c r="L84" s="491">
        <f t="shared" si="17"/>
        <v>0</v>
      </c>
      <c r="M84" s="491"/>
      <c r="N84" s="491"/>
      <c r="O84" s="211" t="s">
        <v>947</v>
      </c>
    </row>
    <row r="85" spans="1:15" ht="21" x14ac:dyDescent="0.35">
      <c r="A85" s="32">
        <f t="shared" si="16"/>
        <v>46198</v>
      </c>
      <c r="B85" s="30">
        <f>'Thursday WK1 (5)'!C$56</f>
        <v>186.55383999999998</v>
      </c>
      <c r="C85" s="30">
        <f>'Thursday WK1 (5)'!D$56</f>
        <v>0</v>
      </c>
      <c r="D85" s="30">
        <f>'Thursday WK1 (5)'!E$56</f>
        <v>38.637720000000002</v>
      </c>
      <c r="E85" s="30">
        <f>'Thursday WK1 (5)'!F$56</f>
        <v>0</v>
      </c>
      <c r="F85" s="30">
        <f>'Thursday WK1 (5)'!G$56</f>
        <v>0</v>
      </c>
      <c r="G85" s="30">
        <f>'Thursday WK1 (5)'!H$56</f>
        <v>0</v>
      </c>
      <c r="H85" s="30">
        <f>'Thursday WK1 (5)'!I$56</f>
        <v>62.054519999999997</v>
      </c>
      <c r="I85" s="30">
        <f>'Thursday WK1 (5)'!J$56</f>
        <v>47.614159999999998</v>
      </c>
      <c r="J85" s="30">
        <f>'Thursday WK1 (5)'!K$56</f>
        <v>55.419759999999989</v>
      </c>
      <c r="L85" s="491">
        <f t="shared" ref="L85:L115" si="18">B85+C85+H85+D85+I85+J85</f>
        <v>390.28</v>
      </c>
      <c r="M85" s="491"/>
      <c r="N85" s="491"/>
      <c r="O85" s="211" t="s">
        <v>947</v>
      </c>
    </row>
    <row r="86" spans="1:15" ht="21" x14ac:dyDescent="0.35">
      <c r="A86" s="32">
        <f t="shared" si="16"/>
        <v>46199</v>
      </c>
      <c r="B86" s="30">
        <f>'Friday WK1 (6)'!C$56</f>
        <v>0</v>
      </c>
      <c r="C86" s="30">
        <f>'Friday WK1 (6)'!D$56</f>
        <v>0</v>
      </c>
      <c r="D86" s="30">
        <f>'Friday WK1 (6)'!E$56</f>
        <v>0</v>
      </c>
      <c r="E86" s="30">
        <f>'Friday WK1 (6)'!F$56</f>
        <v>0</v>
      </c>
      <c r="F86" s="30">
        <f>'Friday WK1 (6)'!G$56</f>
        <v>0</v>
      </c>
      <c r="G86" s="30">
        <f>'Friday WK1 (6)'!H$56</f>
        <v>0</v>
      </c>
      <c r="H86" s="30">
        <f>'Friday WK1 (6)'!I$56</f>
        <v>0</v>
      </c>
      <c r="I86" s="30">
        <f>'Friday WK1 (6)'!J$56</f>
        <v>0</v>
      </c>
      <c r="J86" s="30">
        <f>'Friday WK1 (6)'!K$56</f>
        <v>0</v>
      </c>
      <c r="L86" s="491">
        <f t="shared" si="18"/>
        <v>0</v>
      </c>
      <c r="M86" s="491"/>
      <c r="N86" s="491"/>
      <c r="O86" s="211" t="s">
        <v>947</v>
      </c>
    </row>
    <row r="87" spans="1:15" ht="21" x14ac:dyDescent="0.35">
      <c r="A87" s="32">
        <f t="shared" si="16"/>
        <v>46200</v>
      </c>
      <c r="B87" s="30">
        <f>'Saturday WK1 (7)'!C$56</f>
        <v>0</v>
      </c>
      <c r="C87" s="30">
        <f>'Saturday WK1 (7)'!D$56</f>
        <v>0</v>
      </c>
      <c r="D87" s="30">
        <f>'Saturday WK1 (7)'!E$56</f>
        <v>0</v>
      </c>
      <c r="E87" s="30">
        <f>'Saturday WK1 (7)'!F$56</f>
        <v>0</v>
      </c>
      <c r="F87" s="30">
        <f>'Saturday WK1 (7)'!G$56</f>
        <v>0</v>
      </c>
      <c r="G87" s="30">
        <f>'Saturday WK1 (7)'!H$56</f>
        <v>0</v>
      </c>
      <c r="H87" s="30">
        <f>'Saturday WK1 (7)'!I$56</f>
        <v>0</v>
      </c>
      <c r="I87" s="30">
        <f>'Saturday WK1 (7)'!J$56</f>
        <v>0</v>
      </c>
      <c r="J87" s="30">
        <f>'Saturday WK1 (7)'!K$56</f>
        <v>0</v>
      </c>
      <c r="L87" s="491">
        <f t="shared" si="18"/>
        <v>0</v>
      </c>
      <c r="M87" s="491"/>
      <c r="N87" s="491"/>
      <c r="O87" s="211" t="s">
        <v>947</v>
      </c>
    </row>
    <row r="88" spans="1:15" ht="21" x14ac:dyDescent="0.35">
      <c r="A88" s="32">
        <f t="shared" si="16"/>
        <v>46201</v>
      </c>
      <c r="B88" s="30">
        <f>'Sunday WK2 (8)'!C$56</f>
        <v>166.28663999999998</v>
      </c>
      <c r="C88" s="30">
        <f>'Sunday WK2 (8)'!D$56</f>
        <v>0</v>
      </c>
      <c r="D88" s="30">
        <f>'Sunday WK2 (8)'!E$56</f>
        <v>34.44012</v>
      </c>
      <c r="E88" s="30">
        <f>'Sunday WK2 (8)'!F$56</f>
        <v>0</v>
      </c>
      <c r="F88" s="30">
        <f>'Sunday WK2 (8)'!G$56</f>
        <v>0</v>
      </c>
      <c r="G88" s="30">
        <f>'Sunday WK2 (8)'!H$56</f>
        <v>0</v>
      </c>
      <c r="H88" s="30">
        <f>'Sunday WK2 (8)'!I$56</f>
        <v>55.312919999999998</v>
      </c>
      <c r="I88" s="30">
        <f>'Sunday WK2 (8)'!J$56</f>
        <v>42.441359999999996</v>
      </c>
      <c r="J88" s="30">
        <f>'Sunday WK2 (8)'!K$56</f>
        <v>49.398959999999995</v>
      </c>
      <c r="L88" s="491">
        <f t="shared" si="18"/>
        <v>347.87999999999994</v>
      </c>
      <c r="M88" s="491"/>
      <c r="N88" s="491"/>
      <c r="O88" s="211" t="s">
        <v>947</v>
      </c>
    </row>
    <row r="89" spans="1:15" ht="21" x14ac:dyDescent="0.35">
      <c r="A89" s="32">
        <f t="shared" si="16"/>
        <v>46202</v>
      </c>
      <c r="B89" s="30">
        <f>'Monday WK2 (9)'!C$56</f>
        <v>0</v>
      </c>
      <c r="C89" s="30">
        <f>'Monday WK2 (9)'!D$56</f>
        <v>0</v>
      </c>
      <c r="D89" s="30">
        <f>'Monday WK2 (9)'!E$56</f>
        <v>0</v>
      </c>
      <c r="E89" s="30">
        <f>'Monday WK2 (9)'!F$56</f>
        <v>0</v>
      </c>
      <c r="F89" s="30">
        <f>'Monday WK2 (9)'!G$56</f>
        <v>0</v>
      </c>
      <c r="G89" s="30">
        <f>'Monday WK2 (9)'!H$56</f>
        <v>0</v>
      </c>
      <c r="H89" s="30">
        <f>'Monday WK2 (9)'!I$56</f>
        <v>0</v>
      </c>
      <c r="I89" s="30">
        <f>'Monday WK2 (9)'!J$56</f>
        <v>0</v>
      </c>
      <c r="J89" s="30">
        <f>'Monday WK2 (9)'!K$56</f>
        <v>0</v>
      </c>
      <c r="L89" s="491">
        <f t="shared" si="18"/>
        <v>0</v>
      </c>
      <c r="M89" s="491"/>
      <c r="N89" s="491"/>
      <c r="O89" s="211" t="s">
        <v>947</v>
      </c>
    </row>
    <row r="90" spans="1:15" ht="21" x14ac:dyDescent="0.35">
      <c r="A90" s="32">
        <f t="shared" si="16"/>
        <v>46203</v>
      </c>
      <c r="B90" s="30">
        <f>'Tuesday WK2 (10)'!C$56</f>
        <v>197.46657999999999</v>
      </c>
      <c r="C90" s="30">
        <f>'Tuesday WK2 (10)'!D$56</f>
        <v>0</v>
      </c>
      <c r="D90" s="30">
        <f>'Tuesday WK2 (10)'!E$56</f>
        <v>40.897890000000004</v>
      </c>
      <c r="E90" s="30">
        <f>'Tuesday WK2 (10)'!F$56</f>
        <v>0</v>
      </c>
      <c r="F90" s="30">
        <f>'Tuesday WK2 (10)'!G$56</f>
        <v>0</v>
      </c>
      <c r="G90" s="30">
        <f>'Tuesday WK2 (10)'!H$56</f>
        <v>0</v>
      </c>
      <c r="H90" s="30">
        <f>'Tuesday WK2 (10)'!I$56</f>
        <v>65.684489999999997</v>
      </c>
      <c r="I90" s="30">
        <f>'Tuesday WK2 (10)'!J$56</f>
        <v>50.399419999999999</v>
      </c>
      <c r="J90" s="30">
        <f>'Tuesday WK2 (10)'!K$56</f>
        <v>58.661619999999999</v>
      </c>
      <c r="L90" s="491">
        <f t="shared" si="18"/>
        <v>413.11</v>
      </c>
      <c r="M90" s="491"/>
      <c r="N90" s="491"/>
      <c r="O90" s="211" t="s">
        <v>947</v>
      </c>
    </row>
    <row r="91" spans="1:15" ht="21" x14ac:dyDescent="0.35">
      <c r="A91" s="32">
        <f t="shared" si="16"/>
        <v>46204</v>
      </c>
      <c r="B91" s="30">
        <f>'Wednesday WK2 (11)'!C$56</f>
        <v>0</v>
      </c>
      <c r="C91" s="30">
        <f>'Wednesday WK2 (11)'!D$56</f>
        <v>0</v>
      </c>
      <c r="D91" s="30">
        <f>'Wednesday WK2 (11)'!E$56</f>
        <v>0</v>
      </c>
      <c r="E91" s="30">
        <f>'Wednesday WK2 (11)'!F$56</f>
        <v>0</v>
      </c>
      <c r="F91" s="30">
        <f>'Wednesday WK2 (11)'!G$56</f>
        <v>0</v>
      </c>
      <c r="G91" s="30">
        <f>'Wednesday WK2 (11)'!H$56</f>
        <v>0</v>
      </c>
      <c r="H91" s="30">
        <f>'Wednesday WK2 (11)'!I$56</f>
        <v>0</v>
      </c>
      <c r="I91" s="30">
        <f>'Wednesday WK2 (11)'!J$56</f>
        <v>0</v>
      </c>
      <c r="J91" s="30">
        <f>'Wednesday WK2 (11)'!K$56</f>
        <v>0</v>
      </c>
      <c r="L91" s="491">
        <f t="shared" si="18"/>
        <v>0</v>
      </c>
      <c r="M91" s="491"/>
      <c r="N91" s="491"/>
      <c r="O91" s="211" t="s">
        <v>947</v>
      </c>
    </row>
    <row r="92" spans="1:15" ht="21" x14ac:dyDescent="0.35">
      <c r="A92" s="32">
        <f t="shared" si="16"/>
        <v>46205</v>
      </c>
      <c r="B92" s="30">
        <f>'Thursday WK2 (12)'!C$56</f>
        <v>121.75615999999999</v>
      </c>
      <c r="C92" s="30">
        <f>'Thursday WK2 (12)'!D$56</f>
        <v>0</v>
      </c>
      <c r="D92" s="30">
        <f>'Thursday WK2 (12)'!E$56</f>
        <v>25.217280000000002</v>
      </c>
      <c r="E92" s="30">
        <f>'Thursday WK2 (12)'!F$56</f>
        <v>0</v>
      </c>
      <c r="F92" s="30">
        <f>'Thursday WK2 (12)'!G$56</f>
        <v>0</v>
      </c>
      <c r="G92" s="30">
        <f>'Thursday WK2 (12)'!H$56</f>
        <v>0</v>
      </c>
      <c r="H92" s="30">
        <f>'Thursday WK2 (12)'!I$56</f>
        <v>40.500480000000003</v>
      </c>
      <c r="I92" s="30">
        <f>'Thursday WK2 (12)'!J$56</f>
        <v>31.075839999999999</v>
      </c>
      <c r="J92" s="30">
        <f>'Thursday WK2 (12)'!K$56</f>
        <v>36.17024</v>
      </c>
      <c r="L92" s="491">
        <f t="shared" si="18"/>
        <v>254.72000000000003</v>
      </c>
      <c r="M92" s="491"/>
      <c r="N92" s="491"/>
      <c r="O92" s="211" t="s">
        <v>947</v>
      </c>
    </row>
    <row r="93" spans="1:15" ht="21" x14ac:dyDescent="0.35">
      <c r="A93" s="32">
        <f t="shared" si="16"/>
        <v>46206</v>
      </c>
      <c r="B93" s="30">
        <f>'Friday WK2 (13)'!C$56</f>
        <v>0</v>
      </c>
      <c r="C93" s="30">
        <f>'Friday WK2 (13)'!D$56</f>
        <v>0</v>
      </c>
      <c r="D93" s="30">
        <f>'Friday WK2 (13)'!E$56</f>
        <v>0</v>
      </c>
      <c r="E93" s="30">
        <f>'Friday WK2 (13)'!F$56</f>
        <v>0</v>
      </c>
      <c r="F93" s="30">
        <f>'Friday WK2 (13)'!G$56</f>
        <v>0</v>
      </c>
      <c r="G93" s="30">
        <f>'Friday WK2 (13)'!H$56</f>
        <v>0</v>
      </c>
      <c r="H93" s="30">
        <f>'Friday WK2 (13)'!I$56</f>
        <v>0</v>
      </c>
      <c r="I93" s="30">
        <f>'Friday WK2 (13)'!J$56</f>
        <v>0</v>
      </c>
      <c r="J93" s="30">
        <f>'Friday WK2 (13)'!K$56</f>
        <v>0</v>
      </c>
      <c r="L93" s="491">
        <f t="shared" si="18"/>
        <v>0</v>
      </c>
      <c r="M93" s="491"/>
      <c r="N93" s="491"/>
      <c r="O93" s="211" t="s">
        <v>947</v>
      </c>
    </row>
    <row r="94" spans="1:15" ht="21" x14ac:dyDescent="0.35">
      <c r="A94" s="32">
        <f t="shared" si="16"/>
        <v>46207</v>
      </c>
      <c r="B94" s="30">
        <f>'Saturday WK2 (14)'!C$56</f>
        <v>0</v>
      </c>
      <c r="C94" s="30">
        <f>'Saturday WK2 (14)'!D$56</f>
        <v>0</v>
      </c>
      <c r="D94" s="30">
        <f>'Saturday WK2 (14)'!E$56</f>
        <v>0</v>
      </c>
      <c r="E94" s="30">
        <f>'Saturday WK2 (14)'!F$56</f>
        <v>0</v>
      </c>
      <c r="F94" s="30">
        <f>'Saturday WK2 (14)'!G$56</f>
        <v>0</v>
      </c>
      <c r="G94" s="30">
        <f>'Saturday WK2 (14)'!H$56</f>
        <v>0</v>
      </c>
      <c r="H94" s="30">
        <f>'Saturday WK2 (14)'!I$56</f>
        <v>0</v>
      </c>
      <c r="I94" s="30">
        <f>'Saturday WK2 (14)'!J$56</f>
        <v>0</v>
      </c>
      <c r="J94" s="30">
        <f>'Saturday WK2 (14)'!K$56</f>
        <v>0</v>
      </c>
      <c r="L94" s="491">
        <f t="shared" si="18"/>
        <v>0</v>
      </c>
      <c r="M94" s="491"/>
      <c r="N94" s="491"/>
      <c r="O94" s="211" t="s">
        <v>947</v>
      </c>
    </row>
    <row r="95" spans="1:15" ht="21" x14ac:dyDescent="0.35">
      <c r="A95" s="32">
        <f t="shared" si="16"/>
        <v>46208</v>
      </c>
      <c r="B95" s="30">
        <f>'Sunday WK3 (15)'!C$56</f>
        <v>175.64587999999998</v>
      </c>
      <c r="C95" s="30">
        <f>'Sunday WK3 (15)'!D$56</f>
        <v>0</v>
      </c>
      <c r="D95" s="30">
        <f>'Sunday WK3 (15)'!E$56</f>
        <v>36.378540000000001</v>
      </c>
      <c r="E95" s="30">
        <f>'Sunday WK3 (15)'!F$56</f>
        <v>0</v>
      </c>
      <c r="F95" s="30">
        <f>'Sunday WK3 (15)'!G$56</f>
        <v>0</v>
      </c>
      <c r="G95" s="30">
        <f>'Sunday WK3 (15)'!H$56</f>
        <v>0</v>
      </c>
      <c r="H95" s="30">
        <f>'Sunday WK3 (15)'!I$56</f>
        <v>58.426139999999997</v>
      </c>
      <c r="I95" s="30">
        <f>'Sunday WK3 (15)'!J$56</f>
        <v>44.830119999999994</v>
      </c>
      <c r="J95" s="30">
        <f>'Sunday WK3 (15)'!K$56</f>
        <v>52.17931999999999</v>
      </c>
      <c r="L95" s="491">
        <f t="shared" si="18"/>
        <v>367.45999999999992</v>
      </c>
      <c r="M95" s="491"/>
      <c r="N95" s="491"/>
      <c r="O95" s="211" t="s">
        <v>947</v>
      </c>
    </row>
    <row r="96" spans="1:15" ht="21" x14ac:dyDescent="0.35">
      <c r="A96" s="32">
        <f t="shared" si="16"/>
        <v>46209</v>
      </c>
      <c r="B96" s="30">
        <f>'Monday WK3 (16)'!C$56</f>
        <v>0</v>
      </c>
      <c r="C96" s="30">
        <f>'Monday WK3 (16)'!D$56</f>
        <v>0</v>
      </c>
      <c r="D96" s="30">
        <f>'Monday WK3 (16)'!E$56</f>
        <v>0</v>
      </c>
      <c r="E96" s="30">
        <f>'Monday WK3 (16)'!F$56</f>
        <v>0</v>
      </c>
      <c r="F96" s="30">
        <f>'Monday WK3 (16)'!G$56</f>
        <v>0</v>
      </c>
      <c r="G96" s="30">
        <f>'Monday WK3 (16)'!H$56</f>
        <v>0</v>
      </c>
      <c r="H96" s="30">
        <f>'Monday WK3 (16)'!I$56</f>
        <v>0</v>
      </c>
      <c r="I96" s="30">
        <f>'Monday WK3 (16)'!J$56</f>
        <v>0</v>
      </c>
      <c r="J96" s="30">
        <f>'Monday WK3 (16)'!K$56</f>
        <v>0</v>
      </c>
      <c r="L96" s="491">
        <f t="shared" si="18"/>
        <v>0</v>
      </c>
      <c r="M96" s="491"/>
      <c r="N96" s="491"/>
      <c r="O96" s="211" t="s">
        <v>947</v>
      </c>
    </row>
    <row r="97" spans="1:15" ht="21" x14ac:dyDescent="0.35">
      <c r="A97" s="32">
        <f t="shared" si="16"/>
        <v>46210</v>
      </c>
      <c r="B97" s="30">
        <f>'Tuesday WK3 (17)'!C$56</f>
        <v>186.85975999999999</v>
      </c>
      <c r="C97" s="30">
        <f>'Tuesday WK3 (17)'!D$56</f>
        <v>0</v>
      </c>
      <c r="D97" s="30">
        <f>'Tuesday WK3 (17)'!E$56</f>
        <v>38.701080000000005</v>
      </c>
      <c r="E97" s="30">
        <f>'Tuesday WK3 (17)'!F$56</f>
        <v>0</v>
      </c>
      <c r="F97" s="30">
        <f>'Tuesday WK3 (17)'!G$56</f>
        <v>0</v>
      </c>
      <c r="G97" s="30">
        <f>'Tuesday WK3 (17)'!H$56</f>
        <v>0</v>
      </c>
      <c r="H97" s="30">
        <f>'Tuesday WK3 (17)'!I$56</f>
        <v>62.156280000000002</v>
      </c>
      <c r="I97" s="30">
        <f>'Tuesday WK3 (17)'!J$56</f>
        <v>47.692239999999998</v>
      </c>
      <c r="J97" s="30">
        <f>'Tuesday WK3 (17)'!K$56</f>
        <v>55.510639999999995</v>
      </c>
      <c r="L97" s="491">
        <f t="shared" si="18"/>
        <v>390.91999999999996</v>
      </c>
      <c r="M97" s="491"/>
      <c r="N97" s="491"/>
      <c r="O97" s="211" t="s">
        <v>947</v>
      </c>
    </row>
    <row r="98" spans="1:15" ht="21" x14ac:dyDescent="0.35">
      <c r="A98" s="32">
        <f t="shared" si="16"/>
        <v>46211</v>
      </c>
      <c r="B98" s="30">
        <f>'Wednesday WK3 (18)'!C$56</f>
        <v>0</v>
      </c>
      <c r="C98" s="30">
        <f>'Wednesday WK3 (18)'!D$56</f>
        <v>0</v>
      </c>
      <c r="D98" s="30">
        <f>'Wednesday WK3 (18)'!E$56</f>
        <v>0</v>
      </c>
      <c r="E98" s="30">
        <f>'Wednesday WK3 (18)'!F$56</f>
        <v>0</v>
      </c>
      <c r="F98" s="30">
        <f>'Wednesday WK3 (18)'!G$56</f>
        <v>0</v>
      </c>
      <c r="G98" s="30">
        <f>'Wednesday WK3 (18)'!H$56</f>
        <v>0</v>
      </c>
      <c r="H98" s="30">
        <f>'Wednesday WK3 (18)'!I$56</f>
        <v>0</v>
      </c>
      <c r="I98" s="30">
        <f>'Wednesday WK3 (18)'!J$56</f>
        <v>0</v>
      </c>
      <c r="J98" s="30">
        <f>'Wednesday WK3 (18)'!K$56</f>
        <v>0</v>
      </c>
      <c r="L98" s="491">
        <f t="shared" si="18"/>
        <v>0</v>
      </c>
      <c r="M98" s="491"/>
      <c r="N98" s="491"/>
      <c r="O98" s="211" t="s">
        <v>947</v>
      </c>
    </row>
    <row r="99" spans="1:15" ht="21" x14ac:dyDescent="0.35">
      <c r="A99" s="32">
        <f t="shared" si="16"/>
        <v>46212</v>
      </c>
      <c r="B99" s="30">
        <f>'Thursday WK3 (19)'!C$56</f>
        <v>261.90097999999995</v>
      </c>
      <c r="C99" s="30">
        <f>'Thursday WK3 (19)'!D$56</f>
        <v>0</v>
      </c>
      <c r="D99" s="30">
        <f>'Thursday WK3 (19)'!E$56</f>
        <v>54.243090000000002</v>
      </c>
      <c r="E99" s="30">
        <f>'Thursday WK3 (19)'!F$56</f>
        <v>0</v>
      </c>
      <c r="F99" s="30">
        <f>'Thursday WK3 (19)'!G$56</f>
        <v>0</v>
      </c>
      <c r="G99" s="30">
        <f>'Thursday WK3 (19)'!H$56</f>
        <v>0</v>
      </c>
      <c r="H99" s="30">
        <f>'Thursday WK3 (19)'!I$56</f>
        <v>87.117689999999996</v>
      </c>
      <c r="I99" s="30">
        <f>'Thursday WK3 (19)'!J$56</f>
        <v>66.845019999999991</v>
      </c>
      <c r="J99" s="30">
        <f>'Thursday WK3 (19)'!K$56</f>
        <v>77.803219999999982</v>
      </c>
      <c r="L99" s="491">
        <f t="shared" si="18"/>
        <v>547.90999999999985</v>
      </c>
      <c r="M99" s="491"/>
      <c r="N99" s="491"/>
      <c r="O99" s="211" t="s">
        <v>947</v>
      </c>
    </row>
    <row r="100" spans="1:15" ht="21" x14ac:dyDescent="0.35">
      <c r="A100" s="32">
        <f t="shared" si="16"/>
        <v>46213</v>
      </c>
      <c r="B100" s="30">
        <f>'Friday WK3 (20)'!C$56</f>
        <v>0</v>
      </c>
      <c r="C100" s="30">
        <f>'Friday WK3 (20)'!D$56</f>
        <v>0</v>
      </c>
      <c r="D100" s="30">
        <f>'Friday WK3 (20)'!E$56</f>
        <v>0</v>
      </c>
      <c r="E100" s="30">
        <f>'Friday WK3 (20)'!F$56</f>
        <v>0</v>
      </c>
      <c r="F100" s="30">
        <f>'Friday WK3 (20)'!G$56</f>
        <v>0</v>
      </c>
      <c r="G100" s="30">
        <f>'Friday WK3 (20)'!H$56</f>
        <v>0</v>
      </c>
      <c r="H100" s="30">
        <f>'Friday WK3 (20)'!I$56</f>
        <v>0</v>
      </c>
      <c r="I100" s="30">
        <f>'Friday WK3 (20)'!J$56</f>
        <v>0</v>
      </c>
      <c r="J100" s="30">
        <f>'Friday WK3 (20)'!K$56</f>
        <v>0</v>
      </c>
      <c r="L100" s="491">
        <f t="shared" si="18"/>
        <v>0</v>
      </c>
      <c r="M100" s="491"/>
      <c r="N100" s="491"/>
      <c r="O100" s="211" t="s">
        <v>947</v>
      </c>
    </row>
    <row r="101" spans="1:15" ht="21" x14ac:dyDescent="0.35">
      <c r="A101" s="32">
        <f t="shared" si="16"/>
        <v>46214</v>
      </c>
      <c r="B101" s="30">
        <f>'Saturday WK3 (21)'!C$56</f>
        <v>0</v>
      </c>
      <c r="C101" s="30">
        <f>'Saturday WK3 (21)'!D$56</f>
        <v>0</v>
      </c>
      <c r="D101" s="30">
        <f>'Saturday WK3 (21)'!E$56</f>
        <v>0</v>
      </c>
      <c r="E101" s="30">
        <f>'Saturday WK3 (21)'!F$56</f>
        <v>0</v>
      </c>
      <c r="F101" s="30">
        <f>'Saturday WK3 (21)'!G$56</f>
        <v>0</v>
      </c>
      <c r="G101" s="30">
        <f>'Saturday WK3 (21)'!H$56</f>
        <v>0</v>
      </c>
      <c r="H101" s="30">
        <f>'Saturday WK3 (21)'!I$56</f>
        <v>0</v>
      </c>
      <c r="I101" s="30">
        <f>'Saturday WK3 (21)'!J$56</f>
        <v>0</v>
      </c>
      <c r="J101" s="30">
        <f>'Saturday WK3 (21)'!K$56</f>
        <v>0</v>
      </c>
      <c r="L101" s="491">
        <f t="shared" si="18"/>
        <v>0</v>
      </c>
      <c r="M101" s="491"/>
      <c r="N101" s="491"/>
      <c r="O101" s="211" t="s">
        <v>947</v>
      </c>
    </row>
    <row r="102" spans="1:15" ht="21" x14ac:dyDescent="0.35">
      <c r="A102" s="32">
        <f t="shared" si="16"/>
        <v>46215</v>
      </c>
      <c r="B102" s="30">
        <f>'Sunday WK4 (22)'!C$56</f>
        <v>159.10230000000001</v>
      </c>
      <c r="C102" s="30">
        <f>'Sunday WK4 (22)'!D$56</f>
        <v>0</v>
      </c>
      <c r="D102" s="30">
        <f>'Sunday WK4 (22)'!E$56</f>
        <v>32.952150000000003</v>
      </c>
      <c r="E102" s="30">
        <f>'Sunday WK4 (22)'!F$56</f>
        <v>0</v>
      </c>
      <c r="F102" s="30">
        <f>'Sunday WK4 (22)'!G$56</f>
        <v>0</v>
      </c>
      <c r="G102" s="30">
        <f>'Sunday WK4 (22)'!H$56</f>
        <v>0</v>
      </c>
      <c r="H102" s="30">
        <f>'Sunday WK4 (22)'!I$56</f>
        <v>52.923150000000007</v>
      </c>
      <c r="I102" s="30">
        <f>'Sunday WK4 (22)'!J$56</f>
        <v>40.607700000000001</v>
      </c>
      <c r="J102" s="30">
        <f>'Sunday WK4 (22)'!K$56</f>
        <v>47.264699999999998</v>
      </c>
      <c r="L102" s="491">
        <f t="shared" si="18"/>
        <v>332.85000000000008</v>
      </c>
      <c r="M102" s="491"/>
      <c r="N102" s="491"/>
      <c r="O102" s="211" t="s">
        <v>947</v>
      </c>
    </row>
    <row r="103" spans="1:15" ht="21" x14ac:dyDescent="0.35">
      <c r="A103" s="32">
        <f t="shared" si="16"/>
        <v>46216</v>
      </c>
      <c r="B103" s="30">
        <f>'Monday WK4 (23)'!C$56</f>
        <v>0</v>
      </c>
      <c r="C103" s="30">
        <f>'Monday WK4 (23)'!D$56</f>
        <v>0</v>
      </c>
      <c r="D103" s="30">
        <f>'Monday WK4 (23)'!E$56</f>
        <v>0</v>
      </c>
      <c r="E103" s="30">
        <f>'Monday WK4 (23)'!F$56</f>
        <v>0</v>
      </c>
      <c r="F103" s="30">
        <f>'Monday WK4 (23)'!G$56</f>
        <v>0</v>
      </c>
      <c r="G103" s="30">
        <f>'Monday WK4 (23)'!H$56</f>
        <v>0</v>
      </c>
      <c r="H103" s="30">
        <f>'Monday WK4 (23)'!I$56</f>
        <v>0</v>
      </c>
      <c r="I103" s="30">
        <f>'Monday WK4 (23)'!J$56</f>
        <v>0</v>
      </c>
      <c r="J103" s="30">
        <f>'Monday WK4 (23)'!K$56</f>
        <v>0</v>
      </c>
      <c r="L103" s="491">
        <f t="shared" si="18"/>
        <v>0</v>
      </c>
      <c r="M103" s="491"/>
      <c r="N103" s="491"/>
      <c r="O103" s="211" t="s">
        <v>947</v>
      </c>
    </row>
    <row r="104" spans="1:15" ht="21" x14ac:dyDescent="0.35">
      <c r="A104" s="32">
        <f t="shared" si="16"/>
        <v>46217</v>
      </c>
      <c r="B104" s="30">
        <f>'Tuesday WK4 (24)'!C$56</f>
        <v>129.06477999999998</v>
      </c>
      <c r="C104" s="30">
        <f>'Tuesday WK4 (24)'!D$56</f>
        <v>0</v>
      </c>
      <c r="D104" s="30">
        <f>'Tuesday WK4 (24)'!E$56</f>
        <v>26.730990000000002</v>
      </c>
      <c r="E104" s="30">
        <f>'Tuesday WK4 (24)'!F$56</f>
        <v>0</v>
      </c>
      <c r="F104" s="30">
        <f>'Tuesday WK4 (24)'!G$56</f>
        <v>0</v>
      </c>
      <c r="G104" s="30">
        <f>'Tuesday WK4 (24)'!H$56</f>
        <v>0</v>
      </c>
      <c r="H104" s="30">
        <f>'Tuesday WK4 (24)'!I$56</f>
        <v>42.93159</v>
      </c>
      <c r="I104" s="30">
        <f>'Tuesday WK4 (24)'!J$56</f>
        <v>32.941220000000001</v>
      </c>
      <c r="J104" s="30">
        <f>'Tuesday WK4 (24)'!K$56</f>
        <v>38.341419999999992</v>
      </c>
      <c r="L104" s="491">
        <f t="shared" si="18"/>
        <v>270.00999999999993</v>
      </c>
      <c r="M104" s="491"/>
      <c r="N104" s="491"/>
      <c r="O104" s="211" t="s">
        <v>947</v>
      </c>
    </row>
    <row r="105" spans="1:15" ht="21" x14ac:dyDescent="0.35">
      <c r="A105" s="32">
        <f t="shared" si="16"/>
        <v>46218</v>
      </c>
      <c r="B105" s="30">
        <f>'Wednesday WK4 (25)'!C$56</f>
        <v>36.696059999999996</v>
      </c>
      <c r="C105" s="30">
        <f>'Wednesday WK4 (25)'!D$56</f>
        <v>0</v>
      </c>
      <c r="D105" s="30">
        <f>'Wednesday WK4 (25)'!E$56</f>
        <v>7.6002299999999998</v>
      </c>
      <c r="E105" s="30">
        <f>'Wednesday WK4 (25)'!F$56</f>
        <v>0</v>
      </c>
      <c r="F105" s="30">
        <f>'Wednesday WK4 (25)'!G$56</f>
        <v>0</v>
      </c>
      <c r="G105" s="30">
        <f>'Wednesday WK4 (25)'!H$56</f>
        <v>0</v>
      </c>
      <c r="H105" s="30">
        <f>'Wednesday WK4 (25)'!I$56</f>
        <v>12.206429999999999</v>
      </c>
      <c r="I105" s="30">
        <f>'Wednesday WK4 (25)'!J$56</f>
        <v>9.3659400000000002</v>
      </c>
      <c r="J105" s="30">
        <f>'Wednesday WK4 (25)'!K$56</f>
        <v>10.901339999999998</v>
      </c>
      <c r="L105" s="491">
        <f t="shared" si="18"/>
        <v>76.769999999999982</v>
      </c>
      <c r="M105" s="491"/>
      <c r="N105" s="491"/>
      <c r="O105" s="211" t="s">
        <v>947</v>
      </c>
    </row>
    <row r="106" spans="1:15" ht="21" x14ac:dyDescent="0.35">
      <c r="A106" s="32">
        <f t="shared" si="16"/>
        <v>46219</v>
      </c>
      <c r="B106" s="30">
        <f>'Thursday WK4 (26)'!C$56</f>
        <v>136.54548</v>
      </c>
      <c r="C106" s="30">
        <f>'Thursday WK4 (26)'!D$56</f>
        <v>0</v>
      </c>
      <c r="D106" s="30">
        <f>'Thursday WK4 (26)'!E$56</f>
        <v>28.280340000000002</v>
      </c>
      <c r="E106" s="30">
        <f>'Thursday WK4 (26)'!F$56</f>
        <v>0</v>
      </c>
      <c r="F106" s="30">
        <f>'Thursday WK4 (26)'!G$56</f>
        <v>0</v>
      </c>
      <c r="G106" s="30">
        <f>'Thursday WK4 (26)'!H$56</f>
        <v>0</v>
      </c>
      <c r="H106" s="30">
        <f>'Thursday WK4 (26)'!I$56</f>
        <v>45.419940000000004</v>
      </c>
      <c r="I106" s="30">
        <f>'Thursday WK4 (26)'!J$56</f>
        <v>34.850520000000003</v>
      </c>
      <c r="J106" s="30">
        <f>'Thursday WK4 (26)'!K$56</f>
        <v>40.563719999999996</v>
      </c>
      <c r="L106" s="491">
        <f t="shared" si="18"/>
        <v>285.65999999999997</v>
      </c>
      <c r="M106" s="491"/>
      <c r="N106" s="491"/>
      <c r="O106" s="211" t="s">
        <v>947</v>
      </c>
    </row>
    <row r="107" spans="1:15" ht="21" x14ac:dyDescent="0.35">
      <c r="A107" s="32">
        <f t="shared" si="16"/>
        <v>46220</v>
      </c>
      <c r="B107" s="30">
        <f>'Friday WK4 (27)'!C$56</f>
        <v>0</v>
      </c>
      <c r="C107" s="30">
        <f>'Friday WK4 (27)'!D$56</f>
        <v>0</v>
      </c>
      <c r="D107" s="30">
        <f>'Friday WK4 (27)'!E$56</f>
        <v>0</v>
      </c>
      <c r="E107" s="30">
        <f>'Friday WK4 (27)'!F$56</f>
        <v>0</v>
      </c>
      <c r="F107" s="30">
        <f>'Friday WK4 (27)'!G$56</f>
        <v>0</v>
      </c>
      <c r="G107" s="30">
        <f>'Friday WK4 (27)'!H$56</f>
        <v>0</v>
      </c>
      <c r="H107" s="30">
        <f>'Friday WK4 (27)'!I$56</f>
        <v>0</v>
      </c>
      <c r="I107" s="30">
        <f>'Friday WK4 (27)'!J$56</f>
        <v>0</v>
      </c>
      <c r="J107" s="30">
        <f>'Friday WK4 (27)'!K$56</f>
        <v>0</v>
      </c>
      <c r="L107" s="491">
        <f t="shared" si="18"/>
        <v>0</v>
      </c>
      <c r="M107" s="491"/>
      <c r="N107" s="491"/>
      <c r="O107" s="211" t="s">
        <v>947</v>
      </c>
    </row>
    <row r="108" spans="1:15" ht="21" x14ac:dyDescent="0.35">
      <c r="A108" s="32">
        <f t="shared" si="16"/>
        <v>46221</v>
      </c>
      <c r="B108" s="30">
        <f>'Saturday WK4 (28)'!C$56</f>
        <v>154.60909999999998</v>
      </c>
      <c r="C108" s="30">
        <f>'Saturday WK4 (28)'!D$56</f>
        <v>0</v>
      </c>
      <c r="D108" s="30">
        <f>'Saturday WK4 (28)'!E$56</f>
        <v>32.021549999999998</v>
      </c>
      <c r="E108" s="30">
        <f>'Saturday WK4 (28)'!F$56</f>
        <v>0</v>
      </c>
      <c r="F108" s="30">
        <f>'Saturday WK4 (28)'!G$56</f>
        <v>0</v>
      </c>
      <c r="G108" s="30">
        <f>'Saturday WK4 (28)'!H$56</f>
        <v>0</v>
      </c>
      <c r="H108" s="30">
        <f>'Saturday WK4 (28)'!I$56</f>
        <v>51.428550000000001</v>
      </c>
      <c r="I108" s="30">
        <f>'Saturday WK4 (28)'!J$56</f>
        <v>39.460899999999995</v>
      </c>
      <c r="J108" s="30">
        <f>'Saturday WK4 (28)'!K$56</f>
        <v>45.929899999999996</v>
      </c>
      <c r="L108" s="491">
        <f t="shared" si="18"/>
        <v>323.44999999999993</v>
      </c>
      <c r="M108" s="491"/>
      <c r="N108" s="491"/>
      <c r="O108" s="211" t="s">
        <v>947</v>
      </c>
    </row>
    <row r="109" spans="1:15" ht="21" x14ac:dyDescent="0.35">
      <c r="A109" s="32">
        <f t="shared" si="16"/>
        <v>46222</v>
      </c>
      <c r="B109" s="30">
        <f>'Sunday WK5 (29)'!C$56</f>
        <v>0</v>
      </c>
      <c r="C109" s="30">
        <f>'Sunday WK5 (29)'!D$56</f>
        <v>0</v>
      </c>
      <c r="D109" s="30">
        <f>'Sunday WK5 (29)'!E$56</f>
        <v>0</v>
      </c>
      <c r="E109" s="30">
        <f>'Sunday WK5 (29)'!F$56</f>
        <v>0</v>
      </c>
      <c r="F109" s="30">
        <f>'Sunday WK5 (29)'!G$56</f>
        <v>0</v>
      </c>
      <c r="G109" s="30">
        <f>'Sunday WK5 (29)'!H$56</f>
        <v>0</v>
      </c>
      <c r="H109" s="30">
        <f>'Sunday WK5 (29)'!I$56</f>
        <v>0</v>
      </c>
      <c r="I109" s="30">
        <f>'Sunday WK5 (29)'!J$56</f>
        <v>0</v>
      </c>
      <c r="J109" s="30">
        <f>'Sunday WK5 (29)'!K$56</f>
        <v>0</v>
      </c>
      <c r="L109" s="491">
        <f t="shared" si="18"/>
        <v>0</v>
      </c>
      <c r="M109" s="491"/>
      <c r="N109" s="491"/>
      <c r="O109" s="211" t="s">
        <v>947</v>
      </c>
    </row>
    <row r="110" spans="1:15" ht="21" x14ac:dyDescent="0.35">
      <c r="A110" s="32">
        <f t="shared" si="16"/>
        <v>46223</v>
      </c>
      <c r="B110" s="30">
        <f>'Monday WK5 (30)'!C$56</f>
        <v>0</v>
      </c>
      <c r="C110" s="30">
        <f>'Monday WK5 (30)'!D$56</f>
        <v>0</v>
      </c>
      <c r="D110" s="30">
        <f>'Monday WK5 (30)'!E$56</f>
        <v>0</v>
      </c>
      <c r="E110" s="30">
        <f>'Monday WK5 (30)'!F$56</f>
        <v>0</v>
      </c>
      <c r="F110" s="30">
        <f>'Monday WK5 (30)'!G$56</f>
        <v>0</v>
      </c>
      <c r="G110" s="30">
        <f>'Monday WK5 (30)'!H$56</f>
        <v>0</v>
      </c>
      <c r="H110" s="30">
        <f>'Monday WK5 (30)'!I$56</f>
        <v>0</v>
      </c>
      <c r="I110" s="30">
        <f>'Monday WK5 (30)'!J$56</f>
        <v>0</v>
      </c>
      <c r="J110" s="30">
        <f>'Monday WK5 (30)'!K$56</f>
        <v>0</v>
      </c>
      <c r="L110" s="491">
        <f t="shared" si="18"/>
        <v>0</v>
      </c>
      <c r="M110" s="491"/>
      <c r="N110" s="491"/>
      <c r="O110" s="211" t="s">
        <v>947</v>
      </c>
    </row>
    <row r="111" spans="1:15" ht="21" x14ac:dyDescent="0.35">
      <c r="A111" s="32">
        <f t="shared" si="16"/>
        <v>46224</v>
      </c>
      <c r="B111" s="30">
        <f>'Tuesday WK5 (31)'!C$56</f>
        <v>0</v>
      </c>
      <c r="C111" s="30">
        <f>'Tuesday WK5 (31)'!D$56</f>
        <v>0</v>
      </c>
      <c r="D111" s="30">
        <f>'Tuesday WK5 (31)'!E$56</f>
        <v>0</v>
      </c>
      <c r="E111" s="30">
        <f>'Tuesday WK5 (31)'!F$56</f>
        <v>0</v>
      </c>
      <c r="F111" s="30">
        <f>'Tuesday WK5 (31)'!G$56</f>
        <v>0</v>
      </c>
      <c r="G111" s="30">
        <f>'Tuesday WK5 (31)'!H$56</f>
        <v>0</v>
      </c>
      <c r="H111" s="30">
        <f>'Tuesday WK5 (31)'!I$56</f>
        <v>0</v>
      </c>
      <c r="I111" s="30">
        <f>'Tuesday WK5 (31)'!J$56</f>
        <v>0</v>
      </c>
      <c r="J111" s="30">
        <f>'Tuesday WK5 (31)'!K$56</f>
        <v>0</v>
      </c>
      <c r="L111" s="491">
        <f t="shared" si="18"/>
        <v>0</v>
      </c>
      <c r="M111" s="491"/>
      <c r="N111" s="491"/>
      <c r="O111" s="211" t="s">
        <v>947</v>
      </c>
    </row>
    <row r="112" spans="1:15" ht="21" x14ac:dyDescent="0.35">
      <c r="A112" s="32">
        <f t="shared" si="16"/>
        <v>46225</v>
      </c>
      <c r="B112" s="30">
        <f>'Wednesday WK5 (32)'!C$56</f>
        <v>0</v>
      </c>
      <c r="C112" s="30">
        <f>'Wednesday WK5 (32)'!D$56</f>
        <v>0</v>
      </c>
      <c r="D112" s="30">
        <f>'Wednesday WK5 (32)'!E$56</f>
        <v>0</v>
      </c>
      <c r="E112" s="30">
        <f>'Wednesday WK5 (32)'!F$56</f>
        <v>0</v>
      </c>
      <c r="F112" s="30">
        <f>'Wednesday WK5 (32)'!G$56</f>
        <v>0</v>
      </c>
      <c r="G112" s="30">
        <f>'Wednesday WK5 (32)'!H$56</f>
        <v>0</v>
      </c>
      <c r="H112" s="30">
        <f>'Wednesday WK5 (32)'!I$56</f>
        <v>0</v>
      </c>
      <c r="I112" s="30">
        <f>'Wednesday WK5 (32)'!J$56</f>
        <v>0</v>
      </c>
      <c r="J112" s="30">
        <f>'Wednesday WK5 (32)'!K$56</f>
        <v>0</v>
      </c>
      <c r="L112" s="491">
        <f t="shared" si="18"/>
        <v>0</v>
      </c>
      <c r="M112" s="491"/>
      <c r="N112" s="491"/>
      <c r="O112" s="211" t="s">
        <v>947</v>
      </c>
    </row>
    <row r="113" spans="1:15" ht="21" x14ac:dyDescent="0.35">
      <c r="A113" s="32">
        <f t="shared" si="16"/>
        <v>46226</v>
      </c>
      <c r="B113" s="30">
        <f>'Thursday WK5 (33)'!C$56</f>
        <v>0</v>
      </c>
      <c r="C113" s="30">
        <f>'Thursday WK5 (33)'!D$56</f>
        <v>0</v>
      </c>
      <c r="D113" s="30">
        <f>'Thursday WK5 (33)'!E$56</f>
        <v>0</v>
      </c>
      <c r="E113" s="30">
        <f>'Thursday WK5 (33)'!F$56</f>
        <v>0</v>
      </c>
      <c r="F113" s="30">
        <f>'Thursday WK5 (33)'!G$56</f>
        <v>0</v>
      </c>
      <c r="G113" s="30">
        <f>'Thursday WK5 (33)'!H$56</f>
        <v>0</v>
      </c>
      <c r="H113" s="30">
        <f>'Thursday WK5 (33)'!I$56</f>
        <v>0</v>
      </c>
      <c r="I113" s="30">
        <f>'Thursday WK5 (33)'!J$56</f>
        <v>0</v>
      </c>
      <c r="J113" s="30">
        <f>'Thursday WK5 (33)'!K$56</f>
        <v>0</v>
      </c>
      <c r="L113" s="491">
        <f t="shared" si="18"/>
        <v>0</v>
      </c>
      <c r="M113" s="491"/>
      <c r="N113" s="491"/>
      <c r="O113" s="211" t="s">
        <v>947</v>
      </c>
    </row>
    <row r="114" spans="1:15" ht="21" x14ac:dyDescent="0.35">
      <c r="A114" s="32">
        <f t="shared" si="16"/>
        <v>46227</v>
      </c>
      <c r="B114" s="30">
        <f>'Friday WK5 (34)'!C$56</f>
        <v>0</v>
      </c>
      <c r="C114" s="30">
        <f>'Friday WK5 (34)'!D$56</f>
        <v>0</v>
      </c>
      <c r="D114" s="30">
        <f>'Friday WK5 (34)'!E$56</f>
        <v>0</v>
      </c>
      <c r="E114" s="30">
        <f>'Friday WK5 (34)'!F$56</f>
        <v>0</v>
      </c>
      <c r="F114" s="30">
        <f>'Friday WK5 (34)'!G$56</f>
        <v>0</v>
      </c>
      <c r="G114" s="30">
        <f>'Friday WK5 (34)'!H$56</f>
        <v>0</v>
      </c>
      <c r="H114" s="30">
        <f>'Friday WK5 (34)'!I$56</f>
        <v>0</v>
      </c>
      <c r="I114" s="30">
        <f>'Friday WK5 (34)'!J$56</f>
        <v>0</v>
      </c>
      <c r="J114" s="30">
        <f>'Friday WK5 (34)'!K$56</f>
        <v>0</v>
      </c>
      <c r="L114" s="491">
        <f t="shared" si="18"/>
        <v>0</v>
      </c>
      <c r="M114" s="491"/>
      <c r="N114" s="491"/>
      <c r="O114" s="211" t="s">
        <v>947</v>
      </c>
    </row>
    <row r="115" spans="1:15" ht="21" x14ac:dyDescent="0.35">
      <c r="A115" s="32">
        <f t="shared" si="16"/>
        <v>46228</v>
      </c>
      <c r="B115" s="30">
        <f>'Saturday WK5 (35)'!C$56</f>
        <v>0</v>
      </c>
      <c r="C115" s="30">
        <f>'Saturday WK5 (35)'!D$56</f>
        <v>0</v>
      </c>
      <c r="D115" s="30">
        <f>'Saturday WK5 (35)'!E$56</f>
        <v>0</v>
      </c>
      <c r="E115" s="30">
        <f>'Saturday WK5 (35)'!F$56</f>
        <v>0</v>
      </c>
      <c r="F115" s="30">
        <f>'Saturday WK5 (35)'!G$56</f>
        <v>0</v>
      </c>
      <c r="G115" s="30">
        <f>'Saturday WK5 (35)'!H$56</f>
        <v>0</v>
      </c>
      <c r="H115" s="30">
        <f>'Saturday WK5 (35)'!I$56</f>
        <v>0</v>
      </c>
      <c r="I115" s="30">
        <f>'Saturday WK5 (35)'!J$56</f>
        <v>0</v>
      </c>
      <c r="J115" s="30">
        <f>'Saturday WK5 (35)'!K$56</f>
        <v>0</v>
      </c>
      <c r="L115" s="491">
        <f t="shared" si="18"/>
        <v>0</v>
      </c>
      <c r="M115" s="491"/>
      <c r="N115" s="491"/>
      <c r="O115" s="211" t="s">
        <v>947</v>
      </c>
    </row>
    <row r="116" spans="1:15" ht="21" x14ac:dyDescent="0.35">
      <c r="A116" s="32" t="str">
        <f t="shared" si="16"/>
        <v>Totals</v>
      </c>
      <c r="B116" s="31">
        <f>SUM(B81:B115)</f>
        <v>2173.0835999999999</v>
      </c>
      <c r="C116" s="31">
        <f t="shared" ref="C116:K116" si="19">SUM(C81:C115)</f>
        <v>0</v>
      </c>
      <c r="D116" s="31">
        <f t="shared" si="19"/>
        <v>450.07380000000006</v>
      </c>
      <c r="E116" s="31">
        <f t="shared" si="19"/>
        <v>0</v>
      </c>
      <c r="F116" s="31">
        <f t="shared" si="19"/>
        <v>0</v>
      </c>
      <c r="G116" s="31">
        <f t="shared" si="19"/>
        <v>0</v>
      </c>
      <c r="H116" s="31">
        <f t="shared" si="19"/>
        <v>722.84579999999983</v>
      </c>
      <c r="I116" s="31">
        <f t="shared" si="19"/>
        <v>554.63639999999998</v>
      </c>
      <c r="J116" s="31">
        <f>SUM(J81:J115)</f>
        <v>645.56039999999996</v>
      </c>
      <c r="K116" s="31">
        <f t="shared" si="19"/>
        <v>0</v>
      </c>
      <c r="L116" s="31"/>
      <c r="O116" s="211" t="s">
        <v>947</v>
      </c>
    </row>
  </sheetData>
  <sheetProtection algorithmName="SHA-512" hashValue="xrAZus/Ls0VdTv37w38Z75ZRk6F5PBaiAEV+TMslg045wKEmXr/3Gx6BI+5osy3hDmbIC1OwDHxTBInYw97zWw==" saltValue="sNSpftsdF5l4yCecdQJ7sw==" spinCount="100000" sheet="1" scenarios="1"/>
  <mergeCells count="41">
    <mergeCell ref="U34:Z34"/>
    <mergeCell ref="M1:N1"/>
    <mergeCell ref="U6:Z6"/>
    <mergeCell ref="U13:Z13"/>
    <mergeCell ref="U20:Z20"/>
    <mergeCell ref="U27:Z27"/>
    <mergeCell ref="L81:N81"/>
    <mergeCell ref="L82:N82"/>
    <mergeCell ref="L83:N83"/>
    <mergeCell ref="L84:N84"/>
    <mergeCell ref="L85:N85"/>
    <mergeCell ref="L86:N86"/>
    <mergeCell ref="L87:N87"/>
    <mergeCell ref="L88:N88"/>
    <mergeCell ref="L89:N89"/>
    <mergeCell ref="L90:N90"/>
    <mergeCell ref="L91:N91"/>
    <mergeCell ref="L92:N92"/>
    <mergeCell ref="L93:N93"/>
    <mergeCell ref="L94:N94"/>
    <mergeCell ref="L95:N95"/>
    <mergeCell ref="L96:N96"/>
    <mergeCell ref="L97:N97"/>
    <mergeCell ref="L98:N98"/>
    <mergeCell ref="L99:N99"/>
    <mergeCell ref="L100:N100"/>
    <mergeCell ref="L101:N101"/>
    <mergeCell ref="L102:N102"/>
    <mergeCell ref="L103:N103"/>
    <mergeCell ref="L104:N104"/>
    <mergeCell ref="L105:N105"/>
    <mergeCell ref="L106:N106"/>
    <mergeCell ref="L107:N107"/>
    <mergeCell ref="L108:N108"/>
    <mergeCell ref="L109:N109"/>
    <mergeCell ref="L110:N110"/>
    <mergeCell ref="L111:N111"/>
    <mergeCell ref="L112:N112"/>
    <mergeCell ref="L113:N113"/>
    <mergeCell ref="L114:N114"/>
    <mergeCell ref="L115:N115"/>
  </mergeCells>
  <phoneticPr fontId="11" type="noConversion"/>
  <hyperlinks>
    <hyperlink ref="L2" location="'Sunday WK1 (1)'!A1" display="L" xr:uid="{6445D6BD-1F89-43BF-BD77-79644F42EA67}"/>
    <hyperlink ref="L3:L5" location="'Sunday WK1 (1)'!A1" display="L" xr:uid="{2A13D489-6F60-47CB-8756-DA4B8AF578CC}"/>
    <hyperlink ref="L3" location="'Monday WK1 (2)'!A1" display="L" xr:uid="{46E768E6-B81B-4E26-A989-BCC7DA2F86A5}"/>
    <hyperlink ref="L4" location="'Tuesday WK1 (3)'!A1" display="L" xr:uid="{71AF7B65-4D29-4C7B-AEF9-55638AF3552A}"/>
    <hyperlink ref="L5" location="'Wednesday WK1 (4)'!A1" display="L" xr:uid="{250E6254-A016-4465-BB13-13DC502FF679}"/>
    <hyperlink ref="L6" location="'Thursday WK1 (5)'!A1" display="L" xr:uid="{3995D111-4E09-4BD2-A498-B8CC5DF28E2F}"/>
    <hyperlink ref="L7" location="'Friday WK1 (6)'!A1" display="L" xr:uid="{60CBA473-C6F8-4F10-8E36-378B7C2E8652}"/>
    <hyperlink ref="L8" location="'Saturday WK1 (7)'!A1" display="L" xr:uid="{F90BCBA0-157E-4E0D-896C-7695A6259862}"/>
    <hyperlink ref="L9" location="'Sunday WK2 (8)'!A1" display="L" xr:uid="{4B12CEEC-CF61-4E66-9952-68FD3AB5C86C}"/>
    <hyperlink ref="L10" location="'Monday WK2 (9)'!A1" display="L" xr:uid="{3A7B987A-817A-46B3-AE21-3E63B130CA62}"/>
    <hyperlink ref="L11" location="'Tuesday WK2 (10)'!A1" display="L" xr:uid="{7FDCE517-C0C4-4E1B-BCAA-894C1446F1AC}"/>
    <hyperlink ref="L12" location="'Wednesday WK2 (11)'!A1" display="L" xr:uid="{9BB91ACE-BBFE-4A18-80C8-C0A02BD114AF}"/>
    <hyperlink ref="L13" location="'Thursday WK2 (12)'!A1" display="L" xr:uid="{50D9C5BC-BF1C-47CA-AE1C-3B307CCA6452}"/>
    <hyperlink ref="L14" location="'Friday WK2 (13)'!A1" display="L" xr:uid="{3EE7CA30-8FE3-4EB0-9CE6-25D8C4BA08EC}"/>
    <hyperlink ref="L15" location="'Saturday WK2 (14)'!A1" display="L" xr:uid="{F7390C3C-FBFA-4DEB-8E2D-E35763E2EA92}"/>
    <hyperlink ref="L16" location="'Sunday WK3 (15)'!A1" display="L" xr:uid="{0A8F72EF-1953-4CA7-95E3-9BA036C54D41}"/>
    <hyperlink ref="L17" location="'Monday WK3 (16)'!A1" display="L" xr:uid="{3E4D7E9D-87F6-405D-841F-18C2B4B83943}"/>
    <hyperlink ref="L18" location="'Tuesday WK3 (17)'!A1" display="L" xr:uid="{8599A794-79A2-4127-B9E9-03DA3ED16284}"/>
    <hyperlink ref="L19" location="'Wednesday WK3 (18)'!A1" display="L" xr:uid="{BB7B58EC-D1FA-4494-A87A-97B4CB428375}"/>
    <hyperlink ref="L20" location="'Thursday WK3 (19)'!A1" display="L" xr:uid="{0C7B7A0F-246A-4D6B-9E36-AE8574645CCC}"/>
    <hyperlink ref="L22" location="'Saturday WK3 (21)'!A1" display="L" xr:uid="{AC7B73E8-B879-4E0C-B5A9-692A3781FED0}"/>
    <hyperlink ref="L23" location="'Sunday WK4 (22)'!A1" display="L" xr:uid="{E710078C-C154-4ECC-9947-9DE0A894A861}"/>
    <hyperlink ref="L24" location="'Monday WK4 (23)'!A1" display="L" xr:uid="{2D1218EF-6C59-4A8E-B102-ACC8562FBD6C}"/>
    <hyperlink ref="L25" location="'Tuesday WK4 (24)'!A1" display="L" xr:uid="{13C9890E-15B9-407F-A817-B200C1097690}"/>
    <hyperlink ref="L26" location="'Wednesday WK4 (25)'!A1" display="L" xr:uid="{40B1509A-BB25-405B-A9EC-2B629524C1EF}"/>
    <hyperlink ref="L27" location="'Thursday WK4 (26)'!A1" display="L" xr:uid="{D43748C6-3BBA-4C3C-A220-C40255DC2597}"/>
    <hyperlink ref="L28" location="'Friday WK4 (27)'!A1" display="L" xr:uid="{8033649B-00B2-4553-9DAB-7864A7D12F99}"/>
    <hyperlink ref="L29" location="'Sunday WK5 (29)'!Print_Area" display="L" xr:uid="{333EC90A-6742-43F3-B36E-D10395F412D7}"/>
    <hyperlink ref="L31" location="'Monday WK5 (30)'!A1" display="L" xr:uid="{6989E126-8F1F-4332-B248-1CB94E9C06D5}"/>
    <hyperlink ref="L32" location="'Tuesday WK5 (31)'!A1" display="L" xr:uid="{4E227BA9-64D3-48B7-9DBA-4690C4823B56}"/>
    <hyperlink ref="L33" location="'Wednesday WK5 (32)'!A1" display="L" xr:uid="{AEEAC841-7AD8-4E86-AB5C-5C2ABAD24A09}"/>
    <hyperlink ref="L34" location="'Thursday WK5 (33)'!A1" display="L" xr:uid="{6FF747C1-85AE-47AD-856F-9EA33ABDF413}"/>
    <hyperlink ref="L35" location="'Thursday WK5 (33)'!A1" display="L" xr:uid="{191D7238-EDA2-4AE5-83E8-3FBCE7A1B752}"/>
    <hyperlink ref="L36" location="'Saturday WK5 (35)'!A1" display="L" xr:uid="{250C3333-98F4-436C-A1DC-46E61EA1AB55}"/>
    <hyperlink ref="L43" location="'Sunday WK1 (1)'!A1" display="L" xr:uid="{0225FFDE-93FC-42ED-A759-D3A69B2A7DAD}"/>
    <hyperlink ref="L44:L46" location="'Sunday WK1 (1)'!A1" display="L" xr:uid="{7B038263-D0CD-4827-98E5-C6E6D9842C45}"/>
    <hyperlink ref="L44" location="'Monday WK1 (2)'!A1" display="L" xr:uid="{82D38519-09EF-4465-860A-84C1A60EBC7B}"/>
    <hyperlink ref="L45" location="'Tuesday WK1 (3)'!A1" display="L" xr:uid="{82D5F2DC-C9A5-4103-8B10-9A78F90DD4BB}"/>
    <hyperlink ref="L46" location="'Wednesday WK1 (4)'!A1" display="L" xr:uid="{101CBA52-C852-4BF9-BC55-B2AFCF99B532}"/>
    <hyperlink ref="L47" location="'Thursday WK1 (5)'!A1" display="L" xr:uid="{8D77F4ED-D653-4B0E-8B1F-3AE385DFF21E}"/>
    <hyperlink ref="L48" location="'Friday WK1 (6)'!A1" display="L" xr:uid="{24F80383-198B-46DB-8132-1C7170DBF098}"/>
    <hyperlink ref="L49" location="'Saturday WK1 (7)'!A1" display="L" xr:uid="{3CEE4EF6-04BD-40C4-A31E-46470D60ED09}"/>
    <hyperlink ref="L50" location="'Sunday WK2 (8)'!A1" display="L" xr:uid="{14B538C4-8204-4367-828F-973C4A26A644}"/>
    <hyperlink ref="L51" location="'Monday WK2 (9)'!A1" display="L" xr:uid="{C69F21AB-A3AD-4064-AE23-90235745BF84}"/>
    <hyperlink ref="L52" location="'Tuesday WK2 (10)'!A1" display="L" xr:uid="{335AAD31-5F35-4667-99F0-7E4FC932DCE1}"/>
    <hyperlink ref="L53" location="'Wednesday WK2 (11)'!A1" display="L" xr:uid="{66442F5E-8D19-4FF0-A4FD-099B93A7D45A}"/>
    <hyperlink ref="L54" location="'Thursday WK2 (12)'!A1" display="L" xr:uid="{8F8ECEE2-61DF-4989-AB6F-16E09D44DC42}"/>
    <hyperlink ref="L55" location="'Friday WK2 (13)'!A1" display="L" xr:uid="{47060452-8B41-4865-9C42-4586B214DE1E}"/>
    <hyperlink ref="L56" location="'Saturday WK2 (14)'!A1" display="L" xr:uid="{C7AA4A9D-ABF2-4EBF-8326-DCE428ABEED9}"/>
    <hyperlink ref="L57" location="'Sunday WK3 (15)'!A1" display="L" xr:uid="{8097BE17-6CD0-448A-A0DB-B9D616B7ED7F}"/>
    <hyperlink ref="L58" location="'Monday WK3 (16)'!A1" display="L" xr:uid="{6B96A810-34CA-47EC-8DB9-4697B42E37B9}"/>
    <hyperlink ref="L59" location="'Tuesday WK3 (17)'!A1" display="L" xr:uid="{42D6C634-76D1-4828-9FDF-CCA988935C50}"/>
    <hyperlink ref="L60" location="'Wednesday WK3 (18)'!A1" display="L" xr:uid="{7DC36B1A-85D9-4A06-BEB3-4EFCD5C1E3D3}"/>
    <hyperlink ref="L61" location="'Thursday WK3 (19)'!A1" display="L" xr:uid="{1EDFBA93-6A02-4A3B-BF3B-20152A919CD6}"/>
    <hyperlink ref="L62" location="'Friday WK3 (20)'!A1" display="L" xr:uid="{489EF04E-3D17-454F-9045-0BA688E0A968}"/>
    <hyperlink ref="L63" location="'Saturday WK3 (21)'!A1" display="L" xr:uid="{C4D54B34-7460-4EF8-8561-3E829703E1A7}"/>
    <hyperlink ref="L64" location="'Sunday WK4 (22)'!A1" display="L" xr:uid="{D9DB36C6-AD7F-42AA-8B7D-93A570F03792}"/>
    <hyperlink ref="L65" location="'Monday WK4 (23)'!A1" display="L" xr:uid="{C5F069A4-2848-46CD-80CA-E998790C2B11}"/>
    <hyperlink ref="L66" location="'Tuesday WK4 (24)'!A1" display="L" xr:uid="{46807E43-A308-4D66-870E-E79833E3C79C}"/>
    <hyperlink ref="L67" location="'Wednesday WK4 (25)'!A1" display="L" xr:uid="{5C5B2993-0B44-4F38-89BC-C2EB10FF04CB}"/>
    <hyperlink ref="L68" location="'Thursday WK4 (26)'!A1" display="L" xr:uid="{541A1027-ABA7-4D2C-99C3-B3084A1C68F3}"/>
    <hyperlink ref="L69" location="'Friday WK4 (27)'!A1" display="L" xr:uid="{DF0D7E47-72B6-42D3-9102-78EB8352191F}"/>
    <hyperlink ref="L70" location="'Saturday WK4 (28)'!A1" display="L" xr:uid="{0F45D467-080B-40DA-A053-DB3034509020}"/>
    <hyperlink ref="L72" location="'Monday WK5 (30)'!A1" display="L" xr:uid="{7ADEED36-89CB-4BE2-B55B-FFE1E11FF62C}"/>
    <hyperlink ref="L73" location="'Tuesday WK5 (31)'!A1" display="L" xr:uid="{7E3FDE6B-8584-4F92-82FE-019129AFFF15}"/>
    <hyperlink ref="L74" location="'Wednesday WK5 (32)'!A1" display="L" xr:uid="{29445A70-665F-4082-B598-B974A7E67702}"/>
    <hyperlink ref="L75" location="'Thursday WK5 (33)'!A1" display="L" xr:uid="{AEC1EBB5-D8DC-4069-90F6-41499C403CBE}"/>
    <hyperlink ref="L76" location="'Thursday WK5 (33)'!A1" display="L" xr:uid="{7145E3E9-B57F-43D8-87F8-B1CDEA4FCC4D}"/>
    <hyperlink ref="L77" location="'Saturday WK5 (35)'!A1" display="L" xr:uid="{4C1D9061-F02F-4FC0-BC03-9E1429D6A59C}"/>
    <hyperlink ref="L78" location="'Ad Rebates'!A1" display="L" xr:uid="{B695D6AB-EFA4-40E8-865D-A1E020100327}"/>
    <hyperlink ref="O81" location="'Sunday WK1 (1)'!A1" display="L" xr:uid="{2E3D5554-6C50-400E-AB2A-AA5600A614A1}"/>
    <hyperlink ref="O82:O84" location="'Sunday WK1 (1)'!A1" display="L" xr:uid="{A3135E0F-E23C-48FD-9B78-59E90A3B9CCF}"/>
    <hyperlink ref="O82" location="'Monday WK1 (2)'!A1" display="L" xr:uid="{73BB0BA1-0AEF-4FDB-95AC-AED75C0E11E0}"/>
    <hyperlink ref="O83" location="'Tuesday WK1 (3)'!A1" display="L" xr:uid="{76C9AD31-692E-4CA1-8931-B5EDB8584F84}"/>
    <hyperlink ref="O84" location="'Wednesday WK1 (4)'!A1" display="L" xr:uid="{80B57D36-43BC-4224-ABF2-4A9434FE694A}"/>
    <hyperlink ref="O85" location="'Thursday WK1 (5)'!A1" display="L" xr:uid="{0EE884F9-2A6C-407F-B2FD-1F0575D940C6}"/>
    <hyperlink ref="O86" location="'Friday WK1 (6)'!A1" display="L" xr:uid="{EFEE1FA5-FE7F-4B5C-AF30-99E2CC3A35F2}"/>
    <hyperlink ref="O87" location="'Saturday WK1 (7)'!A1" display="L" xr:uid="{0F288DB7-2BE0-47B4-853A-8E77F0655F94}"/>
    <hyperlink ref="O88" location="'Sunday WK2 (8)'!A1" display="L" xr:uid="{68C37229-176C-4B94-BD77-EF956E7EFCD1}"/>
    <hyperlink ref="O89" location="'Monday WK2 (9)'!A1" display="L" xr:uid="{3B6A1E5C-6C38-4810-88C0-F9DB48FF9B64}"/>
    <hyperlink ref="O90" location="'Tuesday WK2 (10)'!A1" display="L" xr:uid="{CA55F96A-89A4-476A-BBBC-F74C780199F1}"/>
    <hyperlink ref="O91" location="'Wednesday WK2 (11)'!A1" display="L" xr:uid="{8C01FD34-6A38-4883-9C0C-DB5FA8D3F345}"/>
    <hyperlink ref="O92" location="'Thursday WK2 (12)'!A1" display="L" xr:uid="{F354CF82-A7F8-47EC-8F37-A7119CF04757}"/>
    <hyperlink ref="O93" location="'Friday WK2 (13)'!A1" display="L" xr:uid="{468A1A00-C72B-4FDC-A613-2EEA28E2FAF0}"/>
    <hyperlink ref="O94" location="'Saturday WK2 (14)'!A1" display="L" xr:uid="{112A6A78-DD46-4190-8A89-8BBAA2AA2FEF}"/>
    <hyperlink ref="O95" location="'Sunday WK3 (15)'!A1" display="L" xr:uid="{3BD3CF29-CF15-4EDB-9C55-2C5B697B87B2}"/>
    <hyperlink ref="O96" location="'Monday WK3 (16)'!A1" display="L" xr:uid="{FB1F90C8-75AA-460D-8B92-093BA5F74A3F}"/>
    <hyperlink ref="O97" location="'Tuesday WK3 (17)'!A1" display="L" xr:uid="{09F82FE6-CE8B-4B4B-8FFD-B2C3E9E935DE}"/>
    <hyperlink ref="O98" location="'Wednesday WK3 (18)'!A1" display="L" xr:uid="{BE0BEBBF-AE8B-4833-B3F0-C35C7F871BE3}"/>
    <hyperlink ref="O99" location="'Thursday WK3 (19)'!A1" display="L" xr:uid="{C85103C9-746D-4DEE-B7B8-E39AA88C2AE5}"/>
    <hyperlink ref="O100" location="'Friday WK3 (20)'!A1" display="L" xr:uid="{AD9D179F-D95F-455A-91B1-FF6A890BF9D7}"/>
    <hyperlink ref="O101" location="'Saturday WK3 (21)'!A1" display="L" xr:uid="{92F78A7F-570F-4EA8-9938-960310EB1730}"/>
    <hyperlink ref="O102" location="'Sunday WK4 (22)'!A1" display="L" xr:uid="{7074A2DC-FE56-4DB4-BF5D-0FED7173C40A}"/>
    <hyperlink ref="O103" location="'Monday WK4 (23)'!A1" display="L" xr:uid="{92B3AB8D-B426-4B66-AF16-84D3435BBFD0}"/>
    <hyperlink ref="O104" location="'Tuesday WK4 (24)'!A1" display="L" xr:uid="{06EF5F5A-647D-473A-9395-B7237903B6CB}"/>
    <hyperlink ref="O105" location="'Wednesday WK4 (25)'!A1" display="L" xr:uid="{FB3E741C-F50B-41DD-96B5-ABF4B41CF319}"/>
    <hyperlink ref="O106" location="'Thursday WK4 (26)'!A1" display="L" xr:uid="{B4DA0AE6-3772-443D-B099-2BCC97DA9DEE}"/>
    <hyperlink ref="O107" location="'Friday WK4 (27)'!A1" display="L" xr:uid="{CBE6C3FD-83DB-4870-89B7-A2D8284EE92C}"/>
    <hyperlink ref="O108" location="'Saturday WK4 (28)'!A1" display="L" xr:uid="{B7FA7154-95C8-459E-B41B-B1A8EA854F96}"/>
    <hyperlink ref="O110" location="'Monday WK5 (30)'!A1" display="L" xr:uid="{E4BEE854-DD84-4833-B6CC-E396D15426F9}"/>
    <hyperlink ref="O111" location="'Tuesday WK5 (31)'!A1" display="L" xr:uid="{3922690C-B573-4E93-A80E-12B18099271D}"/>
    <hyperlink ref="O112" location="'Wednesday WK5 (32)'!A1" display="L" xr:uid="{9C57C67D-B8D0-4058-B5E5-D2D086A5828A}"/>
    <hyperlink ref="O113" location="'Thursday WK5 (33)'!A1" display="L" xr:uid="{37A62B78-81CB-456B-811A-629D83ABA4A3}"/>
    <hyperlink ref="O114" location="'Thursday WK5 (33)'!A1" display="L" xr:uid="{960966AB-5B03-47D7-B5DE-ED1354E61799}"/>
    <hyperlink ref="O115" location="'Saturday WK5 (35)'!A1" display="L" xr:uid="{06EA5A38-E713-4FDA-AC7E-335BF0879633}"/>
    <hyperlink ref="O116" location="'Ad Rebates'!A1" display="L" xr:uid="{130A483A-D033-4BD3-9EF5-5F5D773517A3}"/>
    <hyperlink ref="L30" location="'Sunday WK5 (29)'!Print_Area" display="L" xr:uid="{1FD47993-C022-4CCB-9D47-237E6A865763}"/>
    <hyperlink ref="L21" location="'Friday WK3 (20)'!A1" display="L" xr:uid="{51D6ED09-7C44-4EBF-B64B-865829DA159A}"/>
    <hyperlink ref="L71" location="'Sunday WK5 (29)'!A1" display="L" xr:uid="{80711D80-7970-4426-B62C-0D103D77EE27}"/>
    <hyperlink ref="O109" location="'Sunday WK5 (29)'!A1" display="L" xr:uid="{6A47E2CC-7027-4E80-A0F0-EA08AE83C99A}"/>
  </hyperlink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BF43-4C35-4AD2-995C-DFE56C1F071E}">
  <dimension ref="A1:D39"/>
  <sheetViews>
    <sheetView workbookViewId="0">
      <selection activeCell="B21" sqref="B21"/>
    </sheetView>
  </sheetViews>
  <sheetFormatPr defaultRowHeight="15" x14ac:dyDescent="0.25"/>
  <cols>
    <col min="1" max="1" width="36.42578125" style="385" bestFit="1" customWidth="1"/>
    <col min="2" max="2" width="15" style="385" customWidth="1"/>
    <col min="3" max="16384" width="9.140625" style="385"/>
  </cols>
  <sheetData>
    <row r="1" spans="1:2" ht="18.75" thickBot="1" x14ac:dyDescent="0.3">
      <c r="A1" s="423" t="s">
        <v>867</v>
      </c>
      <c r="B1" s="366" t="s">
        <v>801</v>
      </c>
    </row>
    <row r="2" spans="1:2" ht="15.75" x14ac:dyDescent="0.25">
      <c r="A2" s="430" t="s">
        <v>768</v>
      </c>
      <c r="B2" s="367" t="s">
        <v>868</v>
      </c>
    </row>
    <row r="3" spans="1:2" ht="15.75" x14ac:dyDescent="0.25">
      <c r="A3" s="332">
        <f>'Sunday WK1 (1)'!B4+6</f>
        <v>46200</v>
      </c>
      <c r="B3" s="429">
        <f>'Sales Numbers'!$C$34</f>
        <v>188.38</v>
      </c>
    </row>
    <row r="4" spans="1:2" ht="15.75" x14ac:dyDescent="0.25">
      <c r="A4" s="332">
        <f>A3+7</f>
        <v>46207</v>
      </c>
      <c r="B4" s="429">
        <f>'Sales Numbers'!$D$34</f>
        <v>0</v>
      </c>
    </row>
    <row r="5" spans="1:2" ht="15.75" x14ac:dyDescent="0.25">
      <c r="A5" s="332">
        <f>A4+7</f>
        <v>46214</v>
      </c>
      <c r="B5" s="429">
        <f>'Sales Numbers'!$E$34</f>
        <v>0</v>
      </c>
    </row>
    <row r="6" spans="1:2" ht="15.75" x14ac:dyDescent="0.25">
      <c r="A6" s="332">
        <f>A5+7</f>
        <v>46221</v>
      </c>
      <c r="B6" s="429">
        <f>'Sales Numbers'!$F$34</f>
        <v>25.99</v>
      </c>
    </row>
    <row r="7" spans="1:2" ht="16.5" thickBot="1" x14ac:dyDescent="0.3">
      <c r="A7" s="332">
        <f>A6+7</f>
        <v>46228</v>
      </c>
      <c r="B7" s="429">
        <f>'Sales Numbers'!G34</f>
        <v>0</v>
      </c>
    </row>
    <row r="8" spans="1:2" ht="18.75" thickBot="1" x14ac:dyDescent="0.3">
      <c r="A8" s="261" t="s">
        <v>869</v>
      </c>
      <c r="B8" s="426">
        <f>SUM(B3:B7)</f>
        <v>214.37</v>
      </c>
    </row>
    <row r="9" spans="1:2" ht="15.75" thickBot="1" x14ac:dyDescent="0.3">
      <c r="A9" s="346"/>
      <c r="B9" s="348"/>
    </row>
    <row r="10" spans="1:2" x14ac:dyDescent="0.25">
      <c r="A10" s="368" t="s">
        <v>870</v>
      </c>
      <c r="B10" s="369">
        <f>(B8*B11)-B21+B19</f>
        <v>16736.708500000001</v>
      </c>
    </row>
    <row r="11" spans="1:2" x14ac:dyDescent="0.25">
      <c r="A11" s="370" t="s">
        <v>871</v>
      </c>
      <c r="B11" s="371">
        <v>0.05</v>
      </c>
    </row>
    <row r="12" spans="1:2" x14ac:dyDescent="0.25">
      <c r="A12" s="370" t="s">
        <v>872</v>
      </c>
      <c r="B12" s="373">
        <f>B19</f>
        <v>16736.78</v>
      </c>
    </row>
    <row r="13" spans="1:2" x14ac:dyDescent="0.25">
      <c r="A13" s="370" t="s">
        <v>873</v>
      </c>
      <c r="B13" s="373">
        <f>B16</f>
        <v>16940.36</v>
      </c>
    </row>
    <row r="14" spans="1:2" ht="15.75" thickBot="1" x14ac:dyDescent="0.3">
      <c r="A14" s="374" t="s">
        <v>874</v>
      </c>
      <c r="B14" s="375">
        <f>B12-B13</f>
        <v>-203.58000000000175</v>
      </c>
    </row>
    <row r="15" spans="1:2" ht="15.75" thickBot="1" x14ac:dyDescent="0.3">
      <c r="A15" s="346"/>
      <c r="B15" s="348"/>
    </row>
    <row r="16" spans="1:2" x14ac:dyDescent="0.25">
      <c r="A16" s="368" t="s">
        <v>875</v>
      </c>
      <c r="B16" s="427">
        <v>16940.36</v>
      </c>
    </row>
    <row r="17" spans="1:4" x14ac:dyDescent="0.25">
      <c r="A17" s="370" t="s">
        <v>876</v>
      </c>
      <c r="B17" s="377">
        <f>'Receiving Totals'!C38</f>
        <v>0</v>
      </c>
    </row>
    <row r="18" spans="1:4" x14ac:dyDescent="0.25">
      <c r="A18" s="370" t="s">
        <v>877</v>
      </c>
      <c r="B18" s="377">
        <f>B16+B17</f>
        <v>16940.36</v>
      </c>
    </row>
    <row r="19" spans="1:4" x14ac:dyDescent="0.25">
      <c r="A19" s="370" t="s">
        <v>878</v>
      </c>
      <c r="B19" s="428">
        <v>16736.78</v>
      </c>
    </row>
    <row r="20" spans="1:4" x14ac:dyDescent="0.25">
      <c r="A20" s="370" t="s">
        <v>879</v>
      </c>
      <c r="B20" s="377">
        <f>B18-B19</f>
        <v>203.58000000000175</v>
      </c>
    </row>
    <row r="21" spans="1:4" ht="15.75" thickBot="1" x14ac:dyDescent="0.3">
      <c r="A21" s="370" t="s">
        <v>880</v>
      </c>
      <c r="B21" s="377">
        <f>B8-B20</f>
        <v>10.789999999998258</v>
      </c>
    </row>
    <row r="22" spans="1:4" ht="24" thickBot="1" x14ac:dyDescent="0.4">
      <c r="A22" s="378" t="s">
        <v>881</v>
      </c>
      <c r="B22" s="379">
        <f>B21/B8</f>
        <v>5.0333535476037965E-2</v>
      </c>
      <c r="D22" s="421"/>
    </row>
    <row r="23" spans="1:4" ht="15.75" thickBot="1" x14ac:dyDescent="0.3">
      <c r="A23" s="346"/>
      <c r="B23" s="348"/>
    </row>
    <row r="24" spans="1:4" x14ac:dyDescent="0.25">
      <c r="A24" s="368" t="s">
        <v>882</v>
      </c>
      <c r="B24" s="417">
        <v>5.0299999999999997E-2</v>
      </c>
    </row>
    <row r="25" spans="1:4" x14ac:dyDescent="0.25">
      <c r="A25" s="370" t="s">
        <v>883</v>
      </c>
      <c r="B25" s="377">
        <f>B8*B24</f>
        <v>10.782810999999999</v>
      </c>
    </row>
    <row r="26" spans="1:4" x14ac:dyDescent="0.25">
      <c r="A26" s="370" t="s">
        <v>884</v>
      </c>
      <c r="B26" s="377">
        <f>B21-B25</f>
        <v>7.1889999982595043E-3</v>
      </c>
    </row>
    <row r="27" spans="1:4" ht="15.75" thickBot="1" x14ac:dyDescent="0.3">
      <c r="A27" s="374" t="s">
        <v>885</v>
      </c>
      <c r="B27" s="381">
        <f>B22-B24</f>
        <v>3.3535476037967193E-5</v>
      </c>
    </row>
    <row r="28" spans="1:4" ht="15.75" thickBot="1" x14ac:dyDescent="0.3">
      <c r="A28" s="346"/>
      <c r="B28" s="348"/>
    </row>
    <row r="29" spans="1:4" x14ac:dyDescent="0.25">
      <c r="A29" s="368" t="s">
        <v>886</v>
      </c>
      <c r="B29" s="382">
        <f>B24-D8</f>
        <v>5.0299999999999997E-2</v>
      </c>
    </row>
    <row r="30" spans="1:4" x14ac:dyDescent="0.25">
      <c r="A30" s="370" t="s">
        <v>887</v>
      </c>
      <c r="B30" s="377">
        <f>B25-C8</f>
        <v>10.782810999999999</v>
      </c>
    </row>
    <row r="31" spans="1:4" x14ac:dyDescent="0.25">
      <c r="A31" s="370" t="s">
        <v>888</v>
      </c>
      <c r="B31" s="377">
        <f>B21-B30</f>
        <v>7.1889999982595043E-3</v>
      </c>
    </row>
    <row r="32" spans="1:4" ht="15.75" thickBot="1" x14ac:dyDescent="0.3">
      <c r="A32" s="374" t="s">
        <v>889</v>
      </c>
      <c r="B32" s="381">
        <f>B22-B29</f>
        <v>3.3535476037967193E-5</v>
      </c>
    </row>
    <row r="33" spans="1:2" x14ac:dyDescent="0.25">
      <c r="A33" s="346"/>
      <c r="B33" s="348"/>
    </row>
    <row r="34" spans="1:2" ht="18" x14ac:dyDescent="0.25">
      <c r="A34" s="383" t="s">
        <v>890</v>
      </c>
      <c r="B34" s="384">
        <f>B22-B11</f>
        <v>3.3353547603796191E-4</v>
      </c>
    </row>
    <row r="35" spans="1:2" x14ac:dyDescent="0.25">
      <c r="A35" s="388"/>
      <c r="B35" s="386"/>
    </row>
    <row r="36" spans="1:2" x14ac:dyDescent="0.25">
      <c r="A36" s="388"/>
      <c r="B36" s="386"/>
    </row>
    <row r="37" spans="1:2" x14ac:dyDescent="0.25">
      <c r="A37" s="388"/>
      <c r="B37" s="386"/>
    </row>
    <row r="38" spans="1:2" x14ac:dyDescent="0.25">
      <c r="A38" s="388"/>
      <c r="B38" s="386"/>
    </row>
    <row r="39" spans="1:2" ht="15.75" thickBot="1" x14ac:dyDescent="0.3">
      <c r="A39" s="391"/>
      <c r="B39" s="422"/>
    </row>
  </sheetData>
  <sheetProtection algorithmName="SHA-512" hashValue="GsMdmZyKDdauYLsMsfEwxODo16P08EBe9iTVaFfT60Gum0AlYuwkkv44KqeZol8/vOAa42jdZG4Qe6xOehgKNQ==" saltValue="/Q+IlfkMsJh8vWhL+H6VLA==" spinCount="100000" sheet="1" scenarios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DF63-64E8-4631-99A0-2CABFD860DC1}">
  <dimension ref="A1:R40"/>
  <sheetViews>
    <sheetView workbookViewId="0">
      <selection activeCell="B8" sqref="B8"/>
    </sheetView>
  </sheetViews>
  <sheetFormatPr defaultRowHeight="18" x14ac:dyDescent="0.25"/>
  <cols>
    <col min="1" max="1" width="31.42578125" style="13" customWidth="1"/>
    <col min="2" max="2" width="17" style="13" customWidth="1"/>
    <col min="3" max="3" width="15.28515625" style="13" customWidth="1"/>
    <col min="4" max="4" width="13.5703125" style="13" customWidth="1"/>
    <col min="5" max="5" width="2.42578125" style="13" customWidth="1"/>
    <col min="6" max="6" width="24.28515625" style="140" customWidth="1"/>
    <col min="7" max="7" width="11.42578125" style="140" customWidth="1"/>
    <col min="8" max="8" width="5.7109375" style="418" customWidth="1"/>
    <col min="9" max="9" width="9.140625" style="13"/>
    <col min="10" max="15" width="12.42578125" style="13" customWidth="1"/>
    <col min="16" max="16" width="12.5703125" style="174" customWidth="1"/>
    <col min="17" max="16384" width="9.140625" style="13"/>
  </cols>
  <sheetData>
    <row r="1" spans="1:16" s="336" customFormat="1" ht="18.75" thickBot="1" x14ac:dyDescent="0.3">
      <c r="A1" s="406" t="str">
        <f>Tobacco!A1</f>
        <v>Period 9</v>
      </c>
      <c r="B1" s="366" t="s">
        <v>787</v>
      </c>
      <c r="C1" s="366" t="s">
        <v>891</v>
      </c>
      <c r="D1" s="366" t="s">
        <v>892</v>
      </c>
      <c r="F1" s="328"/>
      <c r="G1" s="329"/>
      <c r="H1" s="418"/>
      <c r="I1" s="13"/>
      <c r="J1" s="13"/>
      <c r="K1" s="13"/>
      <c r="L1" s="13"/>
      <c r="M1" s="13"/>
      <c r="N1" s="13"/>
      <c r="O1" s="13"/>
      <c r="P1" s="174"/>
    </row>
    <row r="2" spans="1:16" x14ac:dyDescent="0.25">
      <c r="A2" s="430" t="s">
        <v>768</v>
      </c>
      <c r="B2" s="367" t="s">
        <v>868</v>
      </c>
      <c r="C2" s="4"/>
      <c r="D2" s="348"/>
      <c r="F2" s="328"/>
      <c r="G2" s="330"/>
    </row>
    <row r="3" spans="1:16" x14ac:dyDescent="0.25">
      <c r="A3" s="332">
        <f>Tobacco!A3</f>
        <v>46200</v>
      </c>
      <c r="B3" s="429">
        <f>'Sales Numbers'!C35</f>
        <v>36160.590000000004</v>
      </c>
      <c r="C3" s="407">
        <f>'Receiving Totals'!Y8</f>
        <v>368.06</v>
      </c>
      <c r="D3" s="408">
        <f>C3/B3</f>
        <v>1.0178484366543797E-2</v>
      </c>
      <c r="F3" s="141"/>
      <c r="G3" s="330"/>
      <c r="H3" s="431"/>
      <c r="I3" s="145"/>
      <c r="J3" s="4"/>
      <c r="K3" s="4" t="s">
        <v>893</v>
      </c>
      <c r="L3" s="4" t="s">
        <v>894</v>
      </c>
      <c r="M3" s="4" t="s">
        <v>895</v>
      </c>
      <c r="N3" s="4" t="s">
        <v>896</v>
      </c>
      <c r="O3" s="4" t="s">
        <v>897</v>
      </c>
      <c r="P3" s="182"/>
    </row>
    <row r="4" spans="1:16" ht="15.75" x14ac:dyDescent="0.25">
      <c r="A4" s="332">
        <f>A3+7</f>
        <v>46207</v>
      </c>
      <c r="B4" s="429">
        <f>'Sales Numbers'!D35</f>
        <v>44923.6</v>
      </c>
      <c r="C4" s="407">
        <f>'Receiving Totals'!Y15</f>
        <v>54.75</v>
      </c>
      <c r="D4" s="408">
        <f t="shared" ref="D4:D7" si="0">C4/B4</f>
        <v>1.2187358092405774E-3</v>
      </c>
      <c r="F4" s="413" t="s">
        <v>898</v>
      </c>
      <c r="G4" s="334">
        <v>0</v>
      </c>
      <c r="H4" s="4" t="s">
        <v>899</v>
      </c>
      <c r="I4" s="151" t="s">
        <v>991</v>
      </c>
      <c r="J4" s="436" t="s">
        <v>900</v>
      </c>
      <c r="K4" s="432">
        <v>38465.089999999997</v>
      </c>
      <c r="L4" s="432">
        <v>3373.22</v>
      </c>
      <c r="M4" s="432">
        <v>41131.39</v>
      </c>
      <c r="N4" s="432"/>
      <c r="O4" s="432">
        <v>3795.92</v>
      </c>
      <c r="P4" s="182">
        <f>SUM(K4:O4)</f>
        <v>86765.62</v>
      </c>
    </row>
    <row r="5" spans="1:16" ht="15.75" x14ac:dyDescent="0.25">
      <c r="A5" s="332">
        <f t="shared" ref="A5:A7" si="1">A4+7</f>
        <v>46214</v>
      </c>
      <c r="B5" s="429">
        <f>'Sales Numbers'!E35</f>
        <v>40570.57</v>
      </c>
      <c r="C5" s="407">
        <f>'Receiving Totals'!Y22</f>
        <v>1037.6400000000001</v>
      </c>
      <c r="D5" s="408">
        <f t="shared" si="0"/>
        <v>2.5576175045112753E-2</v>
      </c>
      <c r="F5" s="413" t="s">
        <v>901</v>
      </c>
      <c r="G5" s="334">
        <v>1204</v>
      </c>
      <c r="H5" s="4" t="s">
        <v>899</v>
      </c>
      <c r="I5" s="152" t="s">
        <v>992</v>
      </c>
      <c r="J5" s="436" t="s">
        <v>902</v>
      </c>
      <c r="K5" s="334">
        <v>27674.2</v>
      </c>
      <c r="L5" s="334">
        <v>883.63</v>
      </c>
      <c r="M5" s="334">
        <v>10429.99</v>
      </c>
      <c r="N5" s="334"/>
      <c r="O5" s="334"/>
      <c r="P5" s="182">
        <f t="shared" ref="P5:P10" si="2">SUM(K5:O5)</f>
        <v>38987.82</v>
      </c>
    </row>
    <row r="6" spans="1:16" ht="15.75" x14ac:dyDescent="0.25">
      <c r="A6" s="332">
        <f t="shared" si="1"/>
        <v>46221</v>
      </c>
      <c r="B6" s="429">
        <f>'Sales Numbers'!F35</f>
        <v>36796.759999999995</v>
      </c>
      <c r="C6" s="407">
        <f>'Receiving Totals'!Y29</f>
        <v>1623.1499999999999</v>
      </c>
      <c r="D6" s="408">
        <f t="shared" si="0"/>
        <v>4.4111220661819141E-2</v>
      </c>
      <c r="F6" s="413" t="s">
        <v>903</v>
      </c>
      <c r="G6" s="334">
        <v>4198</v>
      </c>
      <c r="H6"/>
      <c r="I6" s="145"/>
      <c r="J6" s="436" t="s">
        <v>904</v>
      </c>
      <c r="K6" s="334"/>
      <c r="L6" s="334"/>
      <c r="M6" s="334"/>
      <c r="N6" s="334"/>
      <c r="O6" s="334"/>
      <c r="P6" s="182">
        <f t="shared" si="2"/>
        <v>0</v>
      </c>
    </row>
    <row r="7" spans="1:16" ht="16.5" thickBot="1" x14ac:dyDescent="0.3">
      <c r="A7" s="332">
        <f t="shared" si="1"/>
        <v>46228</v>
      </c>
      <c r="B7" s="429">
        <f>'Sales Numbers'!G35</f>
        <v>0</v>
      </c>
      <c r="C7" s="407">
        <f>'Receiving Totals'!Y36</f>
        <v>0</v>
      </c>
      <c r="D7" s="408" t="e">
        <f t="shared" si="0"/>
        <v>#DIV/0!</v>
      </c>
      <c r="F7" s="413" t="s">
        <v>905</v>
      </c>
      <c r="G7" s="182">
        <f>G5-G4</f>
        <v>1204</v>
      </c>
      <c r="H7"/>
      <c r="I7" s="143"/>
      <c r="J7" s="436" t="s">
        <v>906</v>
      </c>
      <c r="K7" s="334"/>
      <c r="L7" s="334"/>
      <c r="M7" s="334"/>
      <c r="N7" s="334"/>
      <c r="O7" s="334"/>
      <c r="P7" s="182">
        <f t="shared" si="2"/>
        <v>0</v>
      </c>
    </row>
    <row r="8" spans="1:16" s="336" customFormat="1" ht="18.75" thickBot="1" x14ac:dyDescent="0.3">
      <c r="A8" s="261" t="s">
        <v>869</v>
      </c>
      <c r="B8" s="426">
        <f>SUM(B3:B7)</f>
        <v>158451.52000000002</v>
      </c>
      <c r="C8" s="409">
        <f>SUM(C3:C7)</f>
        <v>3083.6</v>
      </c>
      <c r="D8" s="410">
        <f>C8/B8</f>
        <v>1.9460842029158189E-2</v>
      </c>
      <c r="F8" s="413" t="s">
        <v>907</v>
      </c>
      <c r="G8" s="182">
        <f>G7/2</f>
        <v>602</v>
      </c>
      <c r="H8" s="84"/>
      <c r="I8" s="143"/>
      <c r="J8" s="436" t="s">
        <v>908</v>
      </c>
      <c r="K8" s="334"/>
      <c r="L8" s="334"/>
      <c r="M8" s="334"/>
      <c r="N8" s="334"/>
      <c r="O8" s="334"/>
      <c r="P8" s="182">
        <f t="shared" si="2"/>
        <v>0</v>
      </c>
    </row>
    <row r="9" spans="1:16" ht="16.5" thickBot="1" x14ac:dyDescent="0.3">
      <c r="A9" s="346"/>
      <c r="B9" s="348"/>
      <c r="D9" s="390"/>
      <c r="F9" s="413" t="s">
        <v>909</v>
      </c>
      <c r="G9" s="41">
        <f>G6-G5</f>
        <v>2994</v>
      </c>
      <c r="H9"/>
      <c r="J9" s="436" t="s">
        <v>910</v>
      </c>
      <c r="K9" s="334"/>
      <c r="L9" s="334"/>
      <c r="M9" s="334"/>
      <c r="N9" s="334"/>
      <c r="O9" s="334"/>
      <c r="P9" s="182">
        <f t="shared" si="2"/>
        <v>0</v>
      </c>
    </row>
    <row r="10" spans="1:16" s="336" customFormat="1" ht="16.5" thickBot="1" x14ac:dyDescent="0.3">
      <c r="A10" s="368" t="s">
        <v>870</v>
      </c>
      <c r="B10" s="369">
        <f>ROUND((B8*B11)-B21+B19,2)</f>
        <v>129056.01</v>
      </c>
      <c r="D10" s="416"/>
      <c r="F10" s="413" t="s">
        <v>911</v>
      </c>
      <c r="G10" s="389">
        <f>G8+G9</f>
        <v>3596</v>
      </c>
      <c r="H10" s="84"/>
      <c r="I10" s="13"/>
      <c r="J10" s="436" t="s">
        <v>912</v>
      </c>
      <c r="K10" s="334"/>
      <c r="L10" s="334"/>
      <c r="M10" s="334"/>
      <c r="N10" s="334"/>
      <c r="O10" s="334"/>
      <c r="P10" s="182">
        <f t="shared" si="2"/>
        <v>0</v>
      </c>
    </row>
    <row r="11" spans="1:16" s="336" customFormat="1" ht="16.5" thickBot="1" x14ac:dyDescent="0.3">
      <c r="A11" s="370" t="s">
        <v>913</v>
      </c>
      <c r="B11" s="371">
        <v>0.2</v>
      </c>
      <c r="D11" s="416"/>
      <c r="F11" s="413" t="s">
        <v>914</v>
      </c>
      <c r="G11" s="389">
        <f>G10*0.8</f>
        <v>2876.8</v>
      </c>
      <c r="H11" s="84"/>
      <c r="I11" s="13"/>
      <c r="J11" s="4"/>
      <c r="K11" s="13"/>
      <c r="L11" s="13"/>
      <c r="M11" s="13"/>
      <c r="N11" s="13"/>
      <c r="O11" s="340" t="s">
        <v>915</v>
      </c>
      <c r="P11" s="437">
        <f>SUM(P4:P10)</f>
        <v>125753.44</v>
      </c>
    </row>
    <row r="12" spans="1:16" s="336" customFormat="1" ht="15" customHeight="1" x14ac:dyDescent="0.25">
      <c r="A12" s="370" t="s">
        <v>872</v>
      </c>
      <c r="B12" s="373">
        <f>B19</f>
        <v>136357.91200000001</v>
      </c>
      <c r="D12" s="416"/>
      <c r="F12" s="433"/>
      <c r="G12"/>
      <c r="H12" s="84"/>
      <c r="I12" s="145"/>
      <c r="J12" s="340" t="s">
        <v>916</v>
      </c>
      <c r="K12" s="334">
        <v>15429.48</v>
      </c>
      <c r="L12" s="334">
        <v>1018.82</v>
      </c>
      <c r="M12" s="334">
        <v>297.23</v>
      </c>
      <c r="N12" s="334"/>
      <c r="O12" s="334">
        <v>106.06</v>
      </c>
      <c r="P12" s="182">
        <f>SUM(K12:O12)</f>
        <v>16851.59</v>
      </c>
    </row>
    <row r="13" spans="1:16" s="336" customFormat="1" ht="15" customHeight="1" x14ac:dyDescent="0.25">
      <c r="A13" s="370" t="s">
        <v>873</v>
      </c>
      <c r="B13" s="373">
        <f>B16</f>
        <v>128641.83</v>
      </c>
      <c r="D13" s="416"/>
      <c r="H13" s="84"/>
      <c r="I13" s="143"/>
      <c r="J13" s="340" t="s">
        <v>917</v>
      </c>
      <c r="K13" s="334"/>
      <c r="L13" s="334"/>
      <c r="M13" s="334"/>
      <c r="N13" s="334"/>
      <c r="O13" s="334"/>
      <c r="P13" s="182">
        <f>SUM(K13:O13)</f>
        <v>0</v>
      </c>
    </row>
    <row r="14" spans="1:16" s="336" customFormat="1" ht="18.75" thickBot="1" x14ac:dyDescent="0.3">
      <c r="A14" s="374" t="s">
        <v>874</v>
      </c>
      <c r="B14" s="375">
        <f>B12-B13</f>
        <v>7716.0820000000094</v>
      </c>
      <c r="D14" s="416"/>
      <c r="F14" s="141"/>
      <c r="G14" s="140"/>
      <c r="H14" s="13"/>
      <c r="I14" s="144"/>
      <c r="J14" s="337"/>
      <c r="K14" s="334"/>
      <c r="L14" s="334"/>
      <c r="M14" s="334"/>
      <c r="N14" s="334"/>
      <c r="O14" s="334"/>
      <c r="P14" s="182">
        <f>SUM(K14:O14)</f>
        <v>0</v>
      </c>
    </row>
    <row r="15" spans="1:16" ht="18.75" thickBot="1" x14ac:dyDescent="0.3">
      <c r="A15" s="346"/>
      <c r="B15" s="348"/>
      <c r="D15" s="390"/>
      <c r="F15" s="141"/>
      <c r="G15" s="174"/>
      <c r="I15" s="144"/>
      <c r="J15" s="337"/>
      <c r="K15" s="340"/>
      <c r="L15" s="340"/>
      <c r="M15" s="340"/>
      <c r="N15" s="4"/>
      <c r="O15" s="340" t="s">
        <v>918</v>
      </c>
      <c r="P15" s="437">
        <f>SUM(P12:P14)</f>
        <v>16851.59</v>
      </c>
    </row>
    <row r="16" spans="1:16" s="336" customFormat="1" ht="18.75" thickBot="1" x14ac:dyDescent="0.3">
      <c r="A16" s="368" t="s">
        <v>875</v>
      </c>
      <c r="B16" s="427">
        <v>128641.83</v>
      </c>
      <c r="D16" s="416"/>
      <c r="F16" s="434"/>
      <c r="G16" s="174"/>
      <c r="H16" s="418"/>
      <c r="I16" s="13"/>
      <c r="J16" s="13"/>
      <c r="K16" s="4"/>
      <c r="L16" s="4"/>
      <c r="M16" s="4"/>
      <c r="N16" s="4"/>
      <c r="O16" s="340" t="s">
        <v>919</v>
      </c>
      <c r="P16" s="437">
        <f>0.2*P15*-1</f>
        <v>-3370.3180000000002</v>
      </c>
    </row>
    <row r="17" spans="1:18" s="336" customFormat="1" ht="18.75" thickBot="1" x14ac:dyDescent="0.3">
      <c r="A17" s="370" t="s">
        <v>876</v>
      </c>
      <c r="B17" s="377">
        <f>'Receiving Totals'!D38</f>
        <v>127175.39616999999</v>
      </c>
      <c r="D17" s="416"/>
      <c r="F17" s="140"/>
      <c r="G17" s="174"/>
      <c r="H17" s="418"/>
      <c r="I17" s="145"/>
      <c r="J17" s="13"/>
      <c r="K17" s="4"/>
      <c r="L17" s="4"/>
      <c r="M17" s="4"/>
      <c r="N17" s="4"/>
      <c r="O17" s="340" t="s">
        <v>920</v>
      </c>
      <c r="P17" s="437">
        <f>G11*-1</f>
        <v>-2876.8</v>
      </c>
    </row>
    <row r="18" spans="1:18" s="336" customFormat="1" ht="18.75" thickBot="1" x14ac:dyDescent="0.3">
      <c r="A18" s="370" t="s">
        <v>877</v>
      </c>
      <c r="B18" s="377">
        <f>B16+B17</f>
        <v>255817.22616999998</v>
      </c>
      <c r="D18" s="416"/>
      <c r="F18" s="435"/>
      <c r="G18" s="140"/>
      <c r="H18" s="418"/>
      <c r="I18" s="143"/>
      <c r="J18" s="13"/>
      <c r="K18" s="4"/>
      <c r="L18" s="4"/>
      <c r="M18" s="4"/>
      <c r="N18" s="4"/>
      <c r="O18" s="340"/>
      <c r="P18" s="338"/>
      <c r="Q18" s="13"/>
      <c r="R18" s="13"/>
    </row>
    <row r="19" spans="1:18" s="336" customFormat="1" ht="15.75" thickBot="1" x14ac:dyDescent="0.3">
      <c r="A19" s="370" t="s">
        <v>878</v>
      </c>
      <c r="B19" s="428">
        <f>P19</f>
        <v>136357.91200000001</v>
      </c>
      <c r="D19" s="416"/>
      <c r="F19" s="331"/>
      <c r="G19" s="13"/>
      <c r="H19" s="13"/>
      <c r="I19" s="13"/>
      <c r="J19" s="13"/>
      <c r="K19" s="4"/>
      <c r="L19" s="4"/>
      <c r="M19" s="4"/>
      <c r="N19" s="338"/>
      <c r="O19" s="340" t="s">
        <v>921</v>
      </c>
      <c r="P19" s="438">
        <f>P11+P15+P16+P17</f>
        <v>136357.91200000001</v>
      </c>
    </row>
    <row r="20" spans="1:18" ht="15" x14ac:dyDescent="0.25">
      <c r="A20" s="370" t="s">
        <v>879</v>
      </c>
      <c r="B20" s="377">
        <f>B18-B19</f>
        <v>119459.31416999997</v>
      </c>
      <c r="D20" s="390"/>
      <c r="F20" s="439"/>
      <c r="G20" s="13"/>
      <c r="H20" s="13"/>
      <c r="P20" s="13"/>
    </row>
    <row r="21" spans="1:18" ht="15.75" thickBot="1" x14ac:dyDescent="0.3">
      <c r="A21" s="370" t="s">
        <v>880</v>
      </c>
      <c r="B21" s="377">
        <f>B8-B20</f>
        <v>38992.20583000005</v>
      </c>
      <c r="D21" s="390"/>
      <c r="F21" s="174"/>
      <c r="G21" s="13"/>
      <c r="H21" s="13"/>
      <c r="P21" s="13"/>
    </row>
    <row r="22" spans="1:18" ht="24" thickBot="1" x14ac:dyDescent="0.4">
      <c r="A22" s="378" t="s">
        <v>881</v>
      </c>
      <c r="B22" s="379">
        <f>B21/B8</f>
        <v>0.24608287651642627</v>
      </c>
      <c r="D22" s="390"/>
      <c r="F22" s="175"/>
      <c r="G22" s="13"/>
      <c r="H22" s="13"/>
      <c r="P22" s="13"/>
    </row>
    <row r="23" spans="1:18" ht="15.75" thickBot="1" x14ac:dyDescent="0.3">
      <c r="A23" s="346"/>
      <c r="B23" s="348"/>
      <c r="D23" s="390"/>
      <c r="F23" s="13"/>
      <c r="G23" s="13"/>
      <c r="H23" s="13"/>
      <c r="P23" s="13"/>
    </row>
    <row r="24" spans="1:18" ht="15" x14ac:dyDescent="0.25">
      <c r="A24" s="368" t="s">
        <v>882</v>
      </c>
      <c r="B24" s="417">
        <v>0.21240000000000001</v>
      </c>
      <c r="D24" s="390"/>
      <c r="F24" s="13"/>
      <c r="G24" s="13"/>
      <c r="H24" s="13"/>
      <c r="P24" s="13"/>
    </row>
    <row r="25" spans="1:18" ht="15" x14ac:dyDescent="0.25">
      <c r="A25" s="370" t="s">
        <v>883</v>
      </c>
      <c r="B25" s="377">
        <f>B8*B24</f>
        <v>33655.102848000002</v>
      </c>
      <c r="D25" s="390"/>
      <c r="F25" s="13"/>
      <c r="G25" s="13"/>
      <c r="H25" s="13"/>
      <c r="P25" s="13"/>
    </row>
    <row r="26" spans="1:18" ht="15" x14ac:dyDescent="0.25">
      <c r="A26" s="370" t="s">
        <v>884</v>
      </c>
      <c r="B26" s="377">
        <f>B21-B25</f>
        <v>5337.1029820000476</v>
      </c>
      <c r="D26" s="390"/>
      <c r="F26" s="13"/>
      <c r="G26" s="13"/>
      <c r="H26" s="13"/>
      <c r="P26" s="13"/>
    </row>
    <row r="27" spans="1:18" ht="15.75" thickBot="1" x14ac:dyDescent="0.3">
      <c r="A27" s="374" t="s">
        <v>885</v>
      </c>
      <c r="B27" s="381">
        <f>B22-B24</f>
        <v>3.3682876516426263E-2</v>
      </c>
      <c r="D27" s="390"/>
      <c r="F27" s="13"/>
      <c r="G27" s="13"/>
      <c r="H27" s="13"/>
      <c r="P27" s="13"/>
    </row>
    <row r="28" spans="1:18" ht="15.75" thickBot="1" x14ac:dyDescent="0.3">
      <c r="A28" s="346"/>
      <c r="B28" s="348"/>
      <c r="D28" s="390"/>
      <c r="F28" s="13"/>
      <c r="G28" s="13"/>
      <c r="H28" s="13"/>
      <c r="P28" s="13"/>
    </row>
    <row r="29" spans="1:18" ht="15" x14ac:dyDescent="0.25">
      <c r="A29" s="368" t="s">
        <v>886</v>
      </c>
      <c r="B29" s="382">
        <f>B24-D8</f>
        <v>0.19293915797084182</v>
      </c>
      <c r="D29" s="390"/>
      <c r="F29" s="13"/>
      <c r="G29" s="13"/>
      <c r="H29" s="13"/>
      <c r="P29" s="13"/>
    </row>
    <row r="30" spans="1:18" ht="15" x14ac:dyDescent="0.25">
      <c r="A30" s="370" t="s">
        <v>887</v>
      </c>
      <c r="B30" s="377">
        <f>B25-C8</f>
        <v>30571.502848000004</v>
      </c>
      <c r="D30" s="390"/>
      <c r="F30" s="13"/>
      <c r="G30" s="13"/>
      <c r="H30" s="13"/>
      <c r="P30" s="13"/>
    </row>
    <row r="31" spans="1:18" ht="15" x14ac:dyDescent="0.25">
      <c r="A31" s="370" t="s">
        <v>888</v>
      </c>
      <c r="B31" s="377">
        <f>B21-B30</f>
        <v>8420.7029820000462</v>
      </c>
      <c r="D31" s="390"/>
      <c r="F31" s="13"/>
      <c r="G31" s="13"/>
      <c r="H31" s="13"/>
      <c r="P31" s="13"/>
    </row>
    <row r="32" spans="1:18" ht="15.75" thickBot="1" x14ac:dyDescent="0.3">
      <c r="A32" s="374" t="s">
        <v>889</v>
      </c>
      <c r="B32" s="381">
        <f>B22-B29</f>
        <v>5.3143718545584445E-2</v>
      </c>
      <c r="D32" s="390"/>
      <c r="F32" s="13"/>
      <c r="G32" s="13"/>
      <c r="H32" s="13"/>
      <c r="P32" s="13"/>
    </row>
    <row r="33" spans="1:16" x14ac:dyDescent="0.25">
      <c r="A33" s="346"/>
      <c r="B33" s="4"/>
      <c r="D33" s="390"/>
      <c r="F33" s="13"/>
    </row>
    <row r="34" spans="1:16" x14ac:dyDescent="0.25">
      <c r="A34" s="383" t="s">
        <v>890</v>
      </c>
      <c r="B34" s="333">
        <f>B22-B11</f>
        <v>4.6082876516426258E-2</v>
      </c>
      <c r="D34" s="390"/>
      <c r="F34" s="13"/>
    </row>
    <row r="35" spans="1:16" ht="15" x14ac:dyDescent="0.25">
      <c r="A35" s="415"/>
      <c r="D35" s="390"/>
      <c r="F35" s="13"/>
      <c r="G35" s="13"/>
      <c r="H35" s="13"/>
      <c r="P35" s="13"/>
    </row>
    <row r="36" spans="1:16" ht="15" x14ac:dyDescent="0.25">
      <c r="A36" s="415"/>
      <c r="D36" s="390"/>
      <c r="F36" s="13"/>
      <c r="G36" s="13"/>
      <c r="H36" s="13"/>
      <c r="P36" s="13"/>
    </row>
    <row r="37" spans="1:16" ht="15" x14ac:dyDescent="0.25">
      <c r="A37" s="415"/>
      <c r="D37" s="390"/>
      <c r="F37" s="13"/>
      <c r="G37" s="13"/>
      <c r="H37" s="13"/>
      <c r="P37" s="13"/>
    </row>
    <row r="38" spans="1:16" ht="15" x14ac:dyDescent="0.25">
      <c r="A38" s="415"/>
      <c r="D38" s="390"/>
      <c r="F38" s="13"/>
      <c r="G38" s="13"/>
      <c r="H38" s="13"/>
      <c r="P38" s="13"/>
    </row>
    <row r="39" spans="1:16" ht="18.75" thickBot="1" x14ac:dyDescent="0.3">
      <c r="A39" s="419"/>
      <c r="B39" s="420"/>
      <c r="C39" s="420"/>
      <c r="D39" s="392"/>
      <c r="F39" s="13"/>
    </row>
    <row r="40" spans="1:16" x14ac:dyDescent="0.25">
      <c r="F40" s="13"/>
    </row>
  </sheetData>
  <sheetProtection algorithmName="SHA-512" hashValue="Jo0pGxIDyPlEPOciB/L/ivY/eBIswZ/9bUeW6Ohe+DP1rsU24PuKKMzAW5O9rRwVs+LzvDId5sn80oY67aZznw==" saltValue="8h5QhKtO7RV1s2LaZ+PYRw==" spinCount="100000" sheet="1" objects="1" scenarios="1"/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6C04-AA2F-4073-992F-10D950555E92}">
  <dimension ref="A1:M40"/>
  <sheetViews>
    <sheetView tabSelected="1" workbookViewId="0">
      <selection activeCell="D14" sqref="D14"/>
    </sheetView>
  </sheetViews>
  <sheetFormatPr defaultRowHeight="15" x14ac:dyDescent="0.25"/>
  <cols>
    <col min="1" max="1" width="31.42578125" style="13" customWidth="1"/>
    <col min="2" max="2" width="17" style="13" customWidth="1"/>
    <col min="3" max="3" width="15.28515625" style="13" customWidth="1"/>
    <col min="4" max="4" width="13.5703125" style="13" customWidth="1"/>
    <col min="5" max="5" width="2.42578125" style="13" customWidth="1"/>
    <col min="6" max="6" width="23.85546875" style="13" bestFit="1" customWidth="1"/>
    <col min="7" max="7" width="12.7109375" style="13" customWidth="1"/>
    <col min="8" max="8" width="11.5703125" style="13" bestFit="1" customWidth="1"/>
    <col min="9" max="10" width="9.140625" style="13"/>
    <col min="11" max="11" width="11.85546875" style="13" bestFit="1" customWidth="1"/>
    <col min="12" max="12" width="9.140625" style="13"/>
    <col min="13" max="13" width="11.5703125" style="13" bestFit="1" customWidth="1"/>
    <col min="14" max="14" width="9.140625" style="13"/>
    <col min="15" max="15" width="11.5703125" style="13" bestFit="1" customWidth="1"/>
    <col min="16" max="16384" width="9.140625" style="13"/>
  </cols>
  <sheetData>
    <row r="1" spans="1:13" s="336" customFormat="1" ht="18.75" thickBot="1" x14ac:dyDescent="0.3">
      <c r="A1" s="406" t="str">
        <f>Tobacco!A1</f>
        <v>Period 9</v>
      </c>
      <c r="B1" s="366" t="s">
        <v>922</v>
      </c>
      <c r="C1" s="366" t="s">
        <v>891</v>
      </c>
      <c r="D1" s="366" t="s">
        <v>892</v>
      </c>
    </row>
    <row r="2" spans="1:13" ht="15.75" x14ac:dyDescent="0.25">
      <c r="A2" s="430" t="s">
        <v>768</v>
      </c>
      <c r="B2" s="367" t="s">
        <v>868</v>
      </c>
      <c r="C2" s="4"/>
      <c r="D2" s="348"/>
    </row>
    <row r="3" spans="1:13" ht="15.75" x14ac:dyDescent="0.25">
      <c r="A3" s="332">
        <f>Tobacco!$A$3</f>
        <v>46200</v>
      </c>
      <c r="B3" s="429">
        <f>'Sales Numbers'!C36</f>
        <v>23708.02</v>
      </c>
      <c r="C3" s="407">
        <f>'Receiving Totals'!$Z$8</f>
        <v>2972.5200000000004</v>
      </c>
      <c r="D3" s="408">
        <f>IF(B3=0,0,C3/B3)</f>
        <v>0.12538035652070481</v>
      </c>
      <c r="J3" s="4"/>
      <c r="K3" s="4" t="s">
        <v>923</v>
      </c>
      <c r="L3" s="4" t="s">
        <v>924</v>
      </c>
      <c r="M3" s="4"/>
    </row>
    <row r="4" spans="1:13" ht="15.75" x14ac:dyDescent="0.25">
      <c r="A4" s="332">
        <f>A3+7</f>
        <v>46207</v>
      </c>
      <c r="B4" s="429">
        <f>'Sales Numbers'!D36</f>
        <v>19683.57</v>
      </c>
      <c r="C4" s="407">
        <f>'Receiving Totals'!$Z$15</f>
        <v>2639.3500000000004</v>
      </c>
      <c r="D4" s="408">
        <f t="shared" ref="D4:D7" si="0">IF(B4=0,0,C4/B4)</f>
        <v>0.13408898893849033</v>
      </c>
      <c r="F4" s="413" t="s">
        <v>898</v>
      </c>
      <c r="G4" s="335">
        <v>207</v>
      </c>
      <c r="H4" s="4" t="s">
        <v>899</v>
      </c>
      <c r="I4" s="151"/>
      <c r="J4" s="340" t="s">
        <v>925</v>
      </c>
      <c r="K4" s="334">
        <v>26654.75</v>
      </c>
      <c r="L4" s="334">
        <v>122.63</v>
      </c>
      <c r="M4" s="182">
        <f>K4+L4</f>
        <v>26777.38</v>
      </c>
    </row>
    <row r="5" spans="1:13" ht="15.75" x14ac:dyDescent="0.25">
      <c r="A5" s="332">
        <f>A4+7</f>
        <v>46214</v>
      </c>
      <c r="B5" s="429">
        <f>'Sales Numbers'!E36</f>
        <v>20821.09</v>
      </c>
      <c r="C5" s="407">
        <f>'Receiving Totals'!$Z$22</f>
        <v>3051.15</v>
      </c>
      <c r="D5" s="408">
        <f t="shared" si="0"/>
        <v>0.14654131940258652</v>
      </c>
      <c r="F5" s="413" t="s">
        <v>901</v>
      </c>
      <c r="G5" s="335">
        <v>444</v>
      </c>
      <c r="H5" s="4" t="s">
        <v>899</v>
      </c>
      <c r="I5" s="152"/>
      <c r="J5" s="340" t="s">
        <v>926</v>
      </c>
      <c r="K5" s="334"/>
      <c r="L5" s="334"/>
      <c r="M5" s="182">
        <f>K5+L5</f>
        <v>0</v>
      </c>
    </row>
    <row r="6" spans="1:13" ht="15.75" x14ac:dyDescent="0.25">
      <c r="A6" s="332">
        <f>A5+7</f>
        <v>46221</v>
      </c>
      <c r="B6" s="429">
        <f>'Sales Numbers'!F36</f>
        <v>20829.3</v>
      </c>
      <c r="C6" s="407">
        <f>'Receiving Totals'!$Z$29</f>
        <v>1920.1699999999998</v>
      </c>
      <c r="D6" s="408">
        <f t="shared" si="0"/>
        <v>9.218600721099604E-2</v>
      </c>
      <c r="F6" s="413" t="s">
        <v>903</v>
      </c>
      <c r="G6" s="335">
        <v>2476</v>
      </c>
      <c r="J6" s="340" t="s">
        <v>927</v>
      </c>
      <c r="K6" s="334"/>
      <c r="L6" s="334"/>
      <c r="M6" s="182">
        <f>SUM(K6:L6)</f>
        <v>0</v>
      </c>
    </row>
    <row r="7" spans="1:13" ht="16.5" thickBot="1" x14ac:dyDescent="0.3">
      <c r="A7" s="332">
        <f>A6+7</f>
        <v>46228</v>
      </c>
      <c r="B7" s="429">
        <f>'Sales Numbers'!G36</f>
        <v>0</v>
      </c>
      <c r="C7" s="407">
        <f>'Receiving Totals'!$Z$36</f>
        <v>0</v>
      </c>
      <c r="D7" s="408">
        <f t="shared" si="0"/>
        <v>0</v>
      </c>
      <c r="F7" s="413" t="s">
        <v>905</v>
      </c>
      <c r="G7" s="339">
        <f>G5-G4</f>
        <v>237</v>
      </c>
      <c r="J7" s="340" t="s">
        <v>928</v>
      </c>
      <c r="K7" s="334"/>
      <c r="L7" s="334"/>
      <c r="M7" s="182">
        <f>SUM(K7:L7)</f>
        <v>0</v>
      </c>
    </row>
    <row r="8" spans="1:13" s="336" customFormat="1" ht="18.75" thickBot="1" x14ac:dyDescent="0.3">
      <c r="A8" s="261" t="s">
        <v>869</v>
      </c>
      <c r="B8" s="426">
        <f>SUM(B3:B7)</f>
        <v>85041.98</v>
      </c>
      <c r="C8" s="409">
        <f>SUM(C3:C7)</f>
        <v>10583.19</v>
      </c>
      <c r="D8" s="410">
        <f>C8/B8</f>
        <v>0.12444665563995572</v>
      </c>
      <c r="F8" s="413" t="s">
        <v>907</v>
      </c>
      <c r="G8" s="339">
        <f>G7/2</f>
        <v>118.5</v>
      </c>
      <c r="J8" s="4"/>
      <c r="K8" s="4"/>
      <c r="L8" s="340" t="s">
        <v>915</v>
      </c>
      <c r="M8" s="411">
        <f>SUM(M4:M7)</f>
        <v>26777.38</v>
      </c>
    </row>
    <row r="9" spans="1:13" ht="16.5" thickBot="1" x14ac:dyDescent="0.3">
      <c r="A9" s="346"/>
      <c r="B9" s="348"/>
      <c r="D9" s="390"/>
      <c r="F9" s="413" t="s">
        <v>909</v>
      </c>
      <c r="G9" s="41">
        <f>G6-G5</f>
        <v>2032</v>
      </c>
      <c r="J9" s="338"/>
      <c r="K9" s="338"/>
      <c r="L9" s="340" t="s">
        <v>929</v>
      </c>
      <c r="M9" s="411">
        <f>G13*-1</f>
        <v>-1720.4</v>
      </c>
    </row>
    <row r="10" spans="1:13" s="336" customFormat="1" ht="16.5" thickBot="1" x14ac:dyDescent="0.3">
      <c r="A10" s="368" t="s">
        <v>870</v>
      </c>
      <c r="B10" s="369">
        <f>ROUND((B8*B11)-B21+B19,2)</f>
        <v>26777.46</v>
      </c>
      <c r="D10" s="416"/>
      <c r="F10" s="413" t="s">
        <v>911</v>
      </c>
      <c r="G10" s="41">
        <f>G8+G9</f>
        <v>2150.5</v>
      </c>
      <c r="J10" s="338"/>
      <c r="K10" s="338"/>
      <c r="L10" s="338"/>
      <c r="M10" s="338"/>
    </row>
    <row r="11" spans="1:13" s="336" customFormat="1" ht="16.5" thickBot="1" x14ac:dyDescent="0.3">
      <c r="A11" s="370" t="s">
        <v>913</v>
      </c>
      <c r="B11" s="371">
        <v>0.21</v>
      </c>
      <c r="D11" s="416"/>
      <c r="F11" s="413" t="s">
        <v>914</v>
      </c>
      <c r="G11" s="41">
        <f>G10*0.8</f>
        <v>1720.4</v>
      </c>
      <c r="J11" s="338"/>
      <c r="K11" s="338"/>
      <c r="L11" s="340" t="s">
        <v>921</v>
      </c>
      <c r="M11" s="411">
        <f>M8+M9</f>
        <v>25056.98</v>
      </c>
    </row>
    <row r="12" spans="1:13" s="336" customFormat="1" ht="15.75" thickBot="1" x14ac:dyDescent="0.3">
      <c r="A12" s="370" t="s">
        <v>872</v>
      </c>
      <c r="B12" s="373">
        <f>B19</f>
        <v>25056.98</v>
      </c>
      <c r="D12" s="416"/>
      <c r="F12" s="182"/>
      <c r="G12" s="4"/>
      <c r="L12" s="337"/>
    </row>
    <row r="13" spans="1:13" s="336" customFormat="1" ht="16.5" thickBot="1" x14ac:dyDescent="0.3">
      <c r="A13" s="370" t="s">
        <v>873</v>
      </c>
      <c r="B13" s="373">
        <f>B16</f>
        <v>29722.02</v>
      </c>
      <c r="D13" s="416"/>
      <c r="F13" s="413" t="s">
        <v>930</v>
      </c>
      <c r="G13" s="414">
        <f>G11</f>
        <v>1720.4</v>
      </c>
      <c r="L13" s="337"/>
    </row>
    <row r="14" spans="1:13" s="336" customFormat="1" ht="15.75" thickBot="1" x14ac:dyDescent="0.3">
      <c r="A14" s="374" t="s">
        <v>874</v>
      </c>
      <c r="B14" s="375">
        <f>B12-B13</f>
        <v>-4665.0400000000009</v>
      </c>
      <c r="D14" s="416"/>
    </row>
    <row r="15" spans="1:13" ht="15.75" thickBot="1" x14ac:dyDescent="0.3">
      <c r="A15" s="346"/>
      <c r="B15" s="348"/>
      <c r="D15" s="390"/>
    </row>
    <row r="16" spans="1:13" s="336" customFormat="1" ht="15" customHeight="1" x14ac:dyDescent="0.25">
      <c r="A16" s="368" t="s">
        <v>875</v>
      </c>
      <c r="B16" s="427">
        <v>29722.02</v>
      </c>
      <c r="D16" s="416"/>
    </row>
    <row r="17" spans="1:4" s="336" customFormat="1" ht="15" customHeight="1" x14ac:dyDescent="0.25">
      <c r="A17" s="370" t="s">
        <v>876</v>
      </c>
      <c r="B17" s="377">
        <f>'Receiving Totals'!$H$38+'Receiving Totals'!$I$38</f>
        <v>64238.599229999993</v>
      </c>
      <c r="D17" s="416"/>
    </row>
    <row r="18" spans="1:4" s="336" customFormat="1" ht="15" customHeight="1" x14ac:dyDescent="0.25">
      <c r="A18" s="370" t="s">
        <v>877</v>
      </c>
      <c r="B18" s="377">
        <f>B16+B17</f>
        <v>93960.619229999997</v>
      </c>
      <c r="D18" s="416"/>
    </row>
    <row r="19" spans="1:4" s="336" customFormat="1" ht="15" customHeight="1" x14ac:dyDescent="0.25">
      <c r="A19" s="370" t="s">
        <v>878</v>
      </c>
      <c r="B19" s="428">
        <f>M11</f>
        <v>25056.98</v>
      </c>
      <c r="D19" s="416"/>
    </row>
    <row r="20" spans="1:4" s="336" customFormat="1" x14ac:dyDescent="0.25">
      <c r="A20" s="370" t="s">
        <v>879</v>
      </c>
      <c r="B20" s="377">
        <f>B18-B19</f>
        <v>68903.639230000001</v>
      </c>
      <c r="D20" s="416"/>
    </row>
    <row r="21" spans="1:4" s="336" customFormat="1" ht="15.75" thickBot="1" x14ac:dyDescent="0.3">
      <c r="A21" s="370" t="s">
        <v>880</v>
      </c>
      <c r="B21" s="377">
        <f>B8-B20</f>
        <v>16138.340769999995</v>
      </c>
      <c r="D21" s="416"/>
    </row>
    <row r="22" spans="1:4" ht="24" thickBot="1" x14ac:dyDescent="0.4">
      <c r="A22" s="378" t="s">
        <v>881</v>
      </c>
      <c r="B22" s="379">
        <f>B21/B8</f>
        <v>0.18976910897417953</v>
      </c>
      <c r="D22" s="390"/>
    </row>
    <row r="23" spans="1:4" ht="15.75" thickBot="1" x14ac:dyDescent="0.3">
      <c r="A23" s="346"/>
      <c r="B23" s="348"/>
      <c r="D23" s="390"/>
    </row>
    <row r="24" spans="1:4" x14ac:dyDescent="0.25">
      <c r="A24" s="368" t="s">
        <v>882</v>
      </c>
      <c r="B24" s="417">
        <v>0.31390000000000001</v>
      </c>
      <c r="D24" s="390"/>
    </row>
    <row r="25" spans="1:4" x14ac:dyDescent="0.25">
      <c r="A25" s="370" t="s">
        <v>883</v>
      </c>
      <c r="B25" s="377">
        <f>B8*B24</f>
        <v>26694.677521999998</v>
      </c>
      <c r="D25" s="390"/>
    </row>
    <row r="26" spans="1:4" x14ac:dyDescent="0.25">
      <c r="A26" s="370" t="s">
        <v>884</v>
      </c>
      <c r="B26" s="377">
        <f>B21-B25</f>
        <v>-10556.336752000003</v>
      </c>
      <c r="D26" s="390"/>
    </row>
    <row r="27" spans="1:4" ht="15.75" thickBot="1" x14ac:dyDescent="0.3">
      <c r="A27" s="374" t="s">
        <v>885</v>
      </c>
      <c r="B27" s="381">
        <f>B22-B24</f>
        <v>-0.12413089102582048</v>
      </c>
      <c r="D27" s="390"/>
    </row>
    <row r="28" spans="1:4" ht="15.75" thickBot="1" x14ac:dyDescent="0.3">
      <c r="A28" s="346"/>
      <c r="B28" s="348"/>
      <c r="D28" s="390"/>
    </row>
    <row r="29" spans="1:4" x14ac:dyDescent="0.25">
      <c r="A29" s="368" t="s">
        <v>886</v>
      </c>
      <c r="B29" s="382">
        <f>B24-D8</f>
        <v>0.1894533443600443</v>
      </c>
      <c r="D29" s="390"/>
    </row>
    <row r="30" spans="1:4" x14ac:dyDescent="0.25">
      <c r="A30" s="370" t="s">
        <v>887</v>
      </c>
      <c r="B30" s="377">
        <f>B25-C8</f>
        <v>16111.487521999998</v>
      </c>
      <c r="D30" s="390"/>
    </row>
    <row r="31" spans="1:4" x14ac:dyDescent="0.25">
      <c r="A31" s="370" t="s">
        <v>888</v>
      </c>
      <c r="B31" s="377">
        <f>B21-B30</f>
        <v>26.85324799999762</v>
      </c>
      <c r="D31" s="390"/>
    </row>
    <row r="32" spans="1:4" ht="15.75" thickBot="1" x14ac:dyDescent="0.3">
      <c r="A32" s="374" t="s">
        <v>889</v>
      </c>
      <c r="B32" s="381">
        <f>B22-B29</f>
        <v>3.1576461413523882E-4</v>
      </c>
      <c r="D32" s="390"/>
    </row>
    <row r="33" spans="1:8" ht="18" x14ac:dyDescent="0.25">
      <c r="A33" s="346"/>
      <c r="B33" s="4"/>
      <c r="D33" s="390"/>
      <c r="G33" s="140"/>
      <c r="H33" s="418"/>
    </row>
    <row r="34" spans="1:8" ht="18" x14ac:dyDescent="0.25">
      <c r="A34" s="383" t="s">
        <v>890</v>
      </c>
      <c r="B34" s="333">
        <f>B22-B11</f>
        <v>-2.0230891025820458E-2</v>
      </c>
      <c r="D34" s="390"/>
      <c r="G34" s="140"/>
      <c r="H34" s="418"/>
    </row>
    <row r="35" spans="1:8" x14ac:dyDescent="0.25">
      <c r="A35" s="415"/>
      <c r="D35" s="390"/>
    </row>
    <row r="36" spans="1:8" x14ac:dyDescent="0.25">
      <c r="A36" s="415"/>
      <c r="D36" s="390"/>
    </row>
    <row r="37" spans="1:8" x14ac:dyDescent="0.25">
      <c r="A37" s="415"/>
      <c r="D37" s="390"/>
    </row>
    <row r="38" spans="1:8" x14ac:dyDescent="0.25">
      <c r="A38" s="415"/>
      <c r="D38" s="390"/>
    </row>
    <row r="39" spans="1:8" ht="18.75" thickBot="1" x14ac:dyDescent="0.3">
      <c r="A39" s="419"/>
      <c r="B39" s="420"/>
      <c r="C39" s="420"/>
      <c r="D39" s="392"/>
      <c r="G39" s="140"/>
      <c r="H39" s="418"/>
    </row>
    <row r="40" spans="1:8" ht="18" x14ac:dyDescent="0.25">
      <c r="G40" s="140"/>
      <c r="H40" s="418"/>
    </row>
  </sheetData>
  <sheetProtection algorithmName="SHA-512" hashValue="rmWvYg/BWjDcojUG4o4WeJf8pw94dqW12mojPqW0qoY6HXNRpkStT9mJf7kXYTZll/EfLSbCu0O3N02fbON+cQ==" saltValue="VJOXp4sTvPBA/O9lJs/LRg==" spinCount="100000" sheet="1" scenarios="1"/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35C3-F180-4743-A722-399DF5616DBE}">
  <dimension ref="A1:I39"/>
  <sheetViews>
    <sheetView workbookViewId="0">
      <selection activeCell="B19" sqref="B19"/>
    </sheetView>
  </sheetViews>
  <sheetFormatPr defaultRowHeight="15" x14ac:dyDescent="0.25"/>
  <cols>
    <col min="1" max="1" width="31.42578125" style="4" customWidth="1"/>
    <col min="2" max="2" width="17" style="4" customWidth="1"/>
    <col min="3" max="3" width="15.28515625" style="4" customWidth="1"/>
    <col min="4" max="4" width="13.5703125" style="4" customWidth="1"/>
    <col min="5" max="5" width="9.140625" style="4"/>
    <col min="6" max="6" width="31.42578125" style="4" customWidth="1"/>
    <col min="7" max="7" width="19.85546875" style="4" customWidth="1"/>
    <col min="8" max="8" width="15.28515625" style="4" customWidth="1"/>
    <col min="9" max="9" width="13.5703125" style="4" customWidth="1"/>
    <col min="10" max="16384" width="9.140625" style="4"/>
  </cols>
  <sheetData>
    <row r="1" spans="1:9" ht="18.75" thickBot="1" x14ac:dyDescent="0.3">
      <c r="A1" s="406" t="str">
        <f>Tobacco!A1</f>
        <v>Period 9</v>
      </c>
      <c r="B1" s="366" t="s">
        <v>8</v>
      </c>
      <c r="C1" s="366" t="s">
        <v>891</v>
      </c>
      <c r="D1" s="366" t="s">
        <v>892</v>
      </c>
      <c r="F1" s="365" t="s">
        <v>931</v>
      </c>
      <c r="G1" s="366" t="s">
        <v>8</v>
      </c>
      <c r="H1" s="366" t="s">
        <v>891</v>
      </c>
      <c r="I1" s="366" t="s">
        <v>892</v>
      </c>
    </row>
    <row r="2" spans="1:9" ht="15.75" x14ac:dyDescent="0.25">
      <c r="A2" s="430" t="s">
        <v>768</v>
      </c>
      <c r="B2" s="367" t="s">
        <v>868</v>
      </c>
      <c r="D2" s="348"/>
      <c r="F2" s="430" t="s">
        <v>932</v>
      </c>
      <c r="G2" s="367" t="s">
        <v>868</v>
      </c>
      <c r="I2" s="348"/>
    </row>
    <row r="3" spans="1:9" ht="15.75" x14ac:dyDescent="0.25">
      <c r="A3" s="332">
        <f>Tobacco!$A$3</f>
        <v>46200</v>
      </c>
      <c r="B3" s="429">
        <f>'Sales Numbers'!C5+'Sales Numbers'!C25</f>
        <v>21315.25</v>
      </c>
      <c r="C3" s="449">
        <f>'Receiving Totals'!$V$8</f>
        <v>738.82999999999993</v>
      </c>
      <c r="D3" s="408">
        <f>IF(B3=0,0,C3/B3)</f>
        <v>3.4662037742930529E-2</v>
      </c>
      <c r="F3" s="440" t="s">
        <v>933</v>
      </c>
      <c r="G3" s="448">
        <v>119367.23</v>
      </c>
      <c r="H3" s="451">
        <v>1860.4299999999998</v>
      </c>
      <c r="I3" s="408">
        <f>IF(G3=0,0,H3/G3)</f>
        <v>1.5585768388861833E-2</v>
      </c>
    </row>
    <row r="4" spans="1:9" ht="15.75" x14ac:dyDescent="0.25">
      <c r="A4" s="332">
        <f>A3+7</f>
        <v>46207</v>
      </c>
      <c r="B4" s="429">
        <f>'Sales Numbers'!D5+'Sales Numbers'!D25</f>
        <v>23819.55</v>
      </c>
      <c r="C4" s="449">
        <f>'Receiving Totals'!$V$15</f>
        <v>517.41</v>
      </c>
      <c r="D4" s="408">
        <f t="shared" ref="D4:D7" si="0">IF(B4=0,0,C4/B4)</f>
        <v>2.1722072835129128E-2</v>
      </c>
      <c r="F4" s="440" t="s">
        <v>934</v>
      </c>
      <c r="G4" s="448">
        <v>94617.25</v>
      </c>
      <c r="H4" s="451">
        <v>1069.0100000000002</v>
      </c>
      <c r="I4" s="408">
        <f t="shared" ref="I4:I5" si="1">IF(G4=0,0,H4/G4)</f>
        <v>1.1298256924609415E-2</v>
      </c>
    </row>
    <row r="5" spans="1:9" ht="16.5" thickBot="1" x14ac:dyDescent="0.3">
      <c r="A5" s="332">
        <f>A4+7</f>
        <v>46214</v>
      </c>
      <c r="B5" s="429">
        <f>'Sales Numbers'!E5+'Sales Numbers'!E25</f>
        <v>22644.489999999998</v>
      </c>
      <c r="C5" s="449">
        <f>'Receiving Totals'!$V$22</f>
        <v>595.68999999999994</v>
      </c>
      <c r="D5" s="408">
        <f t="shared" si="0"/>
        <v>2.6306178677461933E-2</v>
      </c>
      <c r="F5" s="440" t="s">
        <v>935</v>
      </c>
      <c r="G5" s="453">
        <f>B8</f>
        <v>91262.98000000001</v>
      </c>
      <c r="H5" s="449">
        <f>C8</f>
        <v>2372.2299999999996</v>
      </c>
      <c r="I5" s="408">
        <f t="shared" si="1"/>
        <v>2.5993343631777084E-2</v>
      </c>
    </row>
    <row r="6" spans="1:9" ht="18.75" thickBot="1" x14ac:dyDescent="0.3">
      <c r="A6" s="332">
        <f>A5+7</f>
        <v>46221</v>
      </c>
      <c r="B6" s="429">
        <f>'Sales Numbers'!F5+'Sales Numbers'!F25</f>
        <v>23483.690000000002</v>
      </c>
      <c r="C6" s="449">
        <f>'Receiving Totals'!$V$29</f>
        <v>520.29999999999995</v>
      </c>
      <c r="D6" s="408">
        <f t="shared" si="0"/>
        <v>2.2155802601720596E-2</v>
      </c>
      <c r="F6" s="452" t="s">
        <v>869</v>
      </c>
      <c r="G6" s="454">
        <f>SUM(G3:G5)</f>
        <v>305247.45999999996</v>
      </c>
      <c r="H6" s="450">
        <f>SUM(H3:H5)</f>
        <v>5301.67</v>
      </c>
      <c r="I6" s="410">
        <f>H6/G6</f>
        <v>1.7368432811856981E-2</v>
      </c>
    </row>
    <row r="7" spans="1:9" ht="16.5" thickBot="1" x14ac:dyDescent="0.3">
      <c r="A7" s="332">
        <f>A6+7</f>
        <v>46228</v>
      </c>
      <c r="B7" s="429">
        <f>'Sales Numbers'!G5+'Sales Numbers'!G25</f>
        <v>0</v>
      </c>
      <c r="C7" s="449">
        <f>'Receiving Totals'!$V$36</f>
        <v>0</v>
      </c>
      <c r="D7" s="408">
        <f t="shared" si="0"/>
        <v>0</v>
      </c>
      <c r="F7" s="346"/>
      <c r="G7" s="348"/>
      <c r="I7" s="348"/>
    </row>
    <row r="8" spans="1:9" ht="18.75" thickBot="1" x14ac:dyDescent="0.3">
      <c r="A8" s="261" t="s">
        <v>869</v>
      </c>
      <c r="B8" s="426">
        <f>SUM(B3:B7)</f>
        <v>91262.98000000001</v>
      </c>
      <c r="C8" s="450">
        <f>SUM(C3:C7)</f>
        <v>2372.2299999999996</v>
      </c>
      <c r="D8" s="410">
        <f>C8/B8</f>
        <v>2.5993343631777084E-2</v>
      </c>
      <c r="F8" s="368" t="s">
        <v>870</v>
      </c>
      <c r="G8" s="369">
        <f>ROUND((G6*G9)-G22+G20,2)</f>
        <v>86866.92</v>
      </c>
      <c r="H8" s="338"/>
      <c r="I8" s="412"/>
    </row>
    <row r="9" spans="1:9" ht="15.75" thickBot="1" x14ac:dyDescent="0.3">
      <c r="A9" s="346"/>
      <c r="B9" s="348"/>
      <c r="C9" s="13"/>
      <c r="D9" s="390"/>
      <c r="F9" s="370" t="s">
        <v>913</v>
      </c>
      <c r="G9" s="441">
        <v>0.14499999999999999</v>
      </c>
      <c r="H9" s="338"/>
      <c r="I9" s="412"/>
    </row>
    <row r="10" spans="1:9" x14ac:dyDescent="0.25">
      <c r="A10" s="368" t="s">
        <v>870</v>
      </c>
      <c r="B10" s="369">
        <f>ROUND((B8*B11)-B21+B19,2)</f>
        <v>81372.479999999996</v>
      </c>
      <c r="C10" s="336"/>
      <c r="D10" s="416"/>
      <c r="F10" s="370" t="s">
        <v>872</v>
      </c>
      <c r="G10" s="372">
        <f>G20</f>
        <v>68695.051000000007</v>
      </c>
      <c r="H10" s="338"/>
      <c r="I10" s="412"/>
    </row>
    <row r="11" spans="1:9" x14ac:dyDescent="0.25">
      <c r="A11" s="370" t="s">
        <v>913</v>
      </c>
      <c r="B11" s="447">
        <v>0.127</v>
      </c>
      <c r="C11" s="336"/>
      <c r="D11" s="416"/>
      <c r="F11" s="370" t="s">
        <v>873</v>
      </c>
      <c r="G11" s="373">
        <f>G14</f>
        <v>61280.14</v>
      </c>
      <c r="H11" s="338"/>
      <c r="I11" s="412"/>
    </row>
    <row r="12" spans="1:9" ht="15.75" thickBot="1" x14ac:dyDescent="0.3">
      <c r="A12" s="370" t="s">
        <v>872</v>
      </c>
      <c r="B12" s="373">
        <f>B19</f>
        <v>68695.051000000007</v>
      </c>
      <c r="C12" s="336"/>
      <c r="D12" s="416"/>
      <c r="F12" s="374" t="s">
        <v>874</v>
      </c>
      <c r="G12" s="375">
        <f>G10-G11</f>
        <v>7414.9110000000073</v>
      </c>
      <c r="H12" s="338"/>
      <c r="I12" s="412"/>
    </row>
    <row r="13" spans="1:9" ht="15.75" thickBot="1" x14ac:dyDescent="0.3">
      <c r="A13" s="370" t="s">
        <v>873</v>
      </c>
      <c r="B13" s="373">
        <f>B16</f>
        <v>71256.89</v>
      </c>
      <c r="C13" s="336"/>
      <c r="D13" s="416"/>
      <c r="F13" s="346"/>
      <c r="G13" s="348"/>
      <c r="I13" s="348"/>
    </row>
    <row r="14" spans="1:9" ht="15.75" thickBot="1" x14ac:dyDescent="0.3">
      <c r="A14" s="374" t="s">
        <v>874</v>
      </c>
      <c r="B14" s="375">
        <f>B12-B13</f>
        <v>-2561.8389999999927</v>
      </c>
      <c r="C14" s="336"/>
      <c r="D14" s="416"/>
      <c r="F14" s="368" t="s">
        <v>875</v>
      </c>
      <c r="G14" s="376">
        <f>13474.18+47805.96</f>
        <v>61280.14</v>
      </c>
      <c r="H14" s="338"/>
      <c r="I14" s="412"/>
    </row>
    <row r="15" spans="1:9" ht="15.75" thickBot="1" x14ac:dyDescent="0.3">
      <c r="A15" s="346"/>
      <c r="B15" s="348"/>
      <c r="C15" s="336"/>
      <c r="D15" s="390"/>
      <c r="F15" s="471" t="s">
        <v>936</v>
      </c>
      <c r="G15" s="442">
        <v>114766.44537999996</v>
      </c>
      <c r="H15" s="338"/>
      <c r="I15" s="412"/>
    </row>
    <row r="16" spans="1:9" x14ac:dyDescent="0.25">
      <c r="A16" s="368" t="s">
        <v>875</v>
      </c>
      <c r="B16" s="427">
        <v>71256.89</v>
      </c>
      <c r="C16" s="336"/>
      <c r="D16" s="416"/>
      <c r="F16" s="471" t="s">
        <v>937</v>
      </c>
      <c r="G16" s="442">
        <v>82018.738240000035</v>
      </c>
      <c r="H16" s="338"/>
      <c r="I16" s="412"/>
    </row>
    <row r="17" spans="1:9" ht="15.75" thickBot="1" x14ac:dyDescent="0.3">
      <c r="A17" s="370" t="s">
        <v>876</v>
      </c>
      <c r="B17" s="377">
        <f>'Receiving Totals'!$J$38</f>
        <v>89788.169859999995</v>
      </c>
      <c r="C17" s="336"/>
      <c r="D17" s="416"/>
      <c r="F17" s="471" t="s">
        <v>938</v>
      </c>
      <c r="G17" s="443">
        <f>B17</f>
        <v>89788.169859999995</v>
      </c>
      <c r="H17" s="338"/>
      <c r="I17" s="412"/>
    </row>
    <row r="18" spans="1:9" ht="15.75" thickBot="1" x14ac:dyDescent="0.3">
      <c r="A18" s="370" t="s">
        <v>877</v>
      </c>
      <c r="B18" s="377">
        <f>B16+B17</f>
        <v>161045.05985999998</v>
      </c>
      <c r="C18" s="336"/>
      <c r="D18" s="416"/>
      <c r="F18" s="370" t="s">
        <v>876</v>
      </c>
      <c r="G18" s="444">
        <f>G15+G16+G17</f>
        <v>286573.35347999999</v>
      </c>
      <c r="H18" s="338"/>
      <c r="I18" s="412"/>
    </row>
    <row r="19" spans="1:9" x14ac:dyDescent="0.25">
      <c r="A19" s="370" t="s">
        <v>878</v>
      </c>
      <c r="B19" s="428">
        <v>68695.051000000007</v>
      </c>
      <c r="C19" s="336"/>
      <c r="D19" s="416"/>
      <c r="F19" s="370" t="s">
        <v>877</v>
      </c>
      <c r="G19" s="377">
        <f>G14+G18</f>
        <v>347853.49348</v>
      </c>
      <c r="H19" s="338"/>
      <c r="I19" s="412"/>
    </row>
    <row r="20" spans="1:9" x14ac:dyDescent="0.25">
      <c r="A20" s="370" t="s">
        <v>879</v>
      </c>
      <c r="B20" s="377">
        <f>B18-B19</f>
        <v>92350.008859999973</v>
      </c>
      <c r="C20" s="336"/>
      <c r="D20" s="416"/>
      <c r="F20" s="370" t="s">
        <v>878</v>
      </c>
      <c r="G20" s="377">
        <f>B19</f>
        <v>68695.051000000007</v>
      </c>
      <c r="H20" s="338"/>
      <c r="I20" s="412"/>
    </row>
    <row r="21" spans="1:9" ht="15.75" thickBot="1" x14ac:dyDescent="0.3">
      <c r="A21" s="370" t="s">
        <v>880</v>
      </c>
      <c r="B21" s="377">
        <f>B8-B20</f>
        <v>-1087.0288599999622</v>
      </c>
      <c r="C21" s="336"/>
      <c r="D21" s="416"/>
      <c r="F21" s="370" t="s">
        <v>879</v>
      </c>
      <c r="G21" s="377">
        <f>G19-G20</f>
        <v>279158.44247999997</v>
      </c>
      <c r="H21" s="338"/>
      <c r="I21" s="412"/>
    </row>
    <row r="22" spans="1:9" ht="24" thickBot="1" x14ac:dyDescent="0.4">
      <c r="A22" s="378" t="s">
        <v>881</v>
      </c>
      <c r="B22" s="379">
        <f>B21/B8</f>
        <v>-1.1910950749142337E-2</v>
      </c>
      <c r="C22" s="336"/>
      <c r="D22" s="390"/>
      <c r="F22" s="370" t="s">
        <v>880</v>
      </c>
      <c r="G22" s="377">
        <f>G6-G21</f>
        <v>26089.017519999994</v>
      </c>
      <c r="H22" s="338"/>
      <c r="I22" s="412"/>
    </row>
    <row r="23" spans="1:9" ht="19.5" thickBot="1" x14ac:dyDescent="0.35">
      <c r="A23" s="346"/>
      <c r="B23" s="348"/>
      <c r="C23" s="336"/>
      <c r="D23" s="390"/>
      <c r="F23" s="445" t="s">
        <v>881</v>
      </c>
      <c r="G23" s="446">
        <f>G22/G6</f>
        <v>8.5468418050063374E-2</v>
      </c>
      <c r="H23" s="338"/>
      <c r="I23" s="412"/>
    </row>
    <row r="24" spans="1:9" ht="15.75" thickBot="1" x14ac:dyDescent="0.3">
      <c r="A24" s="368" t="s">
        <v>882</v>
      </c>
      <c r="B24" s="417">
        <v>0.113</v>
      </c>
      <c r="C24" s="336"/>
      <c r="D24" s="390"/>
      <c r="F24" s="346"/>
      <c r="G24" s="348"/>
      <c r="I24" s="348"/>
    </row>
    <row r="25" spans="1:9" x14ac:dyDescent="0.25">
      <c r="A25" s="370" t="s">
        <v>883</v>
      </c>
      <c r="B25" s="377">
        <f>B8*B24</f>
        <v>10312.716740000002</v>
      </c>
      <c r="C25" s="336"/>
      <c r="D25" s="390"/>
      <c r="F25" s="368" t="s">
        <v>882</v>
      </c>
      <c r="G25" s="380">
        <v>0.1268</v>
      </c>
      <c r="H25" s="338"/>
      <c r="I25" s="412"/>
    </row>
    <row r="26" spans="1:9" x14ac:dyDescent="0.25">
      <c r="A26" s="370" t="s">
        <v>884</v>
      </c>
      <c r="B26" s="377">
        <f>B21-B25</f>
        <v>-11399.745599999964</v>
      </c>
      <c r="C26" s="13"/>
      <c r="D26" s="390"/>
      <c r="F26" s="370" t="s">
        <v>883</v>
      </c>
      <c r="G26" s="377">
        <f>G6*G25</f>
        <v>38705.377927999994</v>
      </c>
      <c r="H26" s="338"/>
      <c r="I26" s="412"/>
    </row>
    <row r="27" spans="1:9" ht="15.75" thickBot="1" x14ac:dyDescent="0.3">
      <c r="A27" s="374" t="s">
        <v>885</v>
      </c>
      <c r="B27" s="381">
        <f>B22-B24</f>
        <v>-0.12491095074914234</v>
      </c>
      <c r="C27" s="13"/>
      <c r="D27" s="390"/>
      <c r="F27" s="370" t="s">
        <v>884</v>
      </c>
      <c r="G27" s="377">
        <f>G22-G26</f>
        <v>-12616.360408</v>
      </c>
      <c r="H27" s="338"/>
      <c r="I27" s="412"/>
    </row>
    <row r="28" spans="1:9" ht="15.75" thickBot="1" x14ac:dyDescent="0.3">
      <c r="A28" s="346"/>
      <c r="B28" s="348"/>
      <c r="C28" s="13"/>
      <c r="D28" s="390"/>
      <c r="F28" s="374" t="s">
        <v>885</v>
      </c>
      <c r="G28" s="381">
        <f>G23-G25</f>
        <v>-4.1331581949936622E-2</v>
      </c>
      <c r="H28" s="338"/>
      <c r="I28" s="412"/>
    </row>
    <row r="29" spans="1:9" ht="15.75" thickBot="1" x14ac:dyDescent="0.3">
      <c r="A29" s="368" t="s">
        <v>886</v>
      </c>
      <c r="B29" s="382">
        <f>B24-D8</f>
        <v>8.7006656368222912E-2</v>
      </c>
      <c r="C29" s="13"/>
      <c r="D29" s="390"/>
      <c r="F29" s="346"/>
      <c r="G29" s="348"/>
      <c r="I29" s="348"/>
    </row>
    <row r="30" spans="1:9" x14ac:dyDescent="0.25">
      <c r="A30" s="370" t="s">
        <v>887</v>
      </c>
      <c r="B30" s="377">
        <f>B25-C8</f>
        <v>7940.4867400000021</v>
      </c>
      <c r="C30" s="13"/>
      <c r="D30" s="390"/>
      <c r="F30" s="368" t="s">
        <v>886</v>
      </c>
      <c r="G30" s="382">
        <f>G25-I6</f>
        <v>0.10943156718814301</v>
      </c>
      <c r="H30" s="338"/>
      <c r="I30" s="412"/>
    </row>
    <row r="31" spans="1:9" x14ac:dyDescent="0.25">
      <c r="A31" s="370" t="s">
        <v>888</v>
      </c>
      <c r="B31" s="377">
        <f>B21-B30</f>
        <v>-9027.5155999999643</v>
      </c>
      <c r="C31" s="13"/>
      <c r="D31" s="390"/>
      <c r="F31" s="370" t="s">
        <v>887</v>
      </c>
      <c r="G31" s="377">
        <f>G26-H6</f>
        <v>33403.707927999996</v>
      </c>
      <c r="H31" s="338"/>
      <c r="I31" s="412"/>
    </row>
    <row r="32" spans="1:9" ht="15.75" thickBot="1" x14ac:dyDescent="0.3">
      <c r="A32" s="374" t="s">
        <v>889</v>
      </c>
      <c r="B32" s="381">
        <f>B22-B29</f>
        <v>-9.8917607117365247E-2</v>
      </c>
      <c r="C32" s="13"/>
      <c r="D32" s="390"/>
      <c r="F32" s="370" t="s">
        <v>888</v>
      </c>
      <c r="G32" s="377">
        <f>G22-G31</f>
        <v>-7314.6904080000022</v>
      </c>
      <c r="H32" s="338"/>
      <c r="I32" s="412"/>
    </row>
    <row r="33" spans="1:9" ht="15.75" thickBot="1" x14ac:dyDescent="0.3">
      <c r="A33" s="346"/>
      <c r="C33" s="13"/>
      <c r="D33" s="390"/>
      <c r="F33" s="374" t="s">
        <v>889</v>
      </c>
      <c r="G33" s="381">
        <f>G23-G30</f>
        <v>-2.3963149138079634E-2</v>
      </c>
      <c r="H33" s="338"/>
      <c r="I33" s="412"/>
    </row>
    <row r="34" spans="1:9" ht="18" x14ac:dyDescent="0.25">
      <c r="A34" s="383" t="s">
        <v>890</v>
      </c>
      <c r="B34" s="333">
        <v>1.0674412742606165E-8</v>
      </c>
      <c r="C34" s="13"/>
      <c r="D34" s="390"/>
      <c r="F34" s="346"/>
      <c r="I34" s="348"/>
    </row>
    <row r="35" spans="1:9" ht="18" x14ac:dyDescent="0.25">
      <c r="A35" s="415"/>
      <c r="B35" s="13"/>
      <c r="C35" s="13"/>
      <c r="D35" s="390"/>
      <c r="F35" s="383" t="s">
        <v>890</v>
      </c>
      <c r="G35" s="333">
        <f>G23-G9</f>
        <v>-5.9531581949936616E-2</v>
      </c>
      <c r="I35" s="348"/>
    </row>
    <row r="36" spans="1:9" x14ac:dyDescent="0.25">
      <c r="A36" s="415"/>
      <c r="B36" s="13"/>
      <c r="C36" s="13"/>
      <c r="D36" s="390"/>
      <c r="F36" s="346"/>
      <c r="I36" s="348"/>
    </row>
    <row r="37" spans="1:9" x14ac:dyDescent="0.25">
      <c r="A37" s="415"/>
      <c r="B37" s="13"/>
      <c r="C37" s="13"/>
      <c r="D37" s="390"/>
      <c r="F37" s="346"/>
      <c r="I37" s="348"/>
    </row>
    <row r="38" spans="1:9" x14ac:dyDescent="0.25">
      <c r="A38" s="415"/>
      <c r="B38" s="13"/>
      <c r="C38" s="13"/>
      <c r="D38" s="390"/>
      <c r="F38" s="346"/>
      <c r="I38" s="348"/>
    </row>
    <row r="39" spans="1:9" ht="15.75" thickBot="1" x14ac:dyDescent="0.3">
      <c r="A39" s="419"/>
      <c r="B39" s="420"/>
      <c r="C39" s="420"/>
      <c r="D39" s="392"/>
      <c r="F39" s="361"/>
      <c r="G39" s="362"/>
      <c r="H39" s="362"/>
      <c r="I39" s="363"/>
    </row>
  </sheetData>
  <phoneticPr fontId="1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D3E2-9AE1-46E8-99A9-C27EE6F8149C}">
  <dimension ref="A1:I39"/>
  <sheetViews>
    <sheetView workbookViewId="0">
      <selection activeCell="B19" sqref="B19"/>
    </sheetView>
  </sheetViews>
  <sheetFormatPr defaultRowHeight="15" x14ac:dyDescent="0.25"/>
  <cols>
    <col min="1" max="1" width="31.42578125" style="4" customWidth="1"/>
    <col min="2" max="2" width="18.42578125" style="4" customWidth="1"/>
    <col min="3" max="3" width="15.28515625" style="4" customWidth="1"/>
    <col min="4" max="4" width="13.5703125" style="4" customWidth="1"/>
    <col min="5" max="5" width="9.140625" style="4"/>
    <col min="6" max="6" width="31.42578125" style="4" customWidth="1"/>
    <col min="7" max="7" width="19.85546875" style="4" bestFit="1" customWidth="1"/>
    <col min="8" max="8" width="15.28515625" style="4" customWidth="1"/>
    <col min="9" max="9" width="13.5703125" style="4" customWidth="1"/>
    <col min="10" max="16384" width="9.140625" style="4"/>
  </cols>
  <sheetData>
    <row r="1" spans="1:9" ht="18.75" thickBot="1" x14ac:dyDescent="0.3">
      <c r="A1" s="406" t="str">
        <f>Tobacco!A1</f>
        <v>Period 9</v>
      </c>
      <c r="B1" s="366" t="s">
        <v>939</v>
      </c>
      <c r="C1" s="366" t="s">
        <v>891</v>
      </c>
      <c r="D1" s="366" t="s">
        <v>892</v>
      </c>
      <c r="F1" s="406" t="str">
        <f>Dairy!F1</f>
        <v>Periods 7-9</v>
      </c>
      <c r="G1" s="366" t="s">
        <v>939</v>
      </c>
      <c r="H1" s="366" t="s">
        <v>891</v>
      </c>
      <c r="I1" s="366" t="s">
        <v>892</v>
      </c>
    </row>
    <row r="2" spans="1:9" ht="15.75" x14ac:dyDescent="0.25">
      <c r="A2" s="430" t="s">
        <v>768</v>
      </c>
      <c r="B2" s="367" t="s">
        <v>868</v>
      </c>
      <c r="D2" s="348"/>
      <c r="F2" s="430" t="s">
        <v>932</v>
      </c>
      <c r="G2" s="367" t="s">
        <v>868</v>
      </c>
      <c r="I2" s="348"/>
    </row>
    <row r="3" spans="1:9" ht="15.75" x14ac:dyDescent="0.25">
      <c r="A3" s="332">
        <f>Tobacco!$A$3</f>
        <v>46200</v>
      </c>
      <c r="B3" s="429">
        <f>'Sales Numbers'!C41</f>
        <v>162345.25</v>
      </c>
      <c r="C3" s="449">
        <f>'Receiving Totals'!$U$8+'Receiving Totals'!$W$8+'Receiving Totals'!$X$8</f>
        <v>3111.33</v>
      </c>
      <c r="D3" s="408">
        <f>IF(B3=0,0,C3/B3)</f>
        <v>1.916489703271269E-2</v>
      </c>
      <c r="F3" s="332" t="str">
        <f>Dairy!F3</f>
        <v>7. May 23, 2026</v>
      </c>
      <c r="G3" s="429">
        <f>'Total Grocery'!N3-Dairy!G3</f>
        <v>706714.49000000022</v>
      </c>
      <c r="H3" s="449">
        <f>'Total Grocery'!O3-Dairy!H3</f>
        <v>14060.27</v>
      </c>
      <c r="I3" s="408">
        <f>IF(G3=0,0,H3/G3)</f>
        <v>1.989526208808878E-2</v>
      </c>
    </row>
    <row r="4" spans="1:9" ht="15.75" x14ac:dyDescent="0.25">
      <c r="A4" s="332">
        <f>A3+7</f>
        <v>46207</v>
      </c>
      <c r="B4" s="429">
        <f>'Sales Numbers'!D41</f>
        <v>144420.61999999997</v>
      </c>
      <c r="C4" s="449">
        <f>'Receiving Totals'!$U$15+'Receiving Totals'!$W$15+'Receiving Totals'!$X$15</f>
        <v>478.34</v>
      </c>
      <c r="D4" s="408">
        <f t="shared" ref="D4:D7" si="0">IF(B4=0,0,C4/B4)</f>
        <v>3.3121309131618469E-3</v>
      </c>
      <c r="F4" s="332" t="str">
        <f>Dairy!F4</f>
        <v>8. June 20, 2026</v>
      </c>
      <c r="G4" s="429">
        <f>'Total Grocery'!N4-Dairy!G4</f>
        <v>686200.86999999988</v>
      </c>
      <c r="H4" s="449">
        <f>'Total Grocery'!O4-Dairy!H4</f>
        <v>5589.77</v>
      </c>
      <c r="I4" s="408">
        <f t="shared" ref="I4:I5" si="1">IF(G4=0,0,H4/G4)</f>
        <v>8.1459675211429002E-3</v>
      </c>
    </row>
    <row r="5" spans="1:9" ht="16.5" thickBot="1" x14ac:dyDescent="0.3">
      <c r="A5" s="332">
        <f>A4+7</f>
        <v>46214</v>
      </c>
      <c r="B5" s="429">
        <f>'Sales Numbers'!E41</f>
        <v>134653.26999999996</v>
      </c>
      <c r="C5" s="449">
        <f>'Receiving Totals'!$U$22+'Receiving Totals'!$W$22+'Receiving Totals'!$X$22</f>
        <v>757.05</v>
      </c>
      <c r="D5" s="408">
        <f t="shared" si="0"/>
        <v>5.6222177151732016E-3</v>
      </c>
      <c r="F5" s="332" t="str">
        <f>Dairy!F5</f>
        <v>9. July 18, 2026</v>
      </c>
      <c r="G5" s="453">
        <f>B8</f>
        <v>609488.36</v>
      </c>
      <c r="H5" s="449">
        <f>C8</f>
        <v>4866.4800000000005</v>
      </c>
      <c r="I5" s="408">
        <f t="shared" si="1"/>
        <v>7.9845331254562446E-3</v>
      </c>
    </row>
    <row r="6" spans="1:9" ht="18.75" thickBot="1" x14ac:dyDescent="0.3">
      <c r="A6" s="332">
        <f>A5+7</f>
        <v>46221</v>
      </c>
      <c r="B6" s="429">
        <f>'Sales Numbers'!F41</f>
        <v>168069.22000000003</v>
      </c>
      <c r="C6" s="449">
        <f>'Receiving Totals'!$U$29+'Receiving Totals'!$W$29+'Receiving Totals'!$X$29</f>
        <v>519.76</v>
      </c>
      <c r="D6" s="408">
        <f t="shared" si="0"/>
        <v>3.0925353256235728E-3</v>
      </c>
      <c r="F6" s="452" t="s">
        <v>869</v>
      </c>
      <c r="G6" s="454">
        <f>SUM(G3:G5)</f>
        <v>2002403.7200000002</v>
      </c>
      <c r="H6" s="450">
        <f>SUM(H3:H5)</f>
        <v>24516.52</v>
      </c>
      <c r="I6" s="410">
        <f>H6/G6</f>
        <v>1.2243544973038702E-2</v>
      </c>
    </row>
    <row r="7" spans="1:9" ht="16.5" thickBot="1" x14ac:dyDescent="0.3">
      <c r="A7" s="332">
        <f>A6+7</f>
        <v>46228</v>
      </c>
      <c r="B7" s="429">
        <f>'Sales Numbers'!G41</f>
        <v>0</v>
      </c>
      <c r="C7" s="449">
        <f>'Receiving Totals'!$U$36+'Receiving Totals'!$W$36+'Receiving Totals'!$X$36</f>
        <v>0</v>
      </c>
      <c r="D7" s="408">
        <f t="shared" si="0"/>
        <v>0</v>
      </c>
      <c r="F7" s="346"/>
      <c r="G7" s="348"/>
      <c r="I7" s="348"/>
    </row>
    <row r="8" spans="1:9" ht="18.75" thickBot="1" x14ac:dyDescent="0.3">
      <c r="A8" s="261" t="s">
        <v>869</v>
      </c>
      <c r="B8" s="426">
        <f>SUM(B3:B7)</f>
        <v>609488.36</v>
      </c>
      <c r="C8" s="450">
        <f>SUM(C3:C7)</f>
        <v>4866.4800000000005</v>
      </c>
      <c r="D8" s="410">
        <f>C8/B8</f>
        <v>7.9845331254562446E-3</v>
      </c>
      <c r="F8" s="368" t="s">
        <v>870</v>
      </c>
      <c r="G8" s="456">
        <f>'Total Grocery'!N8-Dairy!G8</f>
        <v>1243048.4300000002</v>
      </c>
      <c r="H8" s="338"/>
      <c r="I8" s="412"/>
    </row>
    <row r="9" spans="1:9" ht="15.75" thickBot="1" x14ac:dyDescent="0.3">
      <c r="A9" s="346"/>
      <c r="B9" s="348"/>
      <c r="D9" s="348"/>
      <c r="F9" s="370" t="s">
        <v>913</v>
      </c>
      <c r="G9" s="457">
        <f>B11</f>
        <v>0.13291009514167701</v>
      </c>
      <c r="H9" s="338"/>
      <c r="I9" s="412"/>
    </row>
    <row r="10" spans="1:9" x14ac:dyDescent="0.25">
      <c r="A10" s="368" t="s">
        <v>870</v>
      </c>
      <c r="B10" s="369">
        <f>'Total Grocery'!B10-Dairy!B10</f>
        <v>1248544.8999999999</v>
      </c>
      <c r="C10" s="338"/>
      <c r="D10" s="412"/>
      <c r="F10" s="370" t="s">
        <v>872</v>
      </c>
      <c r="G10" s="458">
        <f>'Total Grocery'!N10-Dairy!G10</f>
        <v>1212865.6610000001</v>
      </c>
      <c r="H10" s="338"/>
      <c r="I10" s="412"/>
    </row>
    <row r="11" spans="1:9" x14ac:dyDescent="0.25">
      <c r="A11" s="370" t="s">
        <v>913</v>
      </c>
      <c r="B11" s="371">
        <f>'Total Grocery'!B11</f>
        <v>0.13291009514167701</v>
      </c>
      <c r="C11" s="338"/>
      <c r="D11" s="412"/>
      <c r="F11" s="370" t="s">
        <v>873</v>
      </c>
      <c r="G11" s="459">
        <f>'Total Grocery'!N11-Dairy!G11</f>
        <v>1172822.6165000002</v>
      </c>
      <c r="H11" s="338"/>
      <c r="I11" s="412"/>
    </row>
    <row r="12" spans="1:9" ht="15.75" thickBot="1" x14ac:dyDescent="0.3">
      <c r="A12" s="370" t="s">
        <v>872</v>
      </c>
      <c r="B12" s="372">
        <f>'Total Grocery'!B12-Dairy!B12</f>
        <v>1261222.3289999999</v>
      </c>
      <c r="C12" s="338"/>
      <c r="D12" s="412"/>
      <c r="F12" s="374" t="s">
        <v>874</v>
      </c>
      <c r="G12" s="460">
        <f>'Total Grocery'!N12-Dairy!G12</f>
        <v>40043.044499999916</v>
      </c>
      <c r="H12" s="338"/>
      <c r="I12" s="412"/>
    </row>
    <row r="13" spans="1:9" ht="15.75" thickBot="1" x14ac:dyDescent="0.3">
      <c r="A13" s="370" t="s">
        <v>873</v>
      </c>
      <c r="B13" s="373">
        <f>'Total Grocery'!B13-Dairy!B13</f>
        <v>1217167.3800000001</v>
      </c>
      <c r="C13" s="338"/>
      <c r="D13" s="412"/>
      <c r="F13" s="346"/>
      <c r="G13" s="348"/>
      <c r="I13" s="348"/>
    </row>
    <row r="14" spans="1:9" ht="15.75" thickBot="1" x14ac:dyDescent="0.3">
      <c r="A14" s="374" t="s">
        <v>874</v>
      </c>
      <c r="B14" s="375">
        <f>'Total Grocery'!B14-Dairy!B14</f>
        <v>44054.948999999862</v>
      </c>
      <c r="C14" s="338"/>
      <c r="D14" s="412"/>
      <c r="F14" s="368" t="s">
        <v>875</v>
      </c>
      <c r="G14" s="461">
        <f>'Total Grocery'!N14-Dairy!G14</f>
        <v>1172822.6165000002</v>
      </c>
      <c r="H14" s="338"/>
      <c r="I14" s="412"/>
    </row>
    <row r="15" spans="1:9" ht="15.75" thickBot="1" x14ac:dyDescent="0.3">
      <c r="A15" s="346"/>
      <c r="B15" s="348"/>
      <c r="D15" s="348"/>
      <c r="F15" s="370" t="str">
        <f>Dairy!F15</f>
        <v>Purchases Period 7</v>
      </c>
      <c r="G15" s="443">
        <f>'Total Grocery'!N15-Dairy!G15</f>
        <v>635799.96148000017</v>
      </c>
      <c r="H15" s="338"/>
      <c r="I15" s="412"/>
    </row>
    <row r="16" spans="1:9" x14ac:dyDescent="0.25">
      <c r="A16" s="368" t="s">
        <v>875</v>
      </c>
      <c r="B16" s="369">
        <f>'Total Grocery'!B16-Dairy!B16</f>
        <v>1217167.3800000001</v>
      </c>
      <c r="D16" s="412"/>
      <c r="F16" s="370" t="str">
        <f>Dairy!F16</f>
        <v>Purchases Period 8</v>
      </c>
      <c r="G16" s="443">
        <f>'Total Grocery'!N16-Dairy!G16</f>
        <v>615060.97103999997</v>
      </c>
      <c r="H16" s="338"/>
      <c r="I16" s="412"/>
    </row>
    <row r="17" spans="1:9" ht="15.75" thickBot="1" x14ac:dyDescent="0.3">
      <c r="A17" s="370" t="s">
        <v>876</v>
      </c>
      <c r="B17" s="377">
        <f>'Total Grocery'!B17-Dairy!B17</f>
        <v>559319.34874000004</v>
      </c>
      <c r="D17" s="412"/>
      <c r="F17" s="370" t="str">
        <f>Dairy!F17</f>
        <v>Purchases Period 9</v>
      </c>
      <c r="G17" s="443">
        <f>'Total Grocery'!N17-Dairy!G17</f>
        <v>559319.34874000004</v>
      </c>
      <c r="H17" s="338"/>
      <c r="I17" s="412"/>
    </row>
    <row r="18" spans="1:9" ht="15.75" thickBot="1" x14ac:dyDescent="0.3">
      <c r="A18" s="370" t="s">
        <v>877</v>
      </c>
      <c r="B18" s="377">
        <f>'Total Grocery'!B18-Dairy!B18</f>
        <v>1776486.7287400002</v>
      </c>
      <c r="D18" s="412"/>
      <c r="F18" s="370" t="s">
        <v>876</v>
      </c>
      <c r="G18" s="462">
        <f>'Total Grocery'!N18-Dairy!G18</f>
        <v>1810180.2812600001</v>
      </c>
      <c r="H18" s="338"/>
      <c r="I18" s="412"/>
    </row>
    <row r="19" spans="1:9" x14ac:dyDescent="0.25">
      <c r="A19" s="370" t="s">
        <v>878</v>
      </c>
      <c r="B19" s="377">
        <f>'Total Grocery'!B19-Dairy!B19</f>
        <v>1261222.3289999999</v>
      </c>
      <c r="D19" s="412"/>
      <c r="F19" s="370" t="s">
        <v>877</v>
      </c>
      <c r="G19" s="443">
        <f>'Total Grocery'!N19-Dairy!G19</f>
        <v>2983002.8977600001</v>
      </c>
      <c r="H19" s="338"/>
      <c r="I19" s="412"/>
    </row>
    <row r="20" spans="1:9" x14ac:dyDescent="0.25">
      <c r="A20" s="370" t="s">
        <v>879</v>
      </c>
      <c r="B20" s="377">
        <f>'Total Grocery'!B20-Dairy!B20</f>
        <v>515264.39974000026</v>
      </c>
      <c r="C20" s="338"/>
      <c r="D20" s="412"/>
      <c r="F20" s="370" t="s">
        <v>878</v>
      </c>
      <c r="G20" s="443">
        <f>'Total Grocery'!N20-Dairy!G20</f>
        <v>1212865.6610000001</v>
      </c>
      <c r="H20" s="338"/>
      <c r="I20" s="412"/>
    </row>
    <row r="21" spans="1:9" ht="15.75" thickBot="1" x14ac:dyDescent="0.3">
      <c r="A21" s="370" t="s">
        <v>880</v>
      </c>
      <c r="B21" s="377">
        <f>'Total Grocery'!B21-Dairy!B21</f>
        <v>94223.960259999614</v>
      </c>
      <c r="C21" s="338"/>
      <c r="D21" s="412"/>
      <c r="F21" s="370" t="s">
        <v>879</v>
      </c>
      <c r="G21" s="443">
        <f>'Total Grocery'!N21-Dairy!G21</f>
        <v>1770137.2367600002</v>
      </c>
      <c r="H21" s="338"/>
      <c r="I21" s="412"/>
    </row>
    <row r="22" spans="1:9" ht="19.5" thickBot="1" x14ac:dyDescent="0.35">
      <c r="A22" s="445" t="s">
        <v>881</v>
      </c>
      <c r="B22" s="446">
        <f>B21/B8</f>
        <v>0.15459517596037375</v>
      </c>
      <c r="C22" s="338"/>
      <c r="D22" s="412"/>
      <c r="F22" s="370" t="s">
        <v>880</v>
      </c>
      <c r="G22" s="443">
        <f>'Total Grocery'!N22-Dairy!G22</f>
        <v>232266.48323999951</v>
      </c>
      <c r="H22" s="338"/>
      <c r="I22" s="412"/>
    </row>
    <row r="23" spans="1:9" ht="19.5" thickBot="1" x14ac:dyDescent="0.35">
      <c r="A23" s="346"/>
      <c r="B23" s="348"/>
      <c r="C23" s="338"/>
      <c r="D23" s="348"/>
      <c r="F23" s="445" t="s">
        <v>881</v>
      </c>
      <c r="G23" s="446">
        <f>G22/G6</f>
        <v>0.115993833271544</v>
      </c>
      <c r="H23" s="338"/>
      <c r="I23" s="412"/>
    </row>
    <row r="24" spans="1:9" ht="15.75" thickBot="1" x14ac:dyDescent="0.3">
      <c r="A24" s="368" t="s">
        <v>882</v>
      </c>
      <c r="B24" s="382">
        <f>B25/B8</f>
        <v>0.15427555956277816</v>
      </c>
      <c r="C24" s="338"/>
      <c r="D24" s="412"/>
      <c r="F24" s="346"/>
      <c r="G24" s="348"/>
      <c r="I24" s="348"/>
    </row>
    <row r="25" spans="1:9" x14ac:dyDescent="0.25">
      <c r="A25" s="370" t="s">
        <v>883</v>
      </c>
      <c r="B25" s="377">
        <f>'Total Grocery'!B25-Dairy!B25</f>
        <v>94029.157785999982</v>
      </c>
      <c r="C25" s="338"/>
      <c r="D25" s="412"/>
      <c r="F25" s="368" t="s">
        <v>882</v>
      </c>
      <c r="G25" s="463">
        <f>G26/G6</f>
        <v>0.14512380423364371</v>
      </c>
      <c r="H25" s="338"/>
      <c r="I25" s="412"/>
    </row>
    <row r="26" spans="1:9" x14ac:dyDescent="0.25">
      <c r="A26" s="370" t="s">
        <v>884</v>
      </c>
      <c r="B26" s="377">
        <f>'Total Grocery'!B26-Dairy!B26</f>
        <v>194.80247399963082</v>
      </c>
      <c r="C26" s="338"/>
      <c r="D26" s="412"/>
      <c r="F26" s="370" t="s">
        <v>883</v>
      </c>
      <c r="G26" s="443">
        <f>'Total Grocery'!N26-Dairy!G26</f>
        <v>290596.44545799994</v>
      </c>
      <c r="H26" s="338"/>
      <c r="I26" s="412"/>
    </row>
    <row r="27" spans="1:9" ht="15.75" thickBot="1" x14ac:dyDescent="0.3">
      <c r="A27" s="374" t="s">
        <v>885</v>
      </c>
      <c r="B27" s="381">
        <f>B22-B24</f>
        <v>3.1961639759559013E-4</v>
      </c>
      <c r="C27" s="338"/>
      <c r="D27" s="412"/>
      <c r="F27" s="370" t="s">
        <v>884</v>
      </c>
      <c r="G27" s="443">
        <f>'Total Grocery'!N27-Dairy!G27</f>
        <v>-58329.962218000444</v>
      </c>
      <c r="H27" s="338"/>
      <c r="I27" s="412"/>
    </row>
    <row r="28" spans="1:9" ht="15.75" thickBot="1" x14ac:dyDescent="0.3">
      <c r="A28" s="346"/>
      <c r="B28" s="348"/>
      <c r="D28" s="348"/>
      <c r="F28" s="374" t="s">
        <v>885</v>
      </c>
      <c r="G28" s="464">
        <f>G23-G25</f>
        <v>-2.912997096209971E-2</v>
      </c>
      <c r="H28" s="338"/>
      <c r="I28" s="412"/>
    </row>
    <row r="29" spans="1:9" ht="15.75" thickBot="1" x14ac:dyDescent="0.3">
      <c r="A29" s="368" t="s">
        <v>886</v>
      </c>
      <c r="B29" s="382">
        <f>B24-D8</f>
        <v>0.14629102643732192</v>
      </c>
      <c r="C29" s="338"/>
      <c r="D29" s="412"/>
      <c r="F29" s="346"/>
      <c r="G29" s="348"/>
      <c r="I29" s="348"/>
    </row>
    <row r="30" spans="1:9" x14ac:dyDescent="0.25">
      <c r="A30" s="370" t="s">
        <v>887</v>
      </c>
      <c r="B30" s="377">
        <f>B25-C8</f>
        <v>89162.677785999986</v>
      </c>
      <c r="C30" s="338"/>
      <c r="D30" s="412"/>
      <c r="F30" s="368" t="s">
        <v>886</v>
      </c>
      <c r="G30" s="463">
        <f>G25-I6</f>
        <v>0.13288025926060501</v>
      </c>
      <c r="H30" s="338"/>
      <c r="I30" s="412"/>
    </row>
    <row r="31" spans="1:9" x14ac:dyDescent="0.25">
      <c r="A31" s="370" t="s">
        <v>888</v>
      </c>
      <c r="B31" s="377">
        <f>B21-B30</f>
        <v>5061.2824739996286</v>
      </c>
      <c r="C31" s="338"/>
      <c r="D31" s="412"/>
      <c r="F31" s="370" t="s">
        <v>887</v>
      </c>
      <c r="G31" s="443">
        <f>'Total Grocery'!N31-Dairy!G31</f>
        <v>266079.92545799993</v>
      </c>
      <c r="H31" s="338"/>
      <c r="I31" s="412"/>
    </row>
    <row r="32" spans="1:9" ht="15.75" thickBot="1" x14ac:dyDescent="0.3">
      <c r="A32" s="374" t="s">
        <v>889</v>
      </c>
      <c r="B32" s="381">
        <f>B22-B29</f>
        <v>8.3041495230518347E-3</v>
      </c>
      <c r="C32" s="338"/>
      <c r="D32" s="412"/>
      <c r="F32" s="370" t="s">
        <v>888</v>
      </c>
      <c r="G32" s="443">
        <f>'Total Grocery'!N32-Dairy!G32</f>
        <v>-33813.44221800044</v>
      </c>
      <c r="H32" s="338"/>
      <c r="I32" s="412"/>
    </row>
    <row r="33" spans="1:9" ht="15.75" thickBot="1" x14ac:dyDescent="0.3">
      <c r="A33" s="346"/>
      <c r="D33" s="348"/>
      <c r="F33" s="374" t="s">
        <v>889</v>
      </c>
      <c r="G33" s="464">
        <f>G23-G30</f>
        <v>-1.688642598906101E-2</v>
      </c>
      <c r="H33" s="338"/>
      <c r="I33" s="412"/>
    </row>
    <row r="34" spans="1:9" ht="18" x14ac:dyDescent="0.25">
      <c r="A34" s="383" t="s">
        <v>890</v>
      </c>
      <c r="B34" s="333">
        <f>B22-B11</f>
        <v>2.1685080818696745E-2</v>
      </c>
      <c r="D34" s="348"/>
      <c r="F34" s="346"/>
      <c r="I34" s="348"/>
    </row>
    <row r="35" spans="1:9" ht="18" x14ac:dyDescent="0.25">
      <c r="A35" s="346"/>
      <c r="D35" s="348"/>
      <c r="F35" s="383" t="s">
        <v>890</v>
      </c>
      <c r="G35" s="333">
        <f>G23-G9</f>
        <v>-1.6916261870133009E-2</v>
      </c>
      <c r="I35" s="348"/>
    </row>
    <row r="36" spans="1:9" x14ac:dyDescent="0.25">
      <c r="A36" s="346"/>
      <c r="D36" s="348"/>
      <c r="F36" s="346"/>
      <c r="I36" s="348"/>
    </row>
    <row r="37" spans="1:9" x14ac:dyDescent="0.25">
      <c r="A37" s="346"/>
      <c r="D37" s="348"/>
      <c r="F37" s="346"/>
      <c r="I37" s="348"/>
    </row>
    <row r="38" spans="1:9" ht="15.75" thickBot="1" x14ac:dyDescent="0.3">
      <c r="A38" s="361"/>
      <c r="B38" s="362"/>
      <c r="C38" s="362"/>
      <c r="D38" s="363"/>
      <c r="F38" s="346"/>
      <c r="I38" s="348"/>
    </row>
    <row r="39" spans="1:9" ht="15.75" thickBot="1" x14ac:dyDescent="0.3">
      <c r="F39" s="361"/>
      <c r="G39" s="362"/>
      <c r="H39" s="362"/>
      <c r="I39" s="363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F581-E3A1-4584-BFAB-82881F6A7412}">
  <dimension ref="A1:P39"/>
  <sheetViews>
    <sheetView workbookViewId="0">
      <selection activeCell="I24" sqref="I24"/>
    </sheetView>
  </sheetViews>
  <sheetFormatPr defaultRowHeight="15" x14ac:dyDescent="0.25"/>
  <cols>
    <col min="1" max="1" width="31.42578125" style="13" customWidth="1"/>
    <col min="2" max="2" width="18.42578125" style="13" customWidth="1"/>
    <col min="3" max="3" width="15.28515625" style="13" customWidth="1"/>
    <col min="4" max="4" width="13.5703125" style="13" customWidth="1"/>
    <col min="5" max="5" width="9.140625" style="13"/>
    <col min="6" max="6" width="14.28515625" style="174" customWidth="1"/>
    <col min="7" max="7" width="12.5703125" style="13" customWidth="1"/>
    <col min="8" max="10" width="9.140625" style="13" customWidth="1"/>
    <col min="11" max="11" width="14.28515625" style="13" customWidth="1"/>
    <col min="12" max="12" width="10.140625" style="13" customWidth="1"/>
    <col min="13" max="13" width="31.42578125" style="13" customWidth="1"/>
    <col min="14" max="14" width="19.85546875" style="13" customWidth="1"/>
    <col min="15" max="15" width="15.28515625" style="13" customWidth="1"/>
    <col min="16" max="16" width="13.5703125" style="13" customWidth="1"/>
    <col min="17" max="16384" width="9.140625" style="13"/>
  </cols>
  <sheetData>
    <row r="1" spans="1:16" ht="18.75" thickBot="1" x14ac:dyDescent="0.3">
      <c r="A1" s="406" t="str">
        <f>Tobacco!A1</f>
        <v>Period 9</v>
      </c>
      <c r="B1" s="366" t="s">
        <v>940</v>
      </c>
      <c r="C1" s="366" t="s">
        <v>891</v>
      </c>
      <c r="D1" s="366" t="s">
        <v>892</v>
      </c>
      <c r="M1" s="406" t="str">
        <f>Dairy!F1</f>
        <v>Periods 7-9</v>
      </c>
      <c r="N1" s="465" t="s">
        <v>940</v>
      </c>
      <c r="O1" s="366" t="s">
        <v>891</v>
      </c>
      <c r="P1" s="366" t="s">
        <v>892</v>
      </c>
    </row>
    <row r="2" spans="1:16" ht="15.75" x14ac:dyDescent="0.25">
      <c r="A2" s="430" t="s">
        <v>768</v>
      </c>
      <c r="B2" s="367" t="s">
        <v>868</v>
      </c>
      <c r="C2" s="4"/>
      <c r="D2" s="348"/>
      <c r="M2" s="430" t="s">
        <v>932</v>
      </c>
      <c r="N2" s="466" t="s">
        <v>868</v>
      </c>
      <c r="O2" s="4"/>
      <c r="P2" s="348"/>
    </row>
    <row r="3" spans="1:16" ht="15.75" x14ac:dyDescent="0.25">
      <c r="A3" s="332">
        <f>Tobacco!$A$3</f>
        <v>46200</v>
      </c>
      <c r="B3" s="429">
        <f>'Sales Numbers'!C37</f>
        <v>183660.5</v>
      </c>
      <c r="C3" s="449">
        <f>Dairy!C3+'Centre Store'!C3</f>
        <v>3850.16</v>
      </c>
      <c r="D3" s="408">
        <f>IF(B3=0,0,C3/B3)</f>
        <v>2.096346247560036E-2</v>
      </c>
      <c r="K3" s="338" t="s">
        <v>941</v>
      </c>
      <c r="L3" s="13">
        <v>5</v>
      </c>
      <c r="M3" s="332" t="str">
        <f>Dairy!F3</f>
        <v>7. May 23, 2026</v>
      </c>
      <c r="N3" s="467">
        <v>826081.7200000002</v>
      </c>
      <c r="O3" s="472">
        <v>15920.7</v>
      </c>
      <c r="P3" s="408">
        <f>IF(N3=0,0,O3/N3)</f>
        <v>1.9272548483459963E-2</v>
      </c>
    </row>
    <row r="4" spans="1:16" ht="15.75" x14ac:dyDescent="0.25">
      <c r="A4" s="332">
        <f>A3+7</f>
        <v>46207</v>
      </c>
      <c r="B4" s="429">
        <f>'Sales Numbers'!D37</f>
        <v>168240.16999999995</v>
      </c>
      <c r="C4" s="449">
        <f>Dairy!C4+'Centre Store'!C4</f>
        <v>995.75</v>
      </c>
      <c r="D4" s="408">
        <f t="shared" ref="D4:D7" si="0">IF(B4=0,0,C4/B4)</f>
        <v>5.9186221697232018E-3</v>
      </c>
      <c r="F4" s="387" t="s">
        <v>898</v>
      </c>
      <c r="G4" s="335">
        <v>0</v>
      </c>
      <c r="H4" s="4" t="s">
        <v>899</v>
      </c>
      <c r="I4" s="151">
        <v>8</v>
      </c>
      <c r="J4" s="340" t="s">
        <v>942</v>
      </c>
      <c r="K4" s="476">
        <v>347996.24999999994</v>
      </c>
      <c r="L4" s="13">
        <v>4</v>
      </c>
      <c r="M4" s="332" t="str">
        <f>Dairy!F4</f>
        <v>8. June 20, 2026</v>
      </c>
      <c r="N4" s="467">
        <v>780818.11999999988</v>
      </c>
      <c r="O4" s="472">
        <v>6658.7800000000007</v>
      </c>
      <c r="P4" s="408">
        <f t="shared" ref="P4:P5" si="1">IF(N4=0,0,O4/N4)</f>
        <v>8.527952706835238E-3</v>
      </c>
    </row>
    <row r="5" spans="1:16" ht="16.5" thickBot="1" x14ac:dyDescent="0.3">
      <c r="A5" s="332">
        <f>A4+7</f>
        <v>46214</v>
      </c>
      <c r="B5" s="429">
        <f>'Sales Numbers'!E37</f>
        <v>157297.75999999995</v>
      </c>
      <c r="C5" s="449">
        <f>Dairy!C5+'Centre Store'!C5</f>
        <v>1352.7399999999998</v>
      </c>
      <c r="D5" s="408">
        <f t="shared" si="0"/>
        <v>8.5998681735836562E-3</v>
      </c>
      <c r="F5" s="387" t="s">
        <v>901</v>
      </c>
      <c r="G5" s="335">
        <v>12216.25</v>
      </c>
      <c r="H5" s="4" t="s">
        <v>899</v>
      </c>
      <c r="I5" s="152">
        <v>3</v>
      </c>
      <c r="J5" s="340" t="s">
        <v>943</v>
      </c>
      <c r="K5" s="476">
        <v>943795.81</v>
      </c>
      <c r="L5" s="13">
        <v>4</v>
      </c>
      <c r="M5" s="332" t="str">
        <f>Dairy!F5</f>
        <v>9. July 18, 2026</v>
      </c>
      <c r="N5" s="453">
        <f>B8</f>
        <v>700751.33999999985</v>
      </c>
      <c r="O5" s="449">
        <f>C8</f>
        <v>7238.7099999999991</v>
      </c>
      <c r="P5" s="408">
        <f t="shared" si="1"/>
        <v>1.0329926732640998E-2</v>
      </c>
    </row>
    <row r="6" spans="1:16" ht="18.75" thickBot="1" x14ac:dyDescent="0.3">
      <c r="A6" s="332">
        <f>A5+7</f>
        <v>46221</v>
      </c>
      <c r="B6" s="429">
        <f>'Sales Numbers'!F37</f>
        <v>191552.91000000003</v>
      </c>
      <c r="C6" s="449">
        <f>Dairy!C6+'Centre Store'!C6</f>
        <v>1040.06</v>
      </c>
      <c r="D6" s="408">
        <f t="shared" si="0"/>
        <v>5.4296225518056596E-3</v>
      </c>
      <c r="F6" s="387" t="s">
        <v>903</v>
      </c>
      <c r="G6" s="335">
        <v>18897.310000000001</v>
      </c>
      <c r="J6" s="340"/>
      <c r="K6" s="334"/>
      <c r="M6" s="452" t="s">
        <v>869</v>
      </c>
      <c r="N6" s="454">
        <f>SUM(N3:N5)</f>
        <v>2307651.1799999997</v>
      </c>
      <c r="O6" s="450">
        <f>SUM(O3:O5)</f>
        <v>29818.190000000002</v>
      </c>
      <c r="P6" s="410">
        <f>O6/N6</f>
        <v>1.2921445952676438E-2</v>
      </c>
    </row>
    <row r="7" spans="1:16" ht="16.5" thickBot="1" x14ac:dyDescent="0.3">
      <c r="A7" s="332">
        <f>A6+7</f>
        <v>46228</v>
      </c>
      <c r="B7" s="429">
        <f>'Sales Numbers'!G37</f>
        <v>0</v>
      </c>
      <c r="C7" s="449">
        <f>Dairy!C7+'Centre Store'!C7</f>
        <v>0</v>
      </c>
      <c r="D7" s="408">
        <f t="shared" si="0"/>
        <v>0</v>
      </c>
      <c r="F7" s="387" t="s">
        <v>905</v>
      </c>
      <c r="G7" s="339">
        <f>G5-G4</f>
        <v>12216.25</v>
      </c>
      <c r="J7" s="340"/>
      <c r="K7" s="334"/>
      <c r="M7" s="346"/>
      <c r="N7" s="348"/>
      <c r="P7" s="390"/>
    </row>
    <row r="8" spans="1:16" ht="18.75" thickBot="1" x14ac:dyDescent="0.3">
      <c r="A8" s="261" t="s">
        <v>869</v>
      </c>
      <c r="B8" s="426">
        <f>SUM(B3:B7)</f>
        <v>700751.33999999985</v>
      </c>
      <c r="C8" s="450">
        <f>SUM(C3:C7)</f>
        <v>7238.7099999999991</v>
      </c>
      <c r="D8" s="410">
        <f>C8/B8</f>
        <v>1.0329926732640998E-2</v>
      </c>
      <c r="F8" s="387" t="s">
        <v>907</v>
      </c>
      <c r="G8" s="339">
        <f>G7/2</f>
        <v>6108.125</v>
      </c>
      <c r="H8" s="336"/>
      <c r="I8" s="336"/>
      <c r="J8" s="340" t="s">
        <v>915</v>
      </c>
      <c r="K8" s="414">
        <f>SUM(K4:K7)</f>
        <v>1291792.06</v>
      </c>
      <c r="M8" s="455" t="s">
        <v>870</v>
      </c>
      <c r="N8" s="369">
        <f>ROUND((N6*N9)-N22+N20,2)</f>
        <v>1329915.3500000001</v>
      </c>
      <c r="O8" s="336"/>
      <c r="P8" s="416"/>
    </row>
    <row r="9" spans="1:16" ht="16.5" thickBot="1" x14ac:dyDescent="0.3">
      <c r="A9" s="346"/>
      <c r="B9" s="348"/>
      <c r="D9" s="390"/>
      <c r="F9" s="387" t="s">
        <v>909</v>
      </c>
      <c r="G9" s="41">
        <f>G6-G5</f>
        <v>6681.0600000000013</v>
      </c>
      <c r="J9" s="340" t="s">
        <v>929</v>
      </c>
      <c r="K9" s="414">
        <f>G13*-1</f>
        <v>-10231.348000000002</v>
      </c>
      <c r="M9" s="370" t="s">
        <v>913</v>
      </c>
      <c r="N9" s="468">
        <v>0.13291009514167701</v>
      </c>
      <c r="O9" s="336"/>
      <c r="P9" s="416"/>
    </row>
    <row r="10" spans="1:16" ht="16.5" thickBot="1" x14ac:dyDescent="0.3">
      <c r="A10" s="368" t="s">
        <v>870</v>
      </c>
      <c r="B10" s="369">
        <f>ROUND((B8*B11)-B21+B19,2)</f>
        <v>1329917.3799999999</v>
      </c>
      <c r="C10" s="336"/>
      <c r="D10" s="416"/>
      <c r="F10" s="387" t="s">
        <v>911</v>
      </c>
      <c r="G10" s="41">
        <f>G8+G9</f>
        <v>12789.185000000001</v>
      </c>
      <c r="H10" s="336"/>
      <c r="I10" s="336"/>
      <c r="J10" s="4"/>
      <c r="K10" s="4"/>
      <c r="M10" s="370" t="s">
        <v>872</v>
      </c>
      <c r="N10" s="372">
        <f>N20</f>
        <v>1281560.7120000001</v>
      </c>
      <c r="O10" s="336"/>
      <c r="P10" s="416"/>
    </row>
    <row r="11" spans="1:16" ht="16.5" thickBot="1" x14ac:dyDescent="0.3">
      <c r="A11" s="370" t="s">
        <v>913</v>
      </c>
      <c r="B11" s="468">
        <v>0.13291009514167701</v>
      </c>
      <c r="C11" s="336"/>
      <c r="D11" s="416"/>
      <c r="F11" s="387" t="s">
        <v>914</v>
      </c>
      <c r="G11" s="41">
        <f>G10*0.8</f>
        <v>10231.348000000002</v>
      </c>
      <c r="H11" s="336"/>
      <c r="I11" s="336"/>
      <c r="J11" s="340" t="s">
        <v>921</v>
      </c>
      <c r="K11" s="411">
        <f>K8+K9</f>
        <v>1281560.7120000001</v>
      </c>
      <c r="M11" s="370" t="s">
        <v>873</v>
      </c>
      <c r="N11" s="373">
        <f>N14</f>
        <v>1234102.7565000001</v>
      </c>
      <c r="O11" s="336"/>
      <c r="P11" s="416"/>
    </row>
    <row r="12" spans="1:16" ht="15.75" thickBot="1" x14ac:dyDescent="0.3">
      <c r="A12" s="370" t="s">
        <v>872</v>
      </c>
      <c r="B12" s="372">
        <f>B19</f>
        <v>1329917.3799999999</v>
      </c>
      <c r="C12" s="336"/>
      <c r="D12" s="416"/>
      <c r="F12" s="470"/>
      <c r="G12" s="4"/>
      <c r="M12" s="374" t="s">
        <v>874</v>
      </c>
      <c r="N12" s="375">
        <f>N10-N11</f>
        <v>47457.955499999924</v>
      </c>
      <c r="O12" s="336"/>
      <c r="P12" s="416"/>
    </row>
    <row r="13" spans="1:16" ht="16.5" thickBot="1" x14ac:dyDescent="0.3">
      <c r="A13" s="370" t="s">
        <v>873</v>
      </c>
      <c r="B13" s="373">
        <f>B16</f>
        <v>1288424.27</v>
      </c>
      <c r="C13" s="336"/>
      <c r="D13" s="416"/>
      <c r="F13" s="387" t="s">
        <v>929</v>
      </c>
      <c r="G13" s="414">
        <f>G11</f>
        <v>10231.348000000002</v>
      </c>
      <c r="M13" s="346"/>
      <c r="N13" s="348"/>
      <c r="P13" s="390"/>
    </row>
    <row r="14" spans="1:16" ht="15.75" thickBot="1" x14ac:dyDescent="0.3">
      <c r="A14" s="374" t="s">
        <v>874</v>
      </c>
      <c r="B14" s="375">
        <f>B12-B13</f>
        <v>41493.10999999987</v>
      </c>
      <c r="C14" s="336"/>
      <c r="D14" s="416"/>
      <c r="G14" s="175"/>
      <c r="M14" s="368" t="s">
        <v>875</v>
      </c>
      <c r="N14" s="427">
        <v>1234102.7565000001</v>
      </c>
      <c r="O14" s="336"/>
      <c r="P14" s="416"/>
    </row>
    <row r="15" spans="1:16" x14ac:dyDescent="0.25">
      <c r="A15" s="346"/>
      <c r="B15" s="390"/>
      <c r="C15" s="336"/>
      <c r="D15" s="390"/>
      <c r="G15" s="175"/>
      <c r="M15" s="370" t="str">
        <f>Dairy!F15</f>
        <v>Purchases Period 7</v>
      </c>
      <c r="N15" s="469">
        <v>750566.4068600001</v>
      </c>
      <c r="O15" s="336"/>
      <c r="P15" s="416"/>
    </row>
    <row r="16" spans="1:16" x14ac:dyDescent="0.25">
      <c r="A16" s="368" t="s">
        <v>875</v>
      </c>
      <c r="B16" s="427">
        <v>1288424.27</v>
      </c>
      <c r="C16" s="336"/>
      <c r="D16" s="416"/>
      <c r="G16" s="175"/>
      <c r="M16" s="370" t="str">
        <f>Dairy!F16</f>
        <v>Purchases Period 8</v>
      </c>
      <c r="N16" s="469">
        <v>697079.70928000007</v>
      </c>
      <c r="O16" s="336"/>
      <c r="P16" s="416"/>
    </row>
    <row r="17" spans="1:16" ht="15.75" thickBot="1" x14ac:dyDescent="0.3">
      <c r="A17" s="370" t="s">
        <v>876</v>
      </c>
      <c r="B17" s="377">
        <f>'Receiving Totals'!B38+'Receiving Totals'!J38</f>
        <v>649107.51860000007</v>
      </c>
      <c r="C17" s="336"/>
      <c r="D17" s="416"/>
      <c r="G17" s="175"/>
      <c r="M17" s="370" t="str">
        <f>Dairy!F17</f>
        <v>Purchases Period 9</v>
      </c>
      <c r="N17" s="443">
        <f>B17</f>
        <v>649107.51860000007</v>
      </c>
      <c r="O17" s="336"/>
      <c r="P17" s="416"/>
    </row>
    <row r="18" spans="1:16" x14ac:dyDescent="0.25">
      <c r="A18" s="370" t="s">
        <v>877</v>
      </c>
      <c r="B18" s="377">
        <f>B16+B17</f>
        <v>1937531.7886000001</v>
      </c>
      <c r="C18" s="336"/>
      <c r="D18" s="416"/>
      <c r="G18" s="175"/>
      <c r="K18" s="175"/>
      <c r="M18" s="370" t="s">
        <v>876</v>
      </c>
      <c r="N18" s="444">
        <f>N15+N16+N17</f>
        <v>2096753.6347400001</v>
      </c>
      <c r="O18" s="336"/>
      <c r="P18" s="416"/>
    </row>
    <row r="19" spans="1:16" x14ac:dyDescent="0.25">
      <c r="A19" s="370" t="s">
        <v>878</v>
      </c>
      <c r="B19" s="444">
        <f>ROUND(B16+B17-(B8*(100%-B11)),2)</f>
        <v>1329917.3799999999</v>
      </c>
      <c r="C19" s="336"/>
      <c r="D19" s="416"/>
      <c r="M19" s="370" t="s">
        <v>877</v>
      </c>
      <c r="N19" s="377">
        <f>N14+N18</f>
        <v>3330856.3912400003</v>
      </c>
      <c r="O19" s="336"/>
      <c r="P19" s="416"/>
    </row>
    <row r="20" spans="1:16" x14ac:dyDescent="0.25">
      <c r="A20" s="370" t="s">
        <v>879</v>
      </c>
      <c r="B20" s="377">
        <f>B18-B19</f>
        <v>607614.4086000002</v>
      </c>
      <c r="C20" s="336"/>
      <c r="D20" s="416"/>
      <c r="M20" s="370" t="s">
        <v>878</v>
      </c>
      <c r="N20" s="428">
        <f>K11</f>
        <v>1281560.7120000001</v>
      </c>
      <c r="O20" s="336"/>
      <c r="P20" s="416"/>
    </row>
    <row r="21" spans="1:16" ht="15.75" thickBot="1" x14ac:dyDescent="0.3">
      <c r="A21" s="370" t="s">
        <v>880</v>
      </c>
      <c r="B21" s="377">
        <f>B8-B20</f>
        <v>93136.931399999652</v>
      </c>
      <c r="C21" s="336"/>
      <c r="D21" s="416"/>
      <c r="M21" s="370" t="s">
        <v>879</v>
      </c>
      <c r="N21" s="377">
        <f>N19-N20</f>
        <v>2049295.6792400002</v>
      </c>
      <c r="O21" s="336"/>
      <c r="P21" s="416"/>
    </row>
    <row r="22" spans="1:16" ht="19.5" thickBot="1" x14ac:dyDescent="0.35">
      <c r="A22" s="445" t="s">
        <v>881</v>
      </c>
      <c r="B22" s="446">
        <f>B21/B8</f>
        <v>0.13291010103526835</v>
      </c>
      <c r="C22" s="336"/>
      <c r="D22" s="416"/>
      <c r="M22" s="370" t="s">
        <v>880</v>
      </c>
      <c r="N22" s="377">
        <f>N6-N21</f>
        <v>258355.5007599995</v>
      </c>
      <c r="O22" s="336"/>
      <c r="P22" s="416"/>
    </row>
    <row r="23" spans="1:16" ht="18.75" x14ac:dyDescent="0.3">
      <c r="A23" s="346"/>
      <c r="B23" s="390"/>
      <c r="C23" s="336"/>
      <c r="D23" s="390"/>
      <c r="M23" s="445" t="s">
        <v>881</v>
      </c>
      <c r="N23" s="446">
        <f>N22/N6</f>
        <v>0.11195604560997799</v>
      </c>
      <c r="O23" s="336"/>
      <c r="P23" s="416"/>
    </row>
    <row r="24" spans="1:16" ht="15.75" thickBot="1" x14ac:dyDescent="0.3">
      <c r="A24" s="368" t="s">
        <v>882</v>
      </c>
      <c r="B24" s="417">
        <v>0.1489</v>
      </c>
      <c r="C24" s="336"/>
      <c r="D24" s="416"/>
      <c r="M24" s="346"/>
      <c r="N24" s="390"/>
      <c r="P24" s="390"/>
    </row>
    <row r="25" spans="1:16" x14ac:dyDescent="0.25">
      <c r="A25" s="370" t="s">
        <v>883</v>
      </c>
      <c r="B25" s="377">
        <f>B8*B24</f>
        <v>104341.87452599999</v>
      </c>
      <c r="C25" s="336"/>
      <c r="D25" s="416"/>
      <c r="M25" s="368" t="s">
        <v>882</v>
      </c>
      <c r="N25" s="417">
        <v>0.14269999999999999</v>
      </c>
      <c r="O25" s="336"/>
      <c r="P25" s="416"/>
    </row>
    <row r="26" spans="1:16" x14ac:dyDescent="0.25">
      <c r="A26" s="370" t="s">
        <v>884</v>
      </c>
      <c r="B26" s="377">
        <f>B21-B25</f>
        <v>-11204.943126000333</v>
      </c>
      <c r="C26" s="336"/>
      <c r="D26" s="416"/>
      <c r="M26" s="370" t="s">
        <v>883</v>
      </c>
      <c r="N26" s="377">
        <f>N6*N25</f>
        <v>329301.82338599995</v>
      </c>
      <c r="O26" s="336"/>
      <c r="P26" s="416"/>
    </row>
    <row r="27" spans="1:16" ht="15.75" thickBot="1" x14ac:dyDescent="0.3">
      <c r="A27" s="374" t="s">
        <v>885</v>
      </c>
      <c r="B27" s="381">
        <f>B22-B24</f>
        <v>-1.5989898964731658E-2</v>
      </c>
      <c r="C27" s="336"/>
      <c r="D27" s="416"/>
      <c r="M27" s="370" t="s">
        <v>884</v>
      </c>
      <c r="N27" s="377">
        <f>N22-N26</f>
        <v>-70946.322626000445</v>
      </c>
      <c r="O27" s="336"/>
      <c r="P27" s="416"/>
    </row>
    <row r="28" spans="1:16" ht="15.75" thickBot="1" x14ac:dyDescent="0.3">
      <c r="A28" s="346"/>
      <c r="B28" s="348"/>
      <c r="D28" s="390"/>
      <c r="M28" s="374" t="s">
        <v>885</v>
      </c>
      <c r="N28" s="381">
        <f>N23-N25</f>
        <v>-3.0743954390022005E-2</v>
      </c>
      <c r="O28" s="336"/>
      <c r="P28" s="416"/>
    </row>
    <row r="29" spans="1:16" ht="15.75" thickBot="1" x14ac:dyDescent="0.3">
      <c r="A29" s="368" t="s">
        <v>886</v>
      </c>
      <c r="B29" s="382">
        <f>B24-D8</f>
        <v>0.13857007326735901</v>
      </c>
      <c r="C29" s="336"/>
      <c r="D29" s="416"/>
      <c r="M29" s="346"/>
      <c r="N29" s="348"/>
      <c r="P29" s="390"/>
    </row>
    <row r="30" spans="1:16" x14ac:dyDescent="0.25">
      <c r="A30" s="370" t="s">
        <v>887</v>
      </c>
      <c r="B30" s="377">
        <f>B25-C8</f>
        <v>97103.164525999979</v>
      </c>
      <c r="C30" s="336"/>
      <c r="D30" s="416"/>
      <c r="M30" s="368" t="s">
        <v>886</v>
      </c>
      <c r="N30" s="382">
        <f>N25-P6</f>
        <v>0.12977855404732355</v>
      </c>
      <c r="O30" s="336"/>
      <c r="P30" s="416"/>
    </row>
    <row r="31" spans="1:16" x14ac:dyDescent="0.25">
      <c r="A31" s="370" t="s">
        <v>888</v>
      </c>
      <c r="B31" s="377">
        <f>B21-B30</f>
        <v>-3966.2331260003266</v>
      </c>
      <c r="C31" s="336"/>
      <c r="D31" s="416"/>
      <c r="M31" s="370" t="s">
        <v>887</v>
      </c>
      <c r="N31" s="377">
        <f>N26-O6</f>
        <v>299483.63338599994</v>
      </c>
      <c r="O31" s="336"/>
      <c r="P31" s="416"/>
    </row>
    <row r="32" spans="1:16" ht="15.75" thickBot="1" x14ac:dyDescent="0.3">
      <c r="A32" s="374" t="s">
        <v>889</v>
      </c>
      <c r="B32" s="381">
        <f>B22-B29</f>
        <v>-5.6599722320906654E-3</v>
      </c>
      <c r="C32" s="336"/>
      <c r="D32" s="416"/>
      <c r="M32" s="370" t="s">
        <v>888</v>
      </c>
      <c r="N32" s="377">
        <f>N22-N31</f>
        <v>-41128.132626000443</v>
      </c>
      <c r="O32" s="336"/>
      <c r="P32" s="416"/>
    </row>
    <row r="33" spans="1:16" ht="15.75" thickBot="1" x14ac:dyDescent="0.3">
      <c r="A33" s="346"/>
      <c r="B33" s="4"/>
      <c r="D33" s="390"/>
      <c r="M33" s="374" t="s">
        <v>889</v>
      </c>
      <c r="N33" s="381">
        <f>N23-N30</f>
        <v>-1.7822508437345563E-2</v>
      </c>
      <c r="O33" s="336"/>
      <c r="P33" s="416"/>
    </row>
    <row r="34" spans="1:16" ht="18" x14ac:dyDescent="0.25">
      <c r="A34" s="383" t="s">
        <v>890</v>
      </c>
      <c r="B34" s="333">
        <f>B22-B11</f>
        <v>5.8935913371804816E-9</v>
      </c>
      <c r="D34" s="390"/>
      <c r="M34" s="346"/>
      <c r="N34" s="4"/>
      <c r="P34" s="390"/>
    </row>
    <row r="35" spans="1:16" ht="18" x14ac:dyDescent="0.25">
      <c r="A35" s="415"/>
      <c r="D35" s="390"/>
      <c r="M35" s="383" t="s">
        <v>890</v>
      </c>
      <c r="N35" s="333">
        <f>N23-N9</f>
        <v>-2.0954049531699021E-2</v>
      </c>
      <c r="P35" s="390"/>
    </row>
    <row r="36" spans="1:16" x14ac:dyDescent="0.25">
      <c r="A36" s="415"/>
      <c r="D36" s="390"/>
      <c r="M36" s="415"/>
      <c r="P36" s="390"/>
    </row>
    <row r="37" spans="1:16" x14ac:dyDescent="0.25">
      <c r="A37" s="415"/>
      <c r="D37" s="390"/>
      <c r="M37" s="415"/>
      <c r="P37" s="390"/>
    </row>
    <row r="38" spans="1:16" ht="15.75" thickBot="1" x14ac:dyDescent="0.3">
      <c r="A38" s="419"/>
      <c r="B38" s="420"/>
      <c r="C38" s="420"/>
      <c r="D38" s="392"/>
      <c r="M38" s="415"/>
      <c r="P38" s="390"/>
    </row>
    <row r="39" spans="1:16" ht="15.75" thickBot="1" x14ac:dyDescent="0.3">
      <c r="M39" s="419"/>
      <c r="N39" s="420"/>
      <c r="O39" s="420"/>
      <c r="P39" s="39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FD15-6BBC-42E8-AA90-6EB039556D51}">
  <dimension ref="A2:AJ55"/>
  <sheetViews>
    <sheetView topLeftCell="L1" workbookViewId="0">
      <selection activeCell="Z34" sqref="Z34"/>
    </sheetView>
  </sheetViews>
  <sheetFormatPr defaultRowHeight="15" x14ac:dyDescent="0.25"/>
  <cols>
    <col min="2" max="2" width="10.7109375" bestFit="1" customWidth="1"/>
    <col min="3" max="3" width="13.140625" bestFit="1" customWidth="1"/>
    <col min="4" max="4" width="15.140625" bestFit="1" customWidth="1"/>
    <col min="5" max="5" width="11.5703125" bestFit="1" customWidth="1"/>
    <col min="6" max="6" width="15.140625" bestFit="1" customWidth="1"/>
    <col min="7" max="7" width="11" bestFit="1" customWidth="1"/>
    <col min="8" max="9" width="10.7109375" bestFit="1" customWidth="1"/>
    <col min="10" max="10" width="13.140625" bestFit="1" customWidth="1"/>
    <col min="11" max="11" width="15.140625" bestFit="1" customWidth="1"/>
    <col min="12" max="12" width="10.85546875" bestFit="1" customWidth="1"/>
    <col min="13" max="15" width="10.7109375" bestFit="1" customWidth="1"/>
    <col min="18" max="18" width="10.42578125" customWidth="1"/>
    <col min="19" max="19" width="10.85546875" bestFit="1" customWidth="1"/>
    <col min="22" max="25" width="10.140625" bestFit="1" customWidth="1"/>
    <col min="26" max="26" width="10.85546875" bestFit="1" customWidth="1"/>
    <col min="27" max="32" width="10.140625" bestFit="1" customWidth="1"/>
    <col min="33" max="33" width="10.85546875" bestFit="1" customWidth="1"/>
    <col min="34" max="36" width="10.140625" bestFit="1" customWidth="1"/>
  </cols>
  <sheetData>
    <row r="2" spans="1:36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</row>
    <row r="3" spans="1:36" x14ac:dyDescent="0.25">
      <c r="B3" t="s">
        <v>953</v>
      </c>
      <c r="C3" t="s">
        <v>954</v>
      </c>
      <c r="D3" t="s">
        <v>955</v>
      </c>
      <c r="E3" t="s">
        <v>956</v>
      </c>
      <c r="F3" t="s">
        <v>957</v>
      </c>
      <c r="G3" t="s">
        <v>958</v>
      </c>
      <c r="H3" t="s">
        <v>959</v>
      </c>
      <c r="I3" t="s">
        <v>960</v>
      </c>
      <c r="J3" t="s">
        <v>961</v>
      </c>
      <c r="K3" t="s">
        <v>955</v>
      </c>
      <c r="L3" t="s">
        <v>956</v>
      </c>
      <c r="M3" t="s">
        <v>957</v>
      </c>
      <c r="N3" t="s">
        <v>958</v>
      </c>
      <c r="O3" t="s">
        <v>959</v>
      </c>
      <c r="P3" t="s">
        <v>960</v>
      </c>
      <c r="Q3" t="s">
        <v>961</v>
      </c>
      <c r="R3" t="s">
        <v>955</v>
      </c>
      <c r="S3" t="s">
        <v>956</v>
      </c>
      <c r="T3" t="s">
        <v>957</v>
      </c>
      <c r="U3" t="s">
        <v>958</v>
      </c>
      <c r="V3" t="s">
        <v>959</v>
      </c>
      <c r="W3" t="s">
        <v>960</v>
      </c>
      <c r="X3" t="s">
        <v>961</v>
      </c>
      <c r="Y3" t="s">
        <v>955</v>
      </c>
      <c r="Z3" t="s">
        <v>956</v>
      </c>
      <c r="AA3" t="s">
        <v>957</v>
      </c>
      <c r="AB3" t="s">
        <v>958</v>
      </c>
      <c r="AC3" t="s">
        <v>959</v>
      </c>
      <c r="AD3" t="s">
        <v>960</v>
      </c>
      <c r="AE3" t="s">
        <v>961</v>
      </c>
      <c r="AF3" t="s">
        <v>955</v>
      </c>
      <c r="AG3" t="s">
        <v>956</v>
      </c>
      <c r="AH3" t="s">
        <v>957</v>
      </c>
      <c r="AI3" t="s">
        <v>958</v>
      </c>
      <c r="AJ3" t="s">
        <v>959</v>
      </c>
    </row>
    <row r="4" spans="1:36" s="71" customFormat="1" x14ac:dyDescent="0.25">
      <c r="B4" s="71">
        <f>'Sunday WK1 (1)'!B4</f>
        <v>46194</v>
      </c>
      <c r="C4" s="71">
        <f>B4+1</f>
        <v>46195</v>
      </c>
      <c r="D4" s="71">
        <f t="shared" ref="D4:AJ4" si="0">C4+1</f>
        <v>46196</v>
      </c>
      <c r="E4" s="71">
        <f t="shared" si="0"/>
        <v>46197</v>
      </c>
      <c r="F4" s="71">
        <f t="shared" si="0"/>
        <v>46198</v>
      </c>
      <c r="G4" s="71">
        <f t="shared" si="0"/>
        <v>46199</v>
      </c>
      <c r="H4" s="71">
        <f t="shared" si="0"/>
        <v>46200</v>
      </c>
      <c r="I4" s="71">
        <f t="shared" si="0"/>
        <v>46201</v>
      </c>
      <c r="J4" s="71">
        <f t="shared" si="0"/>
        <v>46202</v>
      </c>
      <c r="K4" s="71">
        <f t="shared" si="0"/>
        <v>46203</v>
      </c>
      <c r="L4" s="71">
        <f t="shared" si="0"/>
        <v>46204</v>
      </c>
      <c r="M4" s="71">
        <f t="shared" si="0"/>
        <v>46205</v>
      </c>
      <c r="N4" s="71">
        <f t="shared" si="0"/>
        <v>46206</v>
      </c>
      <c r="O4" s="71">
        <f t="shared" si="0"/>
        <v>46207</v>
      </c>
      <c r="P4" s="71">
        <f t="shared" si="0"/>
        <v>46208</v>
      </c>
      <c r="Q4" s="71">
        <f t="shared" si="0"/>
        <v>46209</v>
      </c>
      <c r="R4" s="71">
        <f t="shared" si="0"/>
        <v>46210</v>
      </c>
      <c r="S4" s="71">
        <f t="shared" si="0"/>
        <v>46211</v>
      </c>
      <c r="T4" s="71">
        <f t="shared" si="0"/>
        <v>46212</v>
      </c>
      <c r="U4" s="71">
        <f t="shared" si="0"/>
        <v>46213</v>
      </c>
      <c r="V4" s="71">
        <f t="shared" si="0"/>
        <v>46214</v>
      </c>
      <c r="W4" s="71">
        <f t="shared" si="0"/>
        <v>46215</v>
      </c>
      <c r="X4" s="71">
        <f t="shared" si="0"/>
        <v>46216</v>
      </c>
      <c r="Y4" s="71">
        <f t="shared" si="0"/>
        <v>46217</v>
      </c>
      <c r="Z4" s="71">
        <f t="shared" si="0"/>
        <v>46218</v>
      </c>
      <c r="AA4" s="71">
        <f t="shared" si="0"/>
        <v>46219</v>
      </c>
      <c r="AB4" s="71">
        <f t="shared" si="0"/>
        <v>46220</v>
      </c>
      <c r="AC4" s="71">
        <f t="shared" si="0"/>
        <v>46221</v>
      </c>
      <c r="AD4" s="71">
        <f t="shared" si="0"/>
        <v>46222</v>
      </c>
      <c r="AE4" s="71">
        <f t="shared" si="0"/>
        <v>46223</v>
      </c>
      <c r="AF4" s="71">
        <f t="shared" si="0"/>
        <v>46224</v>
      </c>
      <c r="AG4" s="71">
        <f t="shared" si="0"/>
        <v>46225</v>
      </c>
      <c r="AH4" s="71">
        <f t="shared" si="0"/>
        <v>46226</v>
      </c>
      <c r="AI4" s="71">
        <f t="shared" si="0"/>
        <v>46227</v>
      </c>
      <c r="AJ4" s="71">
        <f t="shared" si="0"/>
        <v>46228</v>
      </c>
    </row>
    <row r="5" spans="1:36" x14ac:dyDescent="0.25">
      <c r="P5" s="72"/>
    </row>
    <row r="6" spans="1:36" x14ac:dyDescent="0.25">
      <c r="A6" t="s">
        <v>962</v>
      </c>
      <c r="B6" s="72" t="str">
        <f>+'Sunday WK1 (1)'!A6</f>
        <v>126281</v>
      </c>
      <c r="C6" s="72" t="str">
        <f>+'Monday WK1 (2)'!A6</f>
        <v>9597126</v>
      </c>
      <c r="D6" s="72" t="str">
        <f>+'Tuesday WK1 (3)'!A6</f>
        <v>4003658983</v>
      </c>
      <c r="E6" s="72" t="str">
        <f>+'Wednesday WK1 (4)'!A6</f>
        <v>5226135003</v>
      </c>
      <c r="F6" s="72" t="str">
        <f>+'Thursday WK1 (5)'!A6</f>
        <v>4003676429</v>
      </c>
      <c r="G6" s="72" t="str">
        <f>+'Friday WK1 (6)'!A6</f>
        <v>2882617703</v>
      </c>
      <c r="H6" s="72" t="str">
        <f>+'Saturday WK1 (7)'!A6</f>
        <v>126454</v>
      </c>
      <c r="I6" s="72" t="str">
        <f>+'Sunday WK2 (8)'!A6</f>
        <v>1003652120</v>
      </c>
      <c r="J6" s="72" t="str">
        <f>+'Monday WK2 (9)'!A6</f>
        <v>92578138</v>
      </c>
      <c r="K6" s="72" t="str">
        <f>+'Tuesday WK2 (10)'!A6</f>
        <v>32922</v>
      </c>
      <c r="L6" s="72" t="str">
        <f>+'Wednesday WK2 (11)'!A6</f>
        <v>82849818</v>
      </c>
      <c r="M6" s="72" t="str">
        <f>+'Thursday WK2 (12)'!A6</f>
        <v>4003725681</v>
      </c>
      <c r="N6" s="72" t="str">
        <f>+'Friday WK2 (13)'!A6</f>
        <v>53097633101</v>
      </c>
      <c r="O6" s="72" t="str">
        <f>+'Saturday WK2 (14)'!A6</f>
        <v>126616</v>
      </c>
      <c r="P6" s="72" t="str">
        <f>+'Sunday WK3 (15)'!A6</f>
        <v>4003749852</v>
      </c>
      <c r="Q6" s="72" t="str">
        <f>+'Monday WK3 (16)'!A6</f>
        <v>2246</v>
      </c>
      <c r="R6" s="72" t="str">
        <f>+'Tuesday WK3 (17)'!A6</f>
        <v>TO442</v>
      </c>
      <c r="S6" s="72" t="str">
        <f>+'Wednesday WK3 (18)'!A6</f>
        <v>82849859</v>
      </c>
      <c r="T6" s="72" t="str">
        <f>+'Thursday WK3 (19)'!A6</f>
        <v>4003765649</v>
      </c>
      <c r="U6" s="72" t="str">
        <f>+'Friday WK3 (20)'!A6</f>
        <v>82849874</v>
      </c>
      <c r="V6" s="72" t="str">
        <f>+'Saturday WK3 (21)'!A6</f>
        <v>126800</v>
      </c>
      <c r="W6" s="72" t="str">
        <f>+'Sunday WK4 (22)'!A6</f>
        <v>SO186688</v>
      </c>
      <c r="X6" s="72" t="str">
        <f>+'Monday WK4 (23)'!A6</f>
        <v>4000259074</v>
      </c>
      <c r="Y6" s="72" t="str">
        <f>+'Tuesday WK4 (24)'!A6</f>
        <v>4003807742</v>
      </c>
      <c r="Z6" s="72" t="str">
        <f>+'Wednesday WK4 (25)'!A6</f>
        <v>9599934</v>
      </c>
      <c r="AA6" s="72" t="str">
        <f>+'Thursday WK4 (26)'!A6</f>
        <v>900018499</v>
      </c>
      <c r="AB6" s="72" t="str">
        <f>+'Friday WK4 (27)'!A6</f>
        <v>2034298480</v>
      </c>
      <c r="AC6" s="72" t="str">
        <f>+'Saturday WK4 (28)'!A6</f>
        <v>5638048</v>
      </c>
      <c r="AD6" s="72" t="str">
        <f>+'Sunday WK5 (29)'!A6</f>
        <v xml:space="preserve"> </v>
      </c>
      <c r="AE6" s="72" t="str">
        <f>+'Monday WK5 (30)'!A6</f>
        <v xml:space="preserve"> </v>
      </c>
      <c r="AF6" s="72" t="str">
        <f>+'Tuesday WK5 (31)'!A6</f>
        <v xml:space="preserve"> </v>
      </c>
      <c r="AG6" s="72" t="str">
        <f>+'Wednesday WK5 (32)'!A6</f>
        <v xml:space="preserve"> </v>
      </c>
      <c r="AH6" s="72" t="str">
        <f>+'Thursday WK5 (33)'!A6</f>
        <v xml:space="preserve"> </v>
      </c>
      <c r="AI6" s="72" t="str">
        <f>+'Friday WK5 (34)'!A6</f>
        <v xml:space="preserve"> </v>
      </c>
      <c r="AJ6" s="72" t="str">
        <f>+'Saturday WK5 (35)'!A6</f>
        <v xml:space="preserve"> </v>
      </c>
    </row>
    <row r="7" spans="1:36" x14ac:dyDescent="0.25">
      <c r="A7" t="s">
        <v>962</v>
      </c>
      <c r="B7" s="72" t="str">
        <f>+'Sunday WK1 (1)'!A7</f>
        <v>4003652120</v>
      </c>
      <c r="C7" s="72" t="str">
        <f>+'Monday WK1 (2)'!A7</f>
        <v>9597117</v>
      </c>
      <c r="D7" s="72" t="str">
        <f>+'Tuesday WK1 (3)'!A7</f>
        <v>4003658984</v>
      </c>
      <c r="E7" s="72" t="str">
        <f>+'Wednesday WK1 (4)'!A7</f>
        <v>2474287</v>
      </c>
      <c r="F7" s="72" t="str">
        <f>+'Thursday WK1 (5)'!A7</f>
        <v>962372</v>
      </c>
      <c r="G7" s="72" t="str">
        <f>+'Friday WK1 (6)'!A7</f>
        <v>2882617704</v>
      </c>
      <c r="H7" s="72" t="str">
        <f>+'Saturday WK1 (7)'!A7</f>
        <v xml:space="preserve"> </v>
      </c>
      <c r="I7" s="72" t="str">
        <f>+'Sunday WK2 (8)'!A7</f>
        <v>4003701372</v>
      </c>
      <c r="J7" s="72" t="str">
        <f>+'Monday WK2 (9)'!A7</f>
        <v>54132304</v>
      </c>
      <c r="K7" s="72" t="str">
        <f>+'Tuesday WK2 (10)'!A7</f>
        <v>4003710022</v>
      </c>
      <c r="L7" s="72" t="str">
        <f>+'Wednesday WK2 (11)'!A7</f>
        <v xml:space="preserve"> </v>
      </c>
      <c r="M7" s="72" t="str">
        <f>+'Thursday WK2 (12)'!A7</f>
        <v>6672805</v>
      </c>
      <c r="N7" s="72" t="str">
        <f>+'Friday WK2 (13)'!A7</f>
        <v>82849831</v>
      </c>
      <c r="O7" s="72" t="str">
        <f>+'Saturday WK2 (14)'!A7</f>
        <v xml:space="preserve"> </v>
      </c>
      <c r="P7" s="72" t="str">
        <f>+'Sunday WK3 (15)'!A7</f>
        <v>4003749851</v>
      </c>
      <c r="Q7" s="72" t="str">
        <f>+'Monday WK3 (16)'!A7</f>
        <v>54319807</v>
      </c>
      <c r="R7" s="72" t="str">
        <f>+'Tuesday WK3 (17)'!A7</f>
        <v>4000258837</v>
      </c>
      <c r="S7" s="72" t="str">
        <f>+'Wednesday WK3 (18)'!A7</f>
        <v>INV26-04757</v>
      </c>
      <c r="T7" s="72" t="str">
        <f>+'Thursday WK3 (19)'!A7</f>
        <v>4003773251</v>
      </c>
      <c r="U7" s="72" t="str">
        <f>+'Friday WK3 (20)'!A7</f>
        <v>82849875</v>
      </c>
      <c r="V7" s="72" t="str">
        <f>+'Saturday WK3 (21)'!A7</f>
        <v>6018</v>
      </c>
      <c r="W7" s="72" t="str">
        <f>+'Sunday WK4 (22)'!A7</f>
        <v>4003799869</v>
      </c>
      <c r="X7" s="72" t="str">
        <f>+'Monday WK4 (23)'!A7</f>
        <v>3281619401</v>
      </c>
      <c r="Y7" s="72" t="str">
        <f>+'Tuesday WK4 (24)'!A7</f>
        <v>5653634</v>
      </c>
      <c r="Z7" s="72" t="str">
        <f>+'Wednesday WK4 (25)'!A7</f>
        <v>9599932</v>
      </c>
      <c r="AA7" s="72" t="str">
        <f>+'Thursday WK4 (26)'!A7</f>
        <v>900018500</v>
      </c>
      <c r="AB7" s="72" t="str">
        <f>+'Friday WK4 (27)'!A7</f>
        <v>226650719886</v>
      </c>
      <c r="AC7" s="72" t="str">
        <f>+'Saturday WK4 (28)'!A7</f>
        <v>5638263</v>
      </c>
      <c r="AD7" s="72" t="str">
        <f>+'Sunday WK5 (29)'!A7</f>
        <v xml:space="preserve"> </v>
      </c>
      <c r="AE7" s="72" t="str">
        <f>+'Monday WK5 (30)'!A7</f>
        <v xml:space="preserve"> </v>
      </c>
      <c r="AF7" s="72" t="str">
        <f>+'Tuesday WK5 (31)'!A7</f>
        <v xml:space="preserve"> </v>
      </c>
      <c r="AG7" s="72" t="str">
        <f>+'Wednesday WK5 (32)'!A7</f>
        <v xml:space="preserve"> </v>
      </c>
      <c r="AH7" s="72" t="str">
        <f>+'Thursday WK5 (33)'!A7</f>
        <v xml:space="preserve"> </v>
      </c>
      <c r="AI7" s="72" t="str">
        <f>+'Friday WK5 (34)'!A7</f>
        <v xml:space="preserve"> </v>
      </c>
      <c r="AJ7" s="72" t="str">
        <f>+'Saturday WK5 (35)'!A7</f>
        <v xml:space="preserve"> </v>
      </c>
    </row>
    <row r="8" spans="1:36" x14ac:dyDescent="0.25">
      <c r="A8" t="s">
        <v>962</v>
      </c>
      <c r="B8" s="72" t="str">
        <f>+'Sunday WK1 (1)'!A8</f>
        <v>SO185613</v>
      </c>
      <c r="C8" s="72" t="str">
        <f>+'Monday WK1 (2)'!A8</f>
        <v>9598881</v>
      </c>
      <c r="D8" s="72" t="str">
        <f>+'Tuesday WK1 (3)'!A8</f>
        <v>6651868</v>
      </c>
      <c r="E8" s="72" t="str">
        <f>+'Wednesday WK1 (4)'!A8</f>
        <v>5226142003</v>
      </c>
      <c r="F8" s="72" t="str">
        <f>+'Thursday WK1 (5)'!A8</f>
        <v>962772</v>
      </c>
      <c r="G8" s="72" t="str">
        <f>+'Friday WK1 (6)'!A8</f>
        <v>2882617705</v>
      </c>
      <c r="H8" s="72" t="str">
        <f>+'Saturday WK1 (7)'!A8</f>
        <v xml:space="preserve"> </v>
      </c>
      <c r="I8" s="72" t="str">
        <f>+'Sunday WK2 (8)'!A8</f>
        <v>4003701374</v>
      </c>
      <c r="J8" s="72" t="str">
        <f>+'Monday WK2 (9)'!A8</f>
        <v>54132303</v>
      </c>
      <c r="K8" s="72" t="str">
        <f>+'Tuesday WK2 (10)'!A8</f>
        <v>4003710021</v>
      </c>
      <c r="L8" s="72" t="str">
        <f>+'Wednesday WK2 (11)'!A8</f>
        <v xml:space="preserve"> </v>
      </c>
      <c r="M8" s="72" t="str">
        <f>+'Thursday WK2 (12)'!A8</f>
        <v>6674089</v>
      </c>
      <c r="N8" s="72" t="str">
        <f>+'Friday WK2 (13)'!A8</f>
        <v>82849832</v>
      </c>
      <c r="O8" s="72" t="str">
        <f>+'Saturday WK2 (14)'!A8</f>
        <v xml:space="preserve"> </v>
      </c>
      <c r="P8" s="72" t="str">
        <f>+'Sunday WK3 (15)'!A8</f>
        <v>4003731438</v>
      </c>
      <c r="Q8" s="72" t="str">
        <f>+'Monday WK3 (16)'!A8</f>
        <v>54319806</v>
      </c>
      <c r="R8" s="72" t="str">
        <f>+'Tuesday WK3 (17)'!A8</f>
        <v>6683608</v>
      </c>
      <c r="S8" s="72" t="str">
        <f>+'Wednesday WK3 (18)'!A8</f>
        <v>SO2514225</v>
      </c>
      <c r="T8" s="72" t="str">
        <f>+'Thursday WK3 (19)'!A8</f>
        <v>573137</v>
      </c>
      <c r="U8" s="72" t="str">
        <f>+'Friday WK3 (20)'!A8</f>
        <v>95463140</v>
      </c>
      <c r="V8" s="72" t="str">
        <f>+'Saturday WK3 (21)'!A8</f>
        <v xml:space="preserve"> </v>
      </c>
      <c r="W8" s="72" t="str">
        <f>+'Sunday WK4 (22)'!A8</f>
        <v>4003799870</v>
      </c>
      <c r="X8" s="72" t="str">
        <f>+'Monday WK4 (23)'!A8</f>
        <v>54468907</v>
      </c>
      <c r="Y8" s="72" t="str">
        <f>+'Tuesday WK4 (24)'!A8</f>
        <v>5653683</v>
      </c>
      <c r="Z8" s="72" t="str">
        <f>+'Wednesday WK4 (25)'!A8</f>
        <v>9599930</v>
      </c>
      <c r="AA8" s="72" t="str">
        <f>+'Thursday WK4 (26)'!A8</f>
        <v>4003825419</v>
      </c>
      <c r="AB8" s="72" t="str">
        <f>+'Friday WK4 (27)'!A8</f>
        <v>226650719887</v>
      </c>
      <c r="AC8" s="72" t="str">
        <f>+'Saturday WK4 (28)'!A8</f>
        <v xml:space="preserve"> </v>
      </c>
      <c r="AD8" s="72" t="str">
        <f>+'Sunday WK5 (29)'!A8</f>
        <v xml:space="preserve"> </v>
      </c>
      <c r="AE8" s="72" t="str">
        <f>+'Monday WK5 (30)'!A8</f>
        <v xml:space="preserve"> </v>
      </c>
      <c r="AF8" s="72" t="str">
        <f>+'Tuesday WK5 (31)'!A8</f>
        <v xml:space="preserve"> </v>
      </c>
      <c r="AG8" s="72" t="str">
        <f>+'Wednesday WK5 (32)'!A8</f>
        <v xml:space="preserve"> </v>
      </c>
      <c r="AH8" s="72" t="str">
        <f>+'Thursday WK5 (33)'!A8</f>
        <v xml:space="preserve"> </v>
      </c>
      <c r="AI8" s="72" t="str">
        <f>+'Friday WK5 (34)'!A8</f>
        <v xml:space="preserve"> </v>
      </c>
      <c r="AJ8" s="72" t="str">
        <f>+'Saturday WK5 (35)'!A8</f>
        <v xml:space="preserve"> </v>
      </c>
    </row>
    <row r="9" spans="1:36" x14ac:dyDescent="0.25">
      <c r="A9" t="s">
        <v>962</v>
      </c>
      <c r="B9" s="72" t="str">
        <f>+'Sunday WK1 (1)'!A9</f>
        <v>771176</v>
      </c>
      <c r="C9" s="72" t="str">
        <f>+'Monday WK1 (2)'!A9</f>
        <v>9598880</v>
      </c>
      <c r="D9" s="72" t="str">
        <f>+'Tuesday WK1 (3)'!A9</f>
        <v>6651869</v>
      </c>
      <c r="E9" s="72" t="str">
        <f>+'Wednesday WK1 (4)'!A9</f>
        <v>5226149002</v>
      </c>
      <c r="F9" s="72" t="str">
        <f>+'Thursday WK1 (5)'!A9</f>
        <v>6657512</v>
      </c>
      <c r="G9" s="72" t="str">
        <f>+'Friday WK1 (6)'!A9</f>
        <v>2882617706</v>
      </c>
      <c r="H9" s="72" t="str">
        <f>+'Saturday WK1 (7)'!A9</f>
        <v xml:space="preserve"> </v>
      </c>
      <c r="I9" s="72" t="str">
        <f>+'Sunday WK2 (8)'!A9</f>
        <v>3280944</v>
      </c>
      <c r="J9" s="72" t="str">
        <f>+'Monday WK2 (9)'!A9</f>
        <v>226650718099</v>
      </c>
      <c r="K9" s="72" t="str">
        <f>+'Tuesday WK2 (10)'!A9</f>
        <v>6670111</v>
      </c>
      <c r="L9" s="72" t="str">
        <f>+'Wednesday WK2 (11)'!A9</f>
        <v xml:space="preserve"> </v>
      </c>
      <c r="M9" s="72" t="str">
        <f>+'Thursday WK2 (12)'!A9</f>
        <v>6672317</v>
      </c>
      <c r="N9" s="72" t="str">
        <f>+'Friday WK2 (13)'!A9</f>
        <v>94181775</v>
      </c>
      <c r="O9" s="72" t="str">
        <f>+'Saturday WK2 (14)'!A9</f>
        <v xml:space="preserve"> </v>
      </c>
      <c r="P9" s="72" t="str">
        <f>+'Sunday WK3 (15)'!A9</f>
        <v>SO186413</v>
      </c>
      <c r="Q9" s="72" t="str">
        <f>+'Monday WK3 (16)'!A9</f>
        <v>53166884003</v>
      </c>
      <c r="R9" s="72" t="str">
        <f>+'Tuesday WK3 (17)'!A9</f>
        <v>6685009</v>
      </c>
      <c r="S9" s="72" t="str">
        <f>+'Wednesday WK3 (18)'!A9</f>
        <v>00023365</v>
      </c>
      <c r="T9" s="72" t="str">
        <f>+'Thursday WK3 (19)'!A9</f>
        <v>964065</v>
      </c>
      <c r="U9" s="72" t="str">
        <f>+'Friday WK3 (20)'!A9</f>
        <v xml:space="preserve"> </v>
      </c>
      <c r="V9" s="72" t="str">
        <f>+'Saturday WK3 (21)'!A9</f>
        <v xml:space="preserve"> </v>
      </c>
      <c r="W9" s="72" t="str">
        <f>+'Sunday WK4 (22)'!A9</f>
        <v>965136</v>
      </c>
      <c r="X9" s="72" t="str">
        <f>+'Monday WK4 (23)'!A9</f>
        <v>82849885</v>
      </c>
      <c r="Y9" s="72" t="str">
        <f>+'Tuesday WK4 (24)'!A9</f>
        <v>5653712</v>
      </c>
      <c r="Z9" s="72" t="str">
        <f>+'Wednesday WK4 (25)'!A9</f>
        <v>9599926</v>
      </c>
      <c r="AA9" s="72" t="str">
        <f>+'Thursday WK4 (26)'!A9</f>
        <v>4003825420</v>
      </c>
      <c r="AB9" s="72" t="str">
        <f>+'Friday WK4 (27)'!A9</f>
        <v>96680315</v>
      </c>
      <c r="AC9" s="72" t="str">
        <f>+'Saturday WK4 (28)'!A9</f>
        <v xml:space="preserve"> </v>
      </c>
      <c r="AD9" s="72" t="str">
        <f>+'Sunday WK5 (29)'!A9</f>
        <v xml:space="preserve"> </v>
      </c>
      <c r="AE9" s="72" t="str">
        <f>+'Monday WK5 (30)'!A9</f>
        <v xml:space="preserve"> </v>
      </c>
      <c r="AF9" s="72" t="str">
        <f>+'Tuesday WK5 (31)'!A9</f>
        <v xml:space="preserve"> </v>
      </c>
      <c r="AG9" s="72" t="str">
        <f>+'Wednesday WK5 (32)'!A9</f>
        <v xml:space="preserve"> </v>
      </c>
      <c r="AH9" s="72" t="str">
        <f>+'Thursday WK5 (33)'!A9</f>
        <v xml:space="preserve"> </v>
      </c>
      <c r="AI9" s="72" t="str">
        <f>+'Friday WK5 (34)'!A9</f>
        <v xml:space="preserve"> </v>
      </c>
      <c r="AJ9" s="72" t="str">
        <f>+'Saturday WK5 (35)'!A9</f>
        <v xml:space="preserve"> </v>
      </c>
    </row>
    <row r="10" spans="1:36" x14ac:dyDescent="0.25">
      <c r="A10" t="s">
        <v>962</v>
      </c>
      <c r="B10" s="72" t="str">
        <f>+'Sunday WK1 (1)'!A10</f>
        <v>3278879</v>
      </c>
      <c r="C10" s="72" t="str">
        <f>+'Monday WK1 (2)'!A10</f>
        <v>52933821006</v>
      </c>
      <c r="D10" s="72" t="str">
        <f>+'Tuesday WK1 (3)'!A10</f>
        <v>6652458</v>
      </c>
      <c r="E10" s="72" t="str">
        <f>+'Wednesday WK1 (4)'!A10</f>
        <v>6597432A</v>
      </c>
      <c r="F10" s="72" t="str">
        <f>+'Thursday WK1 (5)'!A10</f>
        <v>6656802</v>
      </c>
      <c r="G10" s="72" t="str">
        <f>+'Friday WK1 (6)'!A10</f>
        <v>2034298473</v>
      </c>
      <c r="H10" s="72" t="str">
        <f>+'Saturday WK1 (7)'!A10</f>
        <v xml:space="preserve"> </v>
      </c>
      <c r="I10" s="72" t="str">
        <f>+'Sunday WK2 (8)'!A10</f>
        <v>100351280</v>
      </c>
      <c r="J10" s="72" t="str">
        <f>+'Monday WK2 (9)'!A10</f>
        <v>226650718001</v>
      </c>
      <c r="K10" s="72" t="str">
        <f>+'Tuesday WK2 (10)'!A10</f>
        <v>6670958</v>
      </c>
      <c r="L10" s="72" t="str">
        <f>+'Wednesday WK2 (11)'!A10</f>
        <v xml:space="preserve"> </v>
      </c>
      <c r="M10" s="72" t="str">
        <f>+'Thursday WK2 (12)'!A10</f>
        <v>5638271</v>
      </c>
      <c r="N10" s="72" t="str">
        <f>+'Friday WK2 (13)'!A10</f>
        <v>0117434</v>
      </c>
      <c r="O10" s="72" t="str">
        <f>+'Saturday WK2 (14)'!A10</f>
        <v xml:space="preserve"> </v>
      </c>
      <c r="P10" s="72" t="str">
        <f>+'Sunday WK3 (15)'!A10</f>
        <v>100352206</v>
      </c>
      <c r="Q10" s="72" t="str">
        <f>+'Monday WK3 (16)'!A10</f>
        <v>226650718709</v>
      </c>
      <c r="R10" s="72" t="str">
        <f>+'Tuesday WK3 (17)'!A10</f>
        <v>6685246</v>
      </c>
      <c r="S10" s="72" t="str">
        <f>+'Wednesday WK3 (18)'!A10</f>
        <v xml:space="preserve"> </v>
      </c>
      <c r="T10" s="72" t="str">
        <f>+'Thursday WK3 (19)'!A10</f>
        <v>3283863</v>
      </c>
      <c r="U10" s="72" t="str">
        <f>+'Friday WK3 (20)'!A10</f>
        <v xml:space="preserve"> </v>
      </c>
      <c r="V10" s="72" t="str">
        <f>+'Saturday WK3 (21)'!A10</f>
        <v xml:space="preserve"> </v>
      </c>
      <c r="W10" s="72" t="str">
        <f>+'Sunday WK4 (22)'!A10</f>
        <v>965063</v>
      </c>
      <c r="X10" s="72" t="str">
        <f>+'Monday WK4 (23)'!A10</f>
        <v>226650719417</v>
      </c>
      <c r="Y10" s="72" t="str">
        <f>+'Tuesday WK4 (24)'!A10</f>
        <v>8252831</v>
      </c>
      <c r="Z10" s="72" t="str">
        <f>+'Wednesday WK4 (25)'!A10</f>
        <v>9599929</v>
      </c>
      <c r="AA10" s="72" t="str">
        <f>+'Thursday WK4 (26)'!A10</f>
        <v>4003825422</v>
      </c>
      <c r="AB10" s="72" t="str">
        <f>+'Friday WK4 (27)'!A10</f>
        <v>82849908</v>
      </c>
      <c r="AC10" s="72" t="str">
        <f>+'Saturday WK4 (28)'!A10</f>
        <v>5639458</v>
      </c>
      <c r="AD10" s="72" t="str">
        <f>+'Sunday WK5 (29)'!A10</f>
        <v xml:space="preserve"> </v>
      </c>
      <c r="AE10" s="72" t="str">
        <f>+'Monday WK5 (30)'!A10</f>
        <v xml:space="preserve"> </v>
      </c>
      <c r="AF10" s="72" t="str">
        <f>+'Tuesday WK5 (31)'!A10</f>
        <v xml:space="preserve"> </v>
      </c>
      <c r="AG10" s="72" t="str">
        <f>+'Wednesday WK5 (32)'!A10</f>
        <v xml:space="preserve"> </v>
      </c>
      <c r="AH10" s="72" t="str">
        <f>+'Thursday WK5 (33)'!A10</f>
        <v xml:space="preserve"> </v>
      </c>
      <c r="AI10" s="72" t="str">
        <f>+'Friday WK5 (34)'!A10</f>
        <v xml:space="preserve"> </v>
      </c>
      <c r="AJ10" s="72" t="str">
        <f>+'Saturday WK5 (35)'!A10</f>
        <v xml:space="preserve"> </v>
      </c>
    </row>
    <row r="11" spans="1:36" x14ac:dyDescent="0.25">
      <c r="A11" t="s">
        <v>962</v>
      </c>
      <c r="B11" s="72" t="str">
        <f>+'Sunday WK1 (1)'!A11</f>
        <v>6644176</v>
      </c>
      <c r="C11" s="72" t="str">
        <f>+'Monday WK1 (2)'!A11</f>
        <v>53927300</v>
      </c>
      <c r="D11" s="72" t="str">
        <f>+'Tuesday WK1 (3)'!A11</f>
        <v>6652237</v>
      </c>
      <c r="E11" s="72" t="str">
        <f>+'Wednesday WK1 (4)'!A11</f>
        <v>9590413</v>
      </c>
      <c r="F11" s="72" t="str">
        <f>+'Thursday WK1 (5)'!A11</f>
        <v>6658481</v>
      </c>
      <c r="G11" s="72" t="str">
        <f>+'Friday WK1 (6)'!A11</f>
        <v>3285617701</v>
      </c>
      <c r="H11" s="72" t="str">
        <f>+'Saturday WK1 (7)'!A11</f>
        <v xml:space="preserve"> </v>
      </c>
      <c r="I11" s="72" t="str">
        <f>+'Sunday WK2 (8)'!A11</f>
        <v>SO185965</v>
      </c>
      <c r="J11" s="72" t="str">
        <f>+'Monday WK2 (9)'!A11</f>
        <v>82849805</v>
      </c>
      <c r="K11" s="72" t="str">
        <f>+'Tuesday WK2 (10)'!A11</f>
        <v>6670959</v>
      </c>
      <c r="L11" s="72" t="str">
        <f>+'Wednesday WK2 (11)'!A11</f>
        <v xml:space="preserve"> </v>
      </c>
      <c r="M11" s="72" t="str">
        <f>+'Thursday WK2 (12)'!A11</f>
        <v>5638389</v>
      </c>
      <c r="N11" s="72" t="str">
        <f>+'Friday WK2 (13)'!A11</f>
        <v>10484</v>
      </c>
      <c r="O11" s="72" t="str">
        <f>+'Saturday WK2 (14)'!A11</f>
        <v xml:space="preserve"> </v>
      </c>
      <c r="P11" s="72" t="str">
        <f>+'Sunday WK3 (15)'!A11</f>
        <v>6676651</v>
      </c>
      <c r="Q11" s="72" t="str">
        <f>+'Monday WK3 (16)'!A11</f>
        <v>226650718710</v>
      </c>
      <c r="R11" s="72" t="str">
        <f>+'Tuesday WK3 (17)'!A11</f>
        <v>6685789</v>
      </c>
      <c r="S11" s="72" t="str">
        <f>+'Wednesday WK3 (18)'!A11</f>
        <v xml:space="preserve"> </v>
      </c>
      <c r="T11" s="72" t="str">
        <f>+'Thursday WK3 (19)'!A11</f>
        <v>6689252</v>
      </c>
      <c r="U11" s="72" t="str">
        <f>+'Friday WK3 (20)'!A11</f>
        <v xml:space="preserve"> </v>
      </c>
      <c r="V11" s="72" t="str">
        <f>+'Saturday WK3 (21)'!A11</f>
        <v xml:space="preserve"> </v>
      </c>
      <c r="W11" s="72" t="str">
        <f>+'Sunday WK4 (22)'!A11</f>
        <v>3284739</v>
      </c>
      <c r="X11" s="72" t="str">
        <f>+'Monday WK4 (23)'!A11</f>
        <v>226650719418</v>
      </c>
      <c r="Y11" s="72" t="str">
        <f>+'Tuesday WK4 (24)'!A11</f>
        <v>8252914</v>
      </c>
      <c r="Z11" s="72" t="str">
        <f>+'Wednesday WK4 (25)'!A11</f>
        <v>9501795</v>
      </c>
      <c r="AA11" s="72" t="str">
        <f>+'Thursday WK4 (26)'!A11</f>
        <v>3286349</v>
      </c>
      <c r="AB11" s="72" t="str">
        <f>+'Friday WK4 (27)'!A11</f>
        <v>82849909</v>
      </c>
      <c r="AC11" s="72" t="str">
        <f>+'Saturday WK4 (28)'!A11</f>
        <v xml:space="preserve"> </v>
      </c>
      <c r="AD11" s="72" t="str">
        <f>+'Sunday WK5 (29)'!A11</f>
        <v xml:space="preserve"> </v>
      </c>
      <c r="AE11" s="72" t="str">
        <f>+'Monday WK5 (30)'!A11</f>
        <v xml:space="preserve"> </v>
      </c>
      <c r="AF11" s="72" t="str">
        <f>+'Tuesday WK5 (31)'!A11</f>
        <v xml:space="preserve"> </v>
      </c>
      <c r="AG11" s="72" t="str">
        <f>+'Wednesday WK5 (32)'!A11</f>
        <v xml:space="preserve"> </v>
      </c>
      <c r="AH11" s="72" t="str">
        <f>+'Thursday WK5 (33)'!A11</f>
        <v xml:space="preserve"> </v>
      </c>
      <c r="AI11" s="72" t="str">
        <f>+'Friday WK5 (34)'!A11</f>
        <v xml:space="preserve"> </v>
      </c>
      <c r="AJ11" s="72" t="str">
        <f>+'Saturday WK5 (35)'!A11</f>
        <v xml:space="preserve"> </v>
      </c>
    </row>
    <row r="12" spans="1:36" x14ac:dyDescent="0.25">
      <c r="A12" t="s">
        <v>962</v>
      </c>
      <c r="B12" s="72" t="str">
        <f>+'Sunday WK1 (1)'!A12</f>
        <v>6644717</v>
      </c>
      <c r="C12" s="72" t="str">
        <f>+'Monday WK1 (2)'!A12</f>
        <v>32698</v>
      </c>
      <c r="D12" s="72" t="str">
        <f>+'Tuesday WK1 (3)'!A12</f>
        <v>6654306</v>
      </c>
      <c r="E12" s="72" t="str">
        <f>+'Wednesday WK1 (4)'!A12</f>
        <v>1809156</v>
      </c>
      <c r="F12" s="72" t="str">
        <f>+'Thursday WK1 (5)'!A12</f>
        <v>6658482</v>
      </c>
      <c r="G12" s="72" t="str">
        <f>+'Friday WK1 (6)'!A12</f>
        <v>82849789</v>
      </c>
      <c r="H12" s="72" t="str">
        <f>+'Saturday WK1 (7)'!A12</f>
        <v xml:space="preserve"> </v>
      </c>
      <c r="I12" s="72" t="str">
        <f>+'Sunday WK2 (8)'!A12</f>
        <v>6660239</v>
      </c>
      <c r="J12" s="72" t="str">
        <f>+'Monday WK2 (9)'!A12</f>
        <v>126480</v>
      </c>
      <c r="K12" s="72" t="str">
        <f>+'Tuesday WK2 (10)'!A12</f>
        <v>6671926</v>
      </c>
      <c r="L12" s="72" t="str">
        <f>+'Wednesday WK2 (11)'!A12</f>
        <v xml:space="preserve"> </v>
      </c>
      <c r="M12" s="72" t="str">
        <f>+'Thursday WK2 (12)'!A12</f>
        <v>5639394</v>
      </c>
      <c r="N12" s="72" t="str">
        <f>+'Friday WK2 (13)'!A12</f>
        <v>6017</v>
      </c>
      <c r="O12" s="72" t="str">
        <f>+'Saturday WK2 (14)'!A12</f>
        <v xml:space="preserve"> </v>
      </c>
      <c r="P12" s="72" t="str">
        <f>+'Sunday WK3 (15)'!A12</f>
        <v>6678810</v>
      </c>
      <c r="Q12" s="72" t="str">
        <f>+'Monday WK3 (16)'!A12</f>
        <v>2882618701</v>
      </c>
      <c r="R12" s="72" t="str">
        <f>+'Tuesday WK3 (17)'!A12</f>
        <v>5644808</v>
      </c>
      <c r="S12" s="72" t="str">
        <f>+'Wednesday WK3 (18)'!A12</f>
        <v xml:space="preserve"> </v>
      </c>
      <c r="T12" s="72" t="str">
        <f>+'Thursday WK3 (19)'!A12</f>
        <v>6687835</v>
      </c>
      <c r="U12" s="72" t="str">
        <f>+'Friday WK3 (20)'!A12</f>
        <v xml:space="preserve"> </v>
      </c>
      <c r="V12" s="72" t="str">
        <f>+'Saturday WK3 (21)'!A12</f>
        <v xml:space="preserve"> </v>
      </c>
      <c r="W12" s="72" t="str">
        <f>+'Sunday WK4 (22)'!A12</f>
        <v>3285602</v>
      </c>
      <c r="X12" s="72" t="str">
        <f>+'Monday WK4 (23)'!A12</f>
        <v>53268109003</v>
      </c>
      <c r="Y12" s="72" t="str">
        <f>+'Tuesday WK4 (24)'!A12</f>
        <v>5653216</v>
      </c>
      <c r="Z12" s="72" t="str">
        <f>+'Wednesday WK4 (25)'!A12</f>
        <v>9501794</v>
      </c>
      <c r="AA12" s="72" t="str">
        <f>+'Thursday WK4 (26)'!A12</f>
        <v>3286350</v>
      </c>
      <c r="AB12" s="72" t="str">
        <f>+'Friday WK4 (27)'!A12</f>
        <v>2373</v>
      </c>
      <c r="AC12" s="72" t="str">
        <f>+'Saturday WK4 (28)'!A12</f>
        <v xml:space="preserve"> </v>
      </c>
      <c r="AD12" s="72" t="str">
        <f>+'Sunday WK5 (29)'!A12</f>
        <v xml:space="preserve"> </v>
      </c>
      <c r="AE12" s="72" t="str">
        <f>+'Monday WK5 (30)'!A12</f>
        <v xml:space="preserve"> </v>
      </c>
      <c r="AF12" s="72" t="str">
        <f>+'Tuesday WK5 (31)'!A12</f>
        <v xml:space="preserve"> </v>
      </c>
      <c r="AG12" s="72" t="str">
        <f>+'Wednesday WK5 (32)'!A12</f>
        <v xml:space="preserve"> </v>
      </c>
      <c r="AH12" s="72" t="str">
        <f>+'Thursday WK5 (33)'!A12</f>
        <v xml:space="preserve"> </v>
      </c>
      <c r="AI12" s="72" t="str">
        <f>+'Friday WK5 (34)'!A12</f>
        <v xml:space="preserve"> </v>
      </c>
      <c r="AJ12" s="72" t="str">
        <f>+'Saturday WK5 (35)'!A12</f>
        <v xml:space="preserve"> </v>
      </c>
    </row>
    <row r="13" spans="1:36" x14ac:dyDescent="0.25">
      <c r="A13" t="s">
        <v>962</v>
      </c>
      <c r="B13" s="72" t="str">
        <f>+'Sunday WK1 (1)'!A13</f>
        <v>6647609</v>
      </c>
      <c r="C13" s="72" t="str">
        <f>+'Monday WK1 (2)'!A13</f>
        <v>2306</v>
      </c>
      <c r="D13" s="72" t="str">
        <f>+'Tuesday WK1 (3)'!A13</f>
        <v>6654307</v>
      </c>
      <c r="E13" s="72" t="str">
        <f>+'Wednesday WK1 (4)'!A13</f>
        <v>86528036</v>
      </c>
      <c r="F13" s="72" t="str">
        <f>+'Thursday WK1 (5)'!A13</f>
        <v>5630396</v>
      </c>
      <c r="G13" s="72" t="str">
        <f>+'Friday WK1 (6)'!A13</f>
        <v>82849788</v>
      </c>
      <c r="H13" s="72" t="str">
        <f>+'Saturday WK1 (7)'!A13</f>
        <v xml:space="preserve"> </v>
      </c>
      <c r="I13" s="72" t="str">
        <f>+'Sunday WK2 (8)'!A13</f>
        <v>6660588</v>
      </c>
      <c r="J13" s="72" t="str">
        <f>+'Monday WK2 (9)'!A13</f>
        <v>INV26-04514</v>
      </c>
      <c r="K13" s="72" t="str">
        <f>+'Tuesday WK2 (10)'!A13</f>
        <v>6671927</v>
      </c>
      <c r="L13" s="72" t="str">
        <f>+'Wednesday WK2 (11)'!A13</f>
        <v xml:space="preserve"> </v>
      </c>
      <c r="M13" s="72" t="str">
        <f>+'Thursday WK2 (12)'!A13</f>
        <v>5639528</v>
      </c>
      <c r="N13" s="72" t="str">
        <f>+'Friday WK2 (13)'!A13</f>
        <v xml:space="preserve"> </v>
      </c>
      <c r="O13" s="72" t="str">
        <f>+'Saturday WK2 (14)'!A13</f>
        <v xml:space="preserve"> </v>
      </c>
      <c r="P13" s="72" t="str">
        <f>+'Sunday WK3 (15)'!A13</f>
        <v>6679688</v>
      </c>
      <c r="Q13" s="72" t="str">
        <f>+'Monday WK3 (16)'!A13</f>
        <v>2882618702</v>
      </c>
      <c r="R13" s="72" t="str">
        <f>+'Tuesday WK3 (17)'!A13</f>
        <v>5644827</v>
      </c>
      <c r="S13" s="72" t="str">
        <f>+'Wednesday WK3 (18)'!A13</f>
        <v xml:space="preserve"> </v>
      </c>
      <c r="T13" s="72" t="str">
        <f>+'Thursday WK3 (19)'!A13</f>
        <v>6687836</v>
      </c>
      <c r="U13" s="72" t="str">
        <f>+'Friday WK3 (20)'!A13</f>
        <v xml:space="preserve"> </v>
      </c>
      <c r="V13" s="72" t="str">
        <f>+'Saturday WK3 (21)'!A13</f>
        <v xml:space="preserve"> </v>
      </c>
      <c r="W13" s="72" t="str">
        <f>+'Sunday WK4 (22)'!A13</f>
        <v>3285581</v>
      </c>
      <c r="X13" s="72" t="str">
        <f>+'Monday WK4 (23)'!A13</f>
        <v>INV26-04868</v>
      </c>
      <c r="Y13" s="72" t="str">
        <f>+'Tuesday WK4 (24)'!A13</f>
        <v>5653394</v>
      </c>
      <c r="Z13" s="72" t="str">
        <f>+'Wednesday WK4 (25)'!A13</f>
        <v>9501793</v>
      </c>
      <c r="AA13" s="72" t="str">
        <f>+'Thursday WK4 (26)'!A13</f>
        <v>773686</v>
      </c>
      <c r="AB13" s="72" t="str">
        <f>+'Friday WK4 (27)'!A13</f>
        <v xml:space="preserve"> </v>
      </c>
      <c r="AC13" s="72" t="str">
        <f>+'Saturday WK4 (28)'!A13</f>
        <v xml:space="preserve"> </v>
      </c>
      <c r="AD13" s="72" t="str">
        <f>+'Sunday WK5 (29)'!A13</f>
        <v xml:space="preserve"> </v>
      </c>
      <c r="AE13" s="72" t="str">
        <f>+'Monday WK5 (30)'!A13</f>
        <v xml:space="preserve"> </v>
      </c>
      <c r="AF13" s="72" t="str">
        <f>+'Tuesday WK5 (31)'!A13</f>
        <v xml:space="preserve"> </v>
      </c>
      <c r="AG13" s="72" t="str">
        <f>+'Wednesday WK5 (32)'!A13</f>
        <v xml:space="preserve"> </v>
      </c>
      <c r="AH13" s="72" t="str">
        <f>+'Thursday WK5 (33)'!A13</f>
        <v xml:space="preserve"> </v>
      </c>
      <c r="AI13" s="72" t="str">
        <f>+'Friday WK5 (34)'!A13</f>
        <v xml:space="preserve"> </v>
      </c>
      <c r="AJ13" s="72" t="str">
        <f>+'Saturday WK5 (35)'!A13</f>
        <v xml:space="preserve"> </v>
      </c>
    </row>
    <row r="14" spans="1:36" x14ac:dyDescent="0.25">
      <c r="A14" t="s">
        <v>962</v>
      </c>
      <c r="B14" s="72" t="str">
        <f>+'Sunday WK1 (1)'!A14</f>
        <v>6644304</v>
      </c>
      <c r="C14" s="72" t="str">
        <f>+'Monday WK1 (2)'!A14</f>
        <v>126301</v>
      </c>
      <c r="D14" s="72" t="str">
        <f>+'Tuesday WK1 (3)'!A14</f>
        <v>6655847</v>
      </c>
      <c r="E14" s="72" t="str">
        <f>+'Wednesday WK1 (4)'!A14</f>
        <v>86528546</v>
      </c>
      <c r="F14" s="72" t="str">
        <f>+'Thursday WK1 (5)'!A14</f>
        <v>5631184</v>
      </c>
      <c r="G14" s="72" t="str">
        <f>+'Friday WK1 (6)'!A14</f>
        <v>92793699</v>
      </c>
      <c r="H14" s="72" t="str">
        <f>+'Saturday WK1 (7)'!A14</f>
        <v xml:space="preserve"> </v>
      </c>
      <c r="I14" s="72" t="str">
        <f>+'Sunday WK2 (8)'!A14</f>
        <v>6665623</v>
      </c>
      <c r="J14" s="72" t="str">
        <f>+'Monday WK2 (9)'!A14</f>
        <v xml:space="preserve"> </v>
      </c>
      <c r="K14" s="72" t="str">
        <f>+'Tuesday WK2 (10)'!A14</f>
        <v>6671928</v>
      </c>
      <c r="L14" s="72" t="str">
        <f>+'Wednesday WK2 (11)'!A14</f>
        <v xml:space="preserve"> </v>
      </c>
      <c r="M14" s="72" t="str">
        <f>+'Thursday WK2 (12)'!A14</f>
        <v>5639615</v>
      </c>
      <c r="N14" s="72" t="str">
        <f>+'Friday WK2 (13)'!A14</f>
        <v xml:space="preserve"> </v>
      </c>
      <c r="O14" s="72" t="str">
        <f>+'Saturday WK2 (14)'!A14</f>
        <v xml:space="preserve"> </v>
      </c>
      <c r="P14" s="72" t="str">
        <f>+'Sunday WK3 (15)'!A14</f>
        <v>6682144</v>
      </c>
      <c r="Q14" s="72" t="str">
        <f>+'Monday WK3 (16)'!A14</f>
        <v>INV26-04674</v>
      </c>
      <c r="R14" s="72" t="str">
        <f>+'Tuesday WK3 (17)'!A14</f>
        <v>5645168</v>
      </c>
      <c r="S14" s="72" t="str">
        <f>+'Wednesday WK3 (18)'!A14</f>
        <v xml:space="preserve"> </v>
      </c>
      <c r="T14" s="72" t="str">
        <f>+'Thursday WK3 (19)'!A14</f>
        <v>6688409</v>
      </c>
      <c r="U14" s="72" t="str">
        <f>+'Friday WK3 (20)'!A14</f>
        <v xml:space="preserve"> </v>
      </c>
      <c r="V14" s="72" t="str">
        <f>+'Saturday WK3 (21)'!A14</f>
        <v xml:space="preserve"> </v>
      </c>
      <c r="W14" s="72" t="str">
        <f>+'Sunday WK4 (22)'!A14</f>
        <v>5648748</v>
      </c>
      <c r="X14" s="72" t="str">
        <f>+'Monday WK4 (23)'!A14</f>
        <v>126824</v>
      </c>
      <c r="Y14" s="72" t="str">
        <f>+'Tuesday WK4 (24)'!A14</f>
        <v>5653453</v>
      </c>
      <c r="Z14" s="72" t="str">
        <f>+'Wednesday WK4 (25)'!A14</f>
        <v>9502057</v>
      </c>
      <c r="AA14" s="72" t="str">
        <f>+'Thursday WK4 (26)'!A14</f>
        <v>SO186928</v>
      </c>
      <c r="AB14" s="72" t="str">
        <f>+'Friday WK4 (27)'!A14</f>
        <v xml:space="preserve"> </v>
      </c>
      <c r="AC14" s="72" t="str">
        <f>+'Saturday WK4 (28)'!A14</f>
        <v xml:space="preserve"> </v>
      </c>
      <c r="AD14" s="72" t="str">
        <f>+'Sunday WK5 (29)'!A14</f>
        <v xml:space="preserve"> </v>
      </c>
      <c r="AE14" s="72" t="str">
        <f>+'Monday WK5 (30)'!A14</f>
        <v xml:space="preserve"> </v>
      </c>
      <c r="AF14" s="72" t="str">
        <f>+'Tuesday WK5 (31)'!A14</f>
        <v xml:space="preserve"> </v>
      </c>
      <c r="AG14" s="72" t="str">
        <f>+'Wednesday WK5 (32)'!A14</f>
        <v xml:space="preserve"> </v>
      </c>
      <c r="AH14" s="72" t="str">
        <f>+'Thursday WK5 (33)'!A14</f>
        <v xml:space="preserve"> </v>
      </c>
      <c r="AI14" s="72" t="str">
        <f>+'Friday WK5 (34)'!A14</f>
        <v xml:space="preserve"> </v>
      </c>
      <c r="AJ14" s="72" t="str">
        <f>+'Saturday WK5 (35)'!A14</f>
        <v xml:space="preserve"> </v>
      </c>
    </row>
    <row r="15" spans="1:36" x14ac:dyDescent="0.25">
      <c r="A15" t="s">
        <v>962</v>
      </c>
      <c r="B15" s="72" t="str">
        <f>+'Sunday WK1 (1)'!A15</f>
        <v>6644306</v>
      </c>
      <c r="C15" s="72" t="str">
        <f>+'Monday WK1 (2)'!A15</f>
        <v>2031031154</v>
      </c>
      <c r="D15" s="72" t="str">
        <f>+'Tuesday WK1 (3)'!A15</f>
        <v>6655848</v>
      </c>
      <c r="E15" s="72" t="str">
        <f>+'Wednesday WK1 (4)'!A15</f>
        <v>10003557263</v>
      </c>
      <c r="F15" s="72" t="str">
        <f>+'Thursday WK1 (5)'!A15</f>
        <v>5631309</v>
      </c>
      <c r="G15" s="72" t="str">
        <f>+'Friday WK1 (6)'!A15</f>
        <v>26808937</v>
      </c>
      <c r="H15" s="72" t="str">
        <f>+'Saturday WK1 (7)'!A15</f>
        <v xml:space="preserve"> </v>
      </c>
      <c r="I15" s="72" t="str">
        <f>+'Sunday WK2 (8)'!A15</f>
        <v>6661029</v>
      </c>
      <c r="J15" s="72" t="str">
        <f>+'Monday WK2 (9)'!A15</f>
        <v xml:space="preserve"> </v>
      </c>
      <c r="K15" s="72" t="str">
        <f>+'Tuesday WK2 (10)'!A15</f>
        <v>6669929</v>
      </c>
      <c r="L15" s="72" t="str">
        <f>+'Wednesday WK2 (11)'!A15</f>
        <v xml:space="preserve"> </v>
      </c>
      <c r="M15" s="72" t="str">
        <f>+'Thursday WK2 (12)'!A15</f>
        <v>5639857</v>
      </c>
      <c r="N15" s="72" t="str">
        <f>+'Friday WK2 (13)'!A15</f>
        <v xml:space="preserve"> </v>
      </c>
      <c r="O15" s="72" t="str">
        <f>+'Saturday WK2 (14)'!A15</f>
        <v xml:space="preserve"> </v>
      </c>
      <c r="P15" s="72" t="str">
        <f>+'Sunday WK3 (15)'!A15</f>
        <v>6682145</v>
      </c>
      <c r="Q15" s="72" t="str">
        <f>+'Monday WK3 (16)'!A15</f>
        <v>126639</v>
      </c>
      <c r="R15" s="72" t="str">
        <f>+'Tuesday WK3 (17)'!A15</f>
        <v>5645262</v>
      </c>
      <c r="S15" s="72" t="str">
        <f>+'Wednesday WK3 (18)'!A15</f>
        <v xml:space="preserve"> </v>
      </c>
      <c r="T15" s="72" t="str">
        <f>+'Thursday WK3 (19)'!A15</f>
        <v>6691251</v>
      </c>
      <c r="U15" s="72" t="str">
        <f>+'Friday WK3 (20)'!A15</f>
        <v xml:space="preserve"> </v>
      </c>
      <c r="V15" s="72" t="str">
        <f>+'Saturday WK3 (21)'!A15</f>
        <v xml:space="preserve"> </v>
      </c>
      <c r="W15" s="72" t="str">
        <f>+'Sunday WK4 (22)'!A15</f>
        <v>5651283</v>
      </c>
      <c r="X15" s="72" t="str">
        <f>+'Monday WK4 (23)'!A15</f>
        <v xml:space="preserve"> </v>
      </c>
      <c r="Y15" s="72" t="str">
        <f>+'Tuesday WK4 (24)'!A15</f>
        <v>5653506</v>
      </c>
      <c r="Z15" s="72" t="str">
        <f>+'Wednesday WK4 (25)'!A15</f>
        <v>9502056</v>
      </c>
      <c r="AA15" s="72" t="str">
        <f>+'Thursday WK4 (26)'!A15</f>
        <v>5655533</v>
      </c>
      <c r="AB15" s="72" t="str">
        <f>+'Friday WK4 (27)'!A15</f>
        <v xml:space="preserve"> </v>
      </c>
      <c r="AC15" s="72" t="str">
        <f>+'Saturday WK4 (28)'!A15</f>
        <v xml:space="preserve"> </v>
      </c>
      <c r="AD15" s="72" t="str">
        <f>+'Sunday WK5 (29)'!A15</f>
        <v xml:space="preserve"> </v>
      </c>
      <c r="AE15" s="72" t="str">
        <f>+'Monday WK5 (30)'!A15</f>
        <v xml:space="preserve"> </v>
      </c>
      <c r="AF15" s="72" t="str">
        <f>+'Tuesday WK5 (31)'!A15</f>
        <v xml:space="preserve"> </v>
      </c>
      <c r="AG15" s="72" t="str">
        <f>+'Wednesday WK5 (32)'!A15</f>
        <v xml:space="preserve"> </v>
      </c>
      <c r="AH15" s="72" t="str">
        <f>+'Thursday WK5 (33)'!A15</f>
        <v xml:space="preserve"> </v>
      </c>
      <c r="AI15" s="72" t="str">
        <f>+'Friday WK5 (34)'!A15</f>
        <v xml:space="preserve"> </v>
      </c>
      <c r="AJ15" s="72" t="str">
        <f>+'Saturday WK5 (35)'!A15</f>
        <v xml:space="preserve"> </v>
      </c>
    </row>
    <row r="16" spans="1:36" x14ac:dyDescent="0.25">
      <c r="A16" t="s">
        <v>962</v>
      </c>
      <c r="B16" s="72" t="str">
        <f>+'Sunday WK1 (1)'!A16</f>
        <v>6645036</v>
      </c>
      <c r="C16" s="72" t="str">
        <f>+'Monday WK1 (2)'!A16</f>
        <v>2031031155</v>
      </c>
      <c r="D16" s="72" t="str">
        <f>+'Tuesday WK1 (3)'!A16</f>
        <v>6652880</v>
      </c>
      <c r="E16" s="72" t="str">
        <f>+'Wednesday WK1 (4)'!A16</f>
        <v>CREDIT MEMO</v>
      </c>
      <c r="F16" s="72" t="str">
        <f>+'Thursday WK1 (5)'!A16</f>
        <v>5631563</v>
      </c>
      <c r="G16" s="72" t="str">
        <f>+'Friday WK1 (6)'!A16</f>
        <v>80594</v>
      </c>
      <c r="H16" s="72" t="str">
        <f>+'Saturday WK1 (7)'!A16</f>
        <v xml:space="preserve"> </v>
      </c>
      <c r="I16" s="72" t="str">
        <f>+'Sunday WK2 (8)'!A16</f>
        <v>6662077</v>
      </c>
      <c r="J16" s="72" t="str">
        <f>+'Monday WK2 (9)'!A16</f>
        <v xml:space="preserve"> </v>
      </c>
      <c r="K16" s="72" t="str">
        <f>+'Tuesday WK2 (10)'!A16</f>
        <v>5636178</v>
      </c>
      <c r="L16" s="72" t="str">
        <f>+'Wednesday WK2 (11)'!A16</f>
        <v xml:space="preserve"> </v>
      </c>
      <c r="M16" s="72" t="str">
        <f>+'Thursday WK2 (12)'!A16</f>
        <v>5640349</v>
      </c>
      <c r="N16" s="72" t="str">
        <f>+'Friday WK2 (13)'!A16</f>
        <v xml:space="preserve"> </v>
      </c>
      <c r="O16" s="72" t="str">
        <f>+'Saturday WK2 (14)'!A16</f>
        <v xml:space="preserve"> </v>
      </c>
      <c r="P16" s="72" t="str">
        <f>+'Sunday WK3 (15)'!A16</f>
        <v>6682146</v>
      </c>
      <c r="Q16" s="72" t="str">
        <f>+'Monday WK3 (16)'!A16</f>
        <v>93892064</v>
      </c>
      <c r="R16" s="72" t="str">
        <f>+'Tuesday WK3 (17)'!A16</f>
        <v>5645264</v>
      </c>
      <c r="S16" s="72" t="str">
        <f>+'Wednesday WK3 (18)'!A16</f>
        <v xml:space="preserve"> </v>
      </c>
      <c r="T16" s="72" t="str">
        <f>+'Thursday WK3 (19)'!A16</f>
        <v>6691252</v>
      </c>
      <c r="U16" s="72" t="str">
        <f>+'Friday WK3 (20)'!A16</f>
        <v xml:space="preserve"> </v>
      </c>
      <c r="V16" s="72" t="str">
        <f>+'Saturday WK3 (21)'!A16</f>
        <v xml:space="preserve"> </v>
      </c>
      <c r="W16" s="72" t="str">
        <f>+'Sunday WK4 (22)'!A16</f>
        <v>5651284</v>
      </c>
      <c r="X16" s="72" t="str">
        <f>+'Monday WK4 (23)'!A16</f>
        <v xml:space="preserve"> </v>
      </c>
      <c r="Y16" s="72" t="str">
        <f>+'Tuesday WK4 (24)'!A16</f>
        <v>5653711</v>
      </c>
      <c r="Z16" s="72" t="str">
        <f>+'Wednesday WK4 (25)'!A16</f>
        <v>9501688</v>
      </c>
      <c r="AA16" s="72" t="str">
        <f>+'Thursday WK4 (26)'!A16</f>
        <v>5655652</v>
      </c>
      <c r="AB16" s="72" t="str">
        <f>+'Friday WK4 (27)'!A16</f>
        <v xml:space="preserve"> </v>
      </c>
      <c r="AC16" s="72" t="str">
        <f>+'Saturday WK4 (28)'!A16</f>
        <v>9502861</v>
      </c>
      <c r="AD16" s="72" t="str">
        <f>+'Sunday WK5 (29)'!A16</f>
        <v xml:space="preserve"> </v>
      </c>
      <c r="AE16" s="72" t="str">
        <f>+'Monday WK5 (30)'!A16</f>
        <v xml:space="preserve"> </v>
      </c>
      <c r="AF16" s="72" t="str">
        <f>+'Tuesday WK5 (31)'!A16</f>
        <v xml:space="preserve"> </v>
      </c>
      <c r="AG16" s="72" t="str">
        <f>+'Wednesday WK5 (32)'!A16</f>
        <v xml:space="preserve"> </v>
      </c>
      <c r="AH16" s="72" t="str">
        <f>+'Thursday WK5 (33)'!A16</f>
        <v xml:space="preserve"> </v>
      </c>
      <c r="AI16" s="72" t="str">
        <f>+'Friday WK5 (34)'!A16</f>
        <v xml:space="preserve"> </v>
      </c>
      <c r="AJ16" s="72" t="str">
        <f>+'Saturday WK5 (35)'!A16</f>
        <v xml:space="preserve"> </v>
      </c>
    </row>
    <row r="17" spans="1:36" x14ac:dyDescent="0.25">
      <c r="A17" t="s">
        <v>962</v>
      </c>
      <c r="B17" s="72" t="str">
        <f>+'Sunday WK1 (1)'!A17</f>
        <v>6445919</v>
      </c>
      <c r="C17" s="72" t="str">
        <f>+'Monday WK1 (2)'!A17</f>
        <v>82849759</v>
      </c>
      <c r="D17" s="72" t="str">
        <f>+'Tuesday WK1 (3)'!A17</f>
        <v>6654592</v>
      </c>
      <c r="E17" s="72" t="str">
        <f>+'Wednesday WK1 (4)'!A17</f>
        <v>82849776</v>
      </c>
      <c r="F17" s="72" t="str">
        <f>+'Thursday WK1 (5)'!A17</f>
        <v>5632090</v>
      </c>
      <c r="G17" s="72" t="str">
        <f>+'Friday WK1 (6)'!A17</f>
        <v xml:space="preserve"> </v>
      </c>
      <c r="H17" s="72" t="str">
        <f>+'Saturday WK1 (7)'!A17</f>
        <v xml:space="preserve"> </v>
      </c>
      <c r="I17" s="72" t="str">
        <f>+'Sunday WK2 (8)'!A17</f>
        <v>6663371</v>
      </c>
      <c r="J17" s="72" t="str">
        <f>+'Monday WK2 (9)'!A17</f>
        <v xml:space="preserve"> </v>
      </c>
      <c r="K17" s="72" t="str">
        <f>+'Tuesday WK2 (10)'!A17</f>
        <v>5636320</v>
      </c>
      <c r="L17" s="72" t="str">
        <f>+'Wednesday WK2 (11)'!A17</f>
        <v xml:space="preserve"> </v>
      </c>
      <c r="M17" s="72" t="str">
        <f>+'Thursday WK2 (12)'!A17</f>
        <v>5640350</v>
      </c>
      <c r="N17" s="72" t="str">
        <f>+'Friday WK2 (13)'!A17</f>
        <v xml:space="preserve"> </v>
      </c>
      <c r="O17" s="72" t="str">
        <f>+'Saturday WK2 (14)'!A17</f>
        <v xml:space="preserve"> </v>
      </c>
      <c r="P17" s="72" t="str">
        <f>+'Sunday WK3 (15)'!A17</f>
        <v>6679289</v>
      </c>
      <c r="Q17" s="72" t="str">
        <f>+'Monday WK3 (16)'!A17</f>
        <v xml:space="preserve"> </v>
      </c>
      <c r="R17" s="72" t="str">
        <f>+'Tuesday WK3 (17)'!A17</f>
        <v>5645343</v>
      </c>
      <c r="S17" s="72" t="str">
        <f>+'Wednesday WK3 (18)'!A17</f>
        <v xml:space="preserve"> </v>
      </c>
      <c r="T17" s="72" t="str">
        <f>+'Thursday WK3 (19)'!A17</f>
        <v>6688318</v>
      </c>
      <c r="U17" s="72" t="str">
        <f>+'Friday WK3 (20)'!A17</f>
        <v xml:space="preserve"> </v>
      </c>
      <c r="V17" s="72" t="str">
        <f>+'Saturday WK3 (21)'!A17</f>
        <v xml:space="preserve"> </v>
      </c>
      <c r="W17" s="72" t="str">
        <f>+'Sunday WK4 (22)'!A17</f>
        <v>5651372</v>
      </c>
      <c r="X17" s="72" t="str">
        <f>+'Monday WK4 (23)'!A17</f>
        <v xml:space="preserve"> </v>
      </c>
      <c r="Y17" s="72" t="str">
        <f>+'Tuesday WK4 (24)'!A17</f>
        <v>5652674</v>
      </c>
      <c r="Z17" s="72" t="str">
        <f>+'Wednesday WK4 (25)'!A17</f>
        <v>9598475</v>
      </c>
      <c r="AA17" s="72" t="str">
        <f>+'Thursday WK4 (26)'!A17</f>
        <v>5656206</v>
      </c>
      <c r="AB17" s="72" t="str">
        <f>+'Friday WK4 (27)'!A17</f>
        <v xml:space="preserve"> </v>
      </c>
      <c r="AC17" s="72" t="str">
        <f>+'Saturday WK4 (28)'!A17</f>
        <v>9502860</v>
      </c>
      <c r="AD17" s="72" t="str">
        <f>+'Sunday WK5 (29)'!A17</f>
        <v xml:space="preserve"> </v>
      </c>
      <c r="AE17" s="72" t="str">
        <f>+'Monday WK5 (30)'!A17</f>
        <v xml:space="preserve"> </v>
      </c>
      <c r="AF17" s="72" t="str">
        <f>+'Tuesday WK5 (31)'!A17</f>
        <v xml:space="preserve"> </v>
      </c>
      <c r="AG17" s="72" t="str">
        <f>+'Wednesday WK5 (32)'!A17</f>
        <v xml:space="preserve"> </v>
      </c>
      <c r="AH17" s="72" t="str">
        <f>+'Thursday WK5 (33)'!A17</f>
        <v xml:space="preserve"> </v>
      </c>
      <c r="AI17" s="72" t="str">
        <f>+'Friday WK5 (34)'!A17</f>
        <v xml:space="preserve"> </v>
      </c>
      <c r="AJ17" s="72" t="str">
        <f>+'Saturday WK5 (35)'!A17</f>
        <v xml:space="preserve"> </v>
      </c>
    </row>
    <row r="18" spans="1:36" x14ac:dyDescent="0.25">
      <c r="A18" t="s">
        <v>962</v>
      </c>
      <c r="B18" s="72" t="str">
        <f>+'Sunday WK1 (1)'!A18</f>
        <v>6646756</v>
      </c>
      <c r="C18" s="72" t="str">
        <f>+'Monday WK1 (2)'!A18</f>
        <v>82849760</v>
      </c>
      <c r="D18" s="72" t="str">
        <f>+'Tuesday WK1 (3)'!A18</f>
        <v>5628412</v>
      </c>
      <c r="E18" s="72" t="str">
        <f>+'Wednesday WK1 (4)'!A18</f>
        <v>82849777</v>
      </c>
      <c r="F18" s="72" t="str">
        <f>+'Thursday WK1 (5)'!A18</f>
        <v>5632206</v>
      </c>
      <c r="G18" s="72" t="str">
        <f>+'Friday WK1 (6)'!A18</f>
        <v xml:space="preserve"> </v>
      </c>
      <c r="H18" s="72" t="str">
        <f>+'Saturday WK1 (7)'!A18</f>
        <v xml:space="preserve"> </v>
      </c>
      <c r="I18" s="72" t="str">
        <f>+'Sunday WK2 (8)'!A18</f>
        <v>5632856</v>
      </c>
      <c r="J18" s="72" t="str">
        <f>+'Monday WK2 (9)'!A18</f>
        <v xml:space="preserve"> </v>
      </c>
      <c r="K18" s="72" t="str">
        <f>+'Tuesday WK2 (10)'!A18</f>
        <v>5636542</v>
      </c>
      <c r="L18" s="72" t="str">
        <f>+'Wednesday WK2 (11)'!A18</f>
        <v xml:space="preserve"> </v>
      </c>
      <c r="M18" s="72" t="str">
        <f>+'Thursday WK2 (12)'!A18</f>
        <v>5640351</v>
      </c>
      <c r="N18" s="72" t="str">
        <f>+'Friday WK2 (13)'!A18</f>
        <v xml:space="preserve"> </v>
      </c>
      <c r="O18" s="72" t="str">
        <f>+'Saturday WK2 (14)'!A18</f>
        <v xml:space="preserve"> </v>
      </c>
      <c r="P18" s="72" t="str">
        <f>+'Sunday WK3 (15)'!A18</f>
        <v>6676375</v>
      </c>
      <c r="Q18" s="72" t="str">
        <f>+'Monday WK3 (16)'!A18</f>
        <v xml:space="preserve"> </v>
      </c>
      <c r="R18" s="72" t="str">
        <f>+'Tuesday WK3 (17)'!A18</f>
        <v>5645344</v>
      </c>
      <c r="S18" s="72" t="str">
        <f>+'Wednesday WK3 (18)'!A18</f>
        <v xml:space="preserve"> </v>
      </c>
      <c r="T18" s="72" t="str">
        <f>+'Thursday WK3 (19)'!A18</f>
        <v>5647503</v>
      </c>
      <c r="U18" s="72" t="str">
        <f>+'Friday WK3 (20)'!A18</f>
        <v xml:space="preserve"> </v>
      </c>
      <c r="V18" s="72" t="str">
        <f>+'Saturday WK3 (21)'!A18</f>
        <v xml:space="preserve"> </v>
      </c>
      <c r="W18" s="72" t="str">
        <f>+'Sunday WK4 (22)'!A18</f>
        <v>5651617</v>
      </c>
      <c r="X18" s="72" t="str">
        <f>+'Monday WK4 (23)'!A18</f>
        <v xml:space="preserve"> </v>
      </c>
      <c r="Y18" s="72" t="str">
        <f>+'Tuesday WK4 (24)'!A18</f>
        <v>5654123</v>
      </c>
      <c r="Z18" s="72" t="str">
        <f>+'Wednesday WK4 (25)'!A18</f>
        <v>9599820</v>
      </c>
      <c r="AA18" s="72" t="str">
        <f>+'Thursday WK4 (26)'!A18</f>
        <v>5656304</v>
      </c>
      <c r="AB18" s="72" t="str">
        <f>+'Friday WK4 (27)'!A18</f>
        <v xml:space="preserve"> </v>
      </c>
      <c r="AC18" s="72" t="str">
        <f>+'Saturday WK4 (28)'!A18</f>
        <v>9502855</v>
      </c>
      <c r="AD18" s="72" t="str">
        <f>+'Sunday WK5 (29)'!A18</f>
        <v xml:space="preserve"> </v>
      </c>
      <c r="AE18" s="72" t="str">
        <f>+'Monday WK5 (30)'!A18</f>
        <v xml:space="preserve"> </v>
      </c>
      <c r="AF18" s="72" t="str">
        <f>+'Tuesday WK5 (31)'!A18</f>
        <v xml:space="preserve"> </v>
      </c>
      <c r="AG18" s="72" t="str">
        <f>+'Wednesday WK5 (32)'!A18</f>
        <v xml:space="preserve"> </v>
      </c>
      <c r="AH18" s="72" t="str">
        <f>+'Thursday WK5 (33)'!A18</f>
        <v xml:space="preserve"> </v>
      </c>
      <c r="AI18" s="72" t="str">
        <f>+'Friday WK5 (34)'!A18</f>
        <v xml:space="preserve"> </v>
      </c>
      <c r="AJ18" s="72" t="str">
        <f>+'Saturday WK5 (35)'!A18</f>
        <v xml:space="preserve"> </v>
      </c>
    </row>
    <row r="19" spans="1:36" x14ac:dyDescent="0.25">
      <c r="A19" t="s">
        <v>962</v>
      </c>
      <c r="B19" s="72" t="str">
        <f>+'Sunday WK1 (1)'!A19</f>
        <v>6646757</v>
      </c>
      <c r="C19" s="72" t="str">
        <f>+'Monday WK1 (2)'!A19</f>
        <v>226650717304</v>
      </c>
      <c r="D19" s="72" t="str">
        <f>+'Tuesday WK1 (3)'!A19</f>
        <v>5629476</v>
      </c>
      <c r="E19" s="72" t="str">
        <f>+'Wednesday WK1 (4)'!A19</f>
        <v>371789</v>
      </c>
      <c r="F19" s="72" t="str">
        <f>+'Thursday WK1 (5)'!A19</f>
        <v>5632207</v>
      </c>
      <c r="G19" s="72" t="str">
        <f>+'Friday WK1 (6)'!A19</f>
        <v xml:space="preserve"> </v>
      </c>
      <c r="H19" s="72" t="str">
        <f>+'Saturday WK1 (7)'!A19</f>
        <v xml:space="preserve"> </v>
      </c>
      <c r="I19" s="72" t="str">
        <f>+'Sunday WK2 (8)'!A19</f>
        <v>5632861</v>
      </c>
      <c r="J19" s="72" t="str">
        <f>+'Monday WK2 (9)'!A19</f>
        <v xml:space="preserve"> </v>
      </c>
      <c r="K19" s="72" t="str">
        <f>+'Tuesday WK2 (10)'!A19</f>
        <v>5637370</v>
      </c>
      <c r="L19" s="72" t="str">
        <f>+'Wednesday WK2 (11)'!A19</f>
        <v xml:space="preserve"> </v>
      </c>
      <c r="M19" s="72" t="str">
        <f>+'Thursday WK2 (12)'!A19</f>
        <v>8245664</v>
      </c>
      <c r="N19" s="72" t="str">
        <f>+'Friday WK2 (13)'!A19</f>
        <v xml:space="preserve"> </v>
      </c>
      <c r="O19" s="72" t="str">
        <f>+'Saturday WK2 (14)'!A19</f>
        <v xml:space="preserve"> </v>
      </c>
      <c r="P19" s="72" t="str">
        <f>+'Sunday WK3 (15)'!A19</f>
        <v>6678809</v>
      </c>
      <c r="Q19" s="72" t="str">
        <f>+'Monday WK3 (16)'!A19</f>
        <v xml:space="preserve"> </v>
      </c>
      <c r="R19" s="72" t="str">
        <f>+'Tuesday WK3 (17)'!A19</f>
        <v>8248372</v>
      </c>
      <c r="S19" s="72" t="str">
        <f>+'Wednesday WK3 (18)'!A19</f>
        <v xml:space="preserve"> </v>
      </c>
      <c r="T19" s="72" t="str">
        <f>+'Thursday WK3 (19)'!A19</f>
        <v>5647791</v>
      </c>
      <c r="U19" s="72" t="str">
        <f>+'Friday WK3 (20)'!A19</f>
        <v xml:space="preserve"> </v>
      </c>
      <c r="V19" s="72" t="str">
        <f>+'Saturday WK3 (21)'!A19</f>
        <v xml:space="preserve"> </v>
      </c>
      <c r="W19" s="72" t="str">
        <f>+'Sunday WK4 (22)'!A19</f>
        <v>5651803</v>
      </c>
      <c r="X19" s="72" t="str">
        <f>+'Monday WK4 (23)'!A19</f>
        <v xml:space="preserve"> </v>
      </c>
      <c r="Y19" s="72" t="str">
        <f>+'Tuesday WK4 (24)'!A19</f>
        <v>5654308</v>
      </c>
      <c r="Z19" s="72" t="str">
        <f>+'Wednesday WK4 (25)'!A19</f>
        <v>9595551</v>
      </c>
      <c r="AA19" s="72" t="str">
        <f>+'Thursday WK4 (26)'!A19</f>
        <v>5656366</v>
      </c>
      <c r="AB19" s="72" t="str">
        <f>+'Friday WK4 (27)'!A19</f>
        <v xml:space="preserve"> </v>
      </c>
      <c r="AC19" s="72" t="str">
        <f>+'Saturday WK4 (28)'!A19</f>
        <v>9502859</v>
      </c>
      <c r="AD19" s="72" t="str">
        <f>+'Sunday WK5 (29)'!A19</f>
        <v xml:space="preserve"> </v>
      </c>
      <c r="AE19" s="72" t="str">
        <f>+'Monday WK5 (30)'!A19</f>
        <v xml:space="preserve"> </v>
      </c>
      <c r="AF19" s="72" t="str">
        <f>+'Tuesday WK5 (31)'!A19</f>
        <v xml:space="preserve"> </v>
      </c>
      <c r="AG19" s="72" t="str">
        <f>+'Wednesday WK5 (32)'!A19</f>
        <v xml:space="preserve"> </v>
      </c>
      <c r="AH19" s="72" t="str">
        <f>+'Thursday WK5 (33)'!A19</f>
        <v xml:space="preserve"> </v>
      </c>
      <c r="AI19" s="72" t="str">
        <f>+'Friday WK5 (34)'!A19</f>
        <v xml:space="preserve"> </v>
      </c>
      <c r="AJ19" s="72" t="str">
        <f>+'Saturday WK5 (35)'!A19</f>
        <v xml:space="preserve"> </v>
      </c>
    </row>
    <row r="20" spans="1:36" x14ac:dyDescent="0.25">
      <c r="A20" t="s">
        <v>962</v>
      </c>
      <c r="B20" s="72" t="str">
        <f>+'Sunday WK1 (1)'!A20</f>
        <v>6647235</v>
      </c>
      <c r="C20" s="72" t="str">
        <f>+'Monday WK1 (2)'!A20</f>
        <v>226650717305</v>
      </c>
      <c r="D20" s="72" t="str">
        <f>+'Tuesday WK1 (3)'!A20</f>
        <v>5629477</v>
      </c>
      <c r="E20" s="72" t="str">
        <f>+'Wednesday WK1 (4)'!A20</f>
        <v xml:space="preserve"> </v>
      </c>
      <c r="F20" s="72" t="str">
        <f>+'Thursday WK1 (5)'!A20</f>
        <v>8241401</v>
      </c>
      <c r="G20" s="72" t="str">
        <f>+'Friday WK1 (6)'!A20</f>
        <v xml:space="preserve"> </v>
      </c>
      <c r="H20" s="72" t="str">
        <f>+'Saturday WK1 (7)'!A20</f>
        <v xml:space="preserve"> </v>
      </c>
      <c r="I20" s="72" t="str">
        <f>+'Sunday WK2 (8)'!A20</f>
        <v>5633291</v>
      </c>
      <c r="J20" s="72" t="str">
        <f>+'Monday WK2 (9)'!A20</f>
        <v xml:space="preserve"> </v>
      </c>
      <c r="K20" s="72" t="str">
        <f>+'Tuesday WK2 (10)'!A20</f>
        <v>5637433</v>
      </c>
      <c r="L20" s="72" t="str">
        <f>+'Wednesday WK2 (11)'!A20</f>
        <v xml:space="preserve"> </v>
      </c>
      <c r="M20" s="72" t="str">
        <f>+'Thursday WK2 (12)'!A20</f>
        <v>5637937</v>
      </c>
      <c r="N20" s="72" t="str">
        <f>+'Friday WK2 (13)'!A20</f>
        <v xml:space="preserve"> </v>
      </c>
      <c r="O20" s="72" t="str">
        <f>+'Saturday WK2 (14)'!A20</f>
        <v xml:space="preserve"> </v>
      </c>
      <c r="P20" s="72" t="str">
        <f>+'Sunday WK3 (15)'!A20</f>
        <v>6680695</v>
      </c>
      <c r="Q20" s="72" t="str">
        <f>+'Monday WK3 (16)'!A20</f>
        <v xml:space="preserve"> </v>
      </c>
      <c r="R20" s="72" t="str">
        <f>+'Tuesday WK3 (17)'!A20</f>
        <v>5645167</v>
      </c>
      <c r="S20" s="72" t="str">
        <f>+'Wednesday WK3 (18)'!A20</f>
        <v xml:space="preserve"> </v>
      </c>
      <c r="T20" s="72" t="str">
        <f>+'Thursday WK3 (19)'!A20</f>
        <v>5647952</v>
      </c>
      <c r="U20" s="72" t="str">
        <f>+'Friday WK3 (20)'!A20</f>
        <v xml:space="preserve"> </v>
      </c>
      <c r="V20" s="72" t="str">
        <f>+'Saturday WK3 (21)'!A20</f>
        <v xml:space="preserve"> </v>
      </c>
      <c r="W20" s="72" t="str">
        <f>+'Sunday WK4 (22)'!A20</f>
        <v>5651811</v>
      </c>
      <c r="X20" s="72" t="str">
        <f>+'Monday WK4 (23)'!A20</f>
        <v xml:space="preserve"> </v>
      </c>
      <c r="Y20" s="72" t="str">
        <f>+'Tuesday WK4 (24)'!A20</f>
        <v>6699576</v>
      </c>
      <c r="Z20" s="72" t="str">
        <f>+'Wednesday WK4 (25)'!A20</f>
        <v>9597120</v>
      </c>
      <c r="AA20" s="72" t="str">
        <f>+'Thursday WK4 (26)'!A20</f>
        <v>5656371</v>
      </c>
      <c r="AB20" s="72" t="str">
        <f>+'Friday WK4 (27)'!A20</f>
        <v xml:space="preserve"> </v>
      </c>
      <c r="AC20" s="72" t="str">
        <f>+'Saturday WK4 (28)'!A20</f>
        <v>77684243</v>
      </c>
      <c r="AD20" s="72" t="str">
        <f>+'Sunday WK5 (29)'!A20</f>
        <v xml:space="preserve"> </v>
      </c>
      <c r="AE20" s="72" t="str">
        <f>+'Monday WK5 (30)'!A20</f>
        <v xml:space="preserve"> </v>
      </c>
      <c r="AF20" s="72" t="str">
        <f>+'Tuesday WK5 (31)'!A20</f>
        <v xml:space="preserve"> </v>
      </c>
      <c r="AG20" s="72" t="str">
        <f>+'Wednesday WK5 (32)'!A20</f>
        <v xml:space="preserve"> </v>
      </c>
      <c r="AH20" s="72" t="str">
        <f>+'Thursday WK5 (33)'!A20</f>
        <v xml:space="preserve"> </v>
      </c>
      <c r="AI20" s="72" t="str">
        <f>+'Friday WK5 (34)'!A20</f>
        <v xml:space="preserve"> </v>
      </c>
      <c r="AJ20" s="72" t="str">
        <f>+'Saturday WK5 (35)'!A20</f>
        <v xml:space="preserve"> </v>
      </c>
    </row>
    <row r="21" spans="1:36" x14ac:dyDescent="0.25">
      <c r="A21" t="s">
        <v>962</v>
      </c>
      <c r="B21" s="72" t="str">
        <f>+'Sunday WK1 (1)'!A21</f>
        <v>6650196</v>
      </c>
      <c r="C21" s="72" t="str">
        <f>+'Monday WK1 (2)'!A21</f>
        <v>00020604</v>
      </c>
      <c r="D21" s="72" t="str">
        <f>+'Tuesday WK1 (3)'!A21</f>
        <v>5629583</v>
      </c>
      <c r="E21" s="72" t="str">
        <f>+'Wednesday WK1 (4)'!A21</f>
        <v xml:space="preserve"> </v>
      </c>
      <c r="F21" s="72" t="str">
        <f>+'Thursday WK1 (5)'!A21</f>
        <v>8241504</v>
      </c>
      <c r="G21" s="72" t="str">
        <f>+'Friday WK1 (6)'!A21</f>
        <v xml:space="preserve"> </v>
      </c>
      <c r="H21" s="72" t="str">
        <f>+'Saturday WK1 (7)'!A21</f>
        <v xml:space="preserve"> </v>
      </c>
      <c r="I21" s="72" t="str">
        <f>+'Sunday WK2 (8)'!A21</f>
        <v>5634754</v>
      </c>
      <c r="J21" s="72" t="str">
        <f>+'Monday WK2 (9)'!A21</f>
        <v xml:space="preserve"> </v>
      </c>
      <c r="K21" s="72" t="str">
        <f>+'Tuesday WK2 (10)'!A21</f>
        <v>5637511</v>
      </c>
      <c r="L21" s="72" t="str">
        <f>+'Wednesday WK2 (11)'!A21</f>
        <v xml:space="preserve"> </v>
      </c>
      <c r="M21" s="72" t="str">
        <f>+'Thursday WK2 (12)'!A21</f>
        <v>5638269</v>
      </c>
      <c r="N21" s="72" t="str">
        <f>+'Friday WK2 (13)'!A21</f>
        <v xml:space="preserve"> </v>
      </c>
      <c r="O21" s="72" t="str">
        <f>+'Saturday WK2 (14)'!A21</f>
        <v xml:space="preserve"> </v>
      </c>
      <c r="P21" s="72" t="str">
        <f>+'Sunday WK3 (15)'!A21</f>
        <v>6676376</v>
      </c>
      <c r="Q21" s="72" t="str">
        <f>+'Monday WK3 (16)'!A21</f>
        <v xml:space="preserve"> </v>
      </c>
      <c r="R21" s="72" t="str">
        <f>+'Tuesday WK3 (17)'!A21</f>
        <v>5645955</v>
      </c>
      <c r="S21" s="72" t="str">
        <f>+'Wednesday WK3 (18)'!A21</f>
        <v xml:space="preserve"> </v>
      </c>
      <c r="T21" s="72" t="str">
        <f>+'Thursday WK3 (19)'!A21</f>
        <v>5648240</v>
      </c>
      <c r="U21" s="72" t="str">
        <f>+'Friday WK3 (20)'!A21</f>
        <v xml:space="preserve"> </v>
      </c>
      <c r="V21" s="72" t="str">
        <f>+'Saturday WK3 (21)'!A21</f>
        <v xml:space="preserve"> </v>
      </c>
      <c r="W21" s="72" t="str">
        <f>+'Sunday WK4 (22)'!A21</f>
        <v>5652137</v>
      </c>
      <c r="X21" s="72" t="str">
        <f>+'Monday WK4 (23)'!A21</f>
        <v xml:space="preserve"> </v>
      </c>
      <c r="Y21" s="72" t="str">
        <f>+'Tuesday WK4 (24)'!A21</f>
        <v>6701953</v>
      </c>
      <c r="Z21" s="72" t="str">
        <f>+'Wednesday WK4 (25)'!A21</f>
        <v>6037</v>
      </c>
      <c r="AA21" s="72" t="str">
        <f>+'Thursday WK4 (26)'!A21</f>
        <v>5656372</v>
      </c>
      <c r="AB21" s="72" t="str">
        <f>+'Friday WK4 (27)'!A21</f>
        <v xml:space="preserve"> </v>
      </c>
      <c r="AC21" s="72" t="str">
        <f>+'Saturday WK4 (28)'!A21</f>
        <v>9590246</v>
      </c>
      <c r="AD21" s="72" t="str">
        <f>+'Sunday WK5 (29)'!A21</f>
        <v xml:space="preserve"> </v>
      </c>
      <c r="AE21" s="72" t="str">
        <f>+'Monday WK5 (30)'!A21</f>
        <v xml:space="preserve"> </v>
      </c>
      <c r="AF21" s="72" t="str">
        <f>+'Tuesday WK5 (31)'!A21</f>
        <v xml:space="preserve"> </v>
      </c>
      <c r="AG21" s="72" t="str">
        <f>+'Wednesday WK5 (32)'!A21</f>
        <v xml:space="preserve"> </v>
      </c>
      <c r="AH21" s="72" t="str">
        <f>+'Thursday WK5 (33)'!A21</f>
        <v xml:space="preserve"> </v>
      </c>
      <c r="AI21" s="72" t="str">
        <f>+'Friday WK5 (34)'!A21</f>
        <v xml:space="preserve"> </v>
      </c>
      <c r="AJ21" s="72" t="str">
        <f>+'Saturday WK5 (35)'!A21</f>
        <v xml:space="preserve"> </v>
      </c>
    </row>
    <row r="22" spans="1:36" x14ac:dyDescent="0.25">
      <c r="A22" t="s">
        <v>962</v>
      </c>
      <c r="B22" s="72" t="str">
        <f>+'Sunday WK1 (1)'!A22</f>
        <v>6650197</v>
      </c>
      <c r="C22" s="72" t="str">
        <f>+'Monday WK1 (2)'!A22</f>
        <v>91205735</v>
      </c>
      <c r="D22" s="72" t="str">
        <f>+'Tuesday WK1 (3)'!A22</f>
        <v>8240446</v>
      </c>
      <c r="E22" s="72" t="str">
        <f>+'Wednesday WK1 (4)'!A22</f>
        <v xml:space="preserve"> </v>
      </c>
      <c r="F22" s="72" t="str">
        <f>+'Thursday WK1 (5)'!A22</f>
        <v>5630017</v>
      </c>
      <c r="G22" s="72" t="str">
        <f>+'Friday WK1 (6)'!A22</f>
        <v xml:space="preserve"> </v>
      </c>
      <c r="H22" s="72" t="str">
        <f>+'Saturday WK1 (7)'!A22</f>
        <v xml:space="preserve"> </v>
      </c>
      <c r="I22" s="72" t="str">
        <f>+'Sunday WK2 (8)'!A22</f>
        <v>5635177</v>
      </c>
      <c r="J22" s="72" t="str">
        <f>+'Monday WK2 (9)'!A22</f>
        <v xml:space="preserve"> </v>
      </c>
      <c r="K22" s="72" t="str">
        <f>+'Tuesday WK2 (10)'!A22</f>
        <v>5637544</v>
      </c>
      <c r="L22" s="72" t="str">
        <f>+'Wednesday WK2 (11)'!A22</f>
        <v xml:space="preserve"> </v>
      </c>
      <c r="M22" s="72" t="str">
        <f>+'Thursday WK2 (12)'!A22</f>
        <v>5638270</v>
      </c>
      <c r="N22" s="72" t="str">
        <f>+'Friday WK2 (13)'!A22</f>
        <v xml:space="preserve"> </v>
      </c>
      <c r="O22" s="72" t="str">
        <f>+'Saturday WK2 (14)'!A22</f>
        <v xml:space="preserve"> </v>
      </c>
      <c r="P22" s="72" t="str">
        <f>+'Sunday WK3 (15)'!A22</f>
        <v>6680696</v>
      </c>
      <c r="Q22" s="72" t="str">
        <f>+'Monday WK3 (16)'!A22</f>
        <v xml:space="preserve"> </v>
      </c>
      <c r="R22" s="72" t="str">
        <f>+'Tuesday WK3 (17)'!A22</f>
        <v>5646230</v>
      </c>
      <c r="S22" s="72" t="str">
        <f>+'Wednesday WK3 (18)'!A22</f>
        <v xml:space="preserve"> </v>
      </c>
      <c r="T22" s="72" t="str">
        <f>+'Thursday WK3 (19)'!A22</f>
        <v>5648356</v>
      </c>
      <c r="U22" s="72" t="str">
        <f>+'Friday WK3 (20)'!A22</f>
        <v xml:space="preserve"> </v>
      </c>
      <c r="V22" s="72" t="str">
        <f>+'Saturday WK3 (21)'!A22</f>
        <v xml:space="preserve"> </v>
      </c>
      <c r="W22" s="72" t="str">
        <f>+'Sunday WK4 (22)'!A22</f>
        <v>5652139</v>
      </c>
      <c r="X22" s="72" t="str">
        <f>+'Monday WK4 (23)'!A22</f>
        <v xml:space="preserve"> </v>
      </c>
      <c r="Y22" s="72" t="str">
        <f>+'Tuesday WK4 (24)'!A22</f>
        <v>6701954</v>
      </c>
      <c r="Z22" s="72" t="str">
        <f>+'Wednesday WK4 (25)'!A22</f>
        <v xml:space="preserve"> </v>
      </c>
      <c r="AA22" s="72" t="str">
        <f>+'Thursday WK4 (26)'!A22</f>
        <v>8254324</v>
      </c>
      <c r="AB22" s="72" t="str">
        <f>+'Friday WK4 (27)'!A22</f>
        <v xml:space="preserve"> </v>
      </c>
      <c r="AC22" s="72" t="str">
        <f>+'Saturday WK4 (28)'!A22</f>
        <v>9594577</v>
      </c>
      <c r="AD22" s="72" t="str">
        <f>+'Sunday WK5 (29)'!A22</f>
        <v xml:space="preserve"> </v>
      </c>
      <c r="AE22" s="72" t="str">
        <f>+'Monday WK5 (30)'!A22</f>
        <v xml:space="preserve"> </v>
      </c>
      <c r="AF22" s="72" t="str">
        <f>+'Tuesday WK5 (31)'!A22</f>
        <v xml:space="preserve"> </v>
      </c>
      <c r="AG22" s="72" t="str">
        <f>+'Wednesday WK5 (32)'!A22</f>
        <v xml:space="preserve"> </v>
      </c>
      <c r="AH22" s="72" t="str">
        <f>+'Thursday WK5 (33)'!A22</f>
        <v xml:space="preserve"> </v>
      </c>
      <c r="AI22" s="72" t="str">
        <f>+'Friday WK5 (34)'!A22</f>
        <v xml:space="preserve"> </v>
      </c>
      <c r="AJ22" s="72" t="str">
        <f>+'Saturday WK5 (35)'!A22</f>
        <v xml:space="preserve"> </v>
      </c>
    </row>
    <row r="23" spans="1:36" x14ac:dyDescent="0.25">
      <c r="A23" t="s">
        <v>962</v>
      </c>
      <c r="B23" s="72" t="str">
        <f>+'Sunday WK1 (1)'!A23</f>
        <v>5624761</v>
      </c>
      <c r="C23" s="72" t="str">
        <f>+'Monday WK1 (2)'!A23</f>
        <v>9501286</v>
      </c>
      <c r="D23" s="72" t="str">
        <f>+'Tuesday WK1 (3)'!A23</f>
        <v>8240459</v>
      </c>
      <c r="E23" s="72" t="str">
        <f>+'Wednesday WK1 (4)'!A23</f>
        <v xml:space="preserve"> </v>
      </c>
      <c r="F23" s="72" t="str">
        <f>+'Thursday WK1 (5)'!A23</f>
        <v>5631316</v>
      </c>
      <c r="G23" s="72" t="str">
        <f>+'Friday WK1 (6)'!A23</f>
        <v xml:space="preserve"> </v>
      </c>
      <c r="H23" s="72" t="str">
        <f>+'Saturday WK1 (7)'!A23</f>
        <v xml:space="preserve"> </v>
      </c>
      <c r="I23" s="72" t="str">
        <f>+'Sunday WK2 (8)'!A23</f>
        <v>5635270</v>
      </c>
      <c r="J23" s="72" t="str">
        <f>+'Monday WK2 (9)'!A23</f>
        <v xml:space="preserve"> </v>
      </c>
      <c r="K23" s="72" t="str">
        <f>+'Tuesday WK2 (10)'!A23</f>
        <v>5636992</v>
      </c>
      <c r="L23" s="72" t="str">
        <f>+'Wednesday WK2 (11)'!A23</f>
        <v xml:space="preserve"> </v>
      </c>
      <c r="M23" s="72" t="str">
        <f>+'Thursday WK2 (12)'!A23</f>
        <v>5639276</v>
      </c>
      <c r="N23" s="72" t="str">
        <f>+'Friday WK2 (13)'!A23</f>
        <v xml:space="preserve"> </v>
      </c>
      <c r="O23" s="72" t="str">
        <f>+'Saturday WK2 (14)'!A23</f>
        <v xml:space="preserve"> </v>
      </c>
      <c r="P23" s="72" t="str">
        <f>+'Sunday WK3 (15)'!A23</f>
        <v>5640621</v>
      </c>
      <c r="Q23" s="72" t="str">
        <f>+'Monday WK3 (16)'!A23</f>
        <v xml:space="preserve"> </v>
      </c>
      <c r="R23" s="72" t="str">
        <f>+'Tuesday WK3 (17)'!A23</f>
        <v>6669955</v>
      </c>
      <c r="S23" s="72" t="str">
        <f>+'Wednesday WK3 (18)'!A23</f>
        <v xml:space="preserve"> </v>
      </c>
      <c r="T23" s="72" t="str">
        <f>+'Thursday WK3 (19)'!A23</f>
        <v>8248666</v>
      </c>
      <c r="U23" s="72" t="str">
        <f>+'Friday WK3 (20)'!A23</f>
        <v xml:space="preserve"> </v>
      </c>
      <c r="V23" s="72" t="str">
        <f>+'Saturday WK3 (21)'!A23</f>
        <v xml:space="preserve"> </v>
      </c>
      <c r="W23" s="72" t="str">
        <f>+'Sunday WK4 (22)'!A23</f>
        <v>5652141</v>
      </c>
      <c r="X23" s="72" t="str">
        <f>+'Monday WK4 (23)'!A23</f>
        <v xml:space="preserve"> </v>
      </c>
      <c r="Y23" s="72" t="str">
        <f>+'Tuesday WK4 (24)'!A23</f>
        <v>6701955</v>
      </c>
      <c r="Z23" s="72" t="str">
        <f>+'Wednesday WK4 (25)'!A23</f>
        <v xml:space="preserve"> </v>
      </c>
      <c r="AA23" s="72" t="str">
        <f>+'Thursday WK4 (26)'!A23</f>
        <v>8254482</v>
      </c>
      <c r="AB23" s="72" t="str">
        <f>+'Friday WK4 (27)'!A23</f>
        <v xml:space="preserve"> </v>
      </c>
      <c r="AC23" s="72" t="str">
        <f>+'Saturday WK4 (28)'!A23</f>
        <v>9502118</v>
      </c>
      <c r="AD23" s="72" t="str">
        <f>+'Sunday WK5 (29)'!A23</f>
        <v xml:space="preserve"> </v>
      </c>
      <c r="AE23" s="72" t="str">
        <f>+'Monday WK5 (30)'!A23</f>
        <v xml:space="preserve"> </v>
      </c>
      <c r="AF23" s="72" t="str">
        <f>+'Tuesday WK5 (31)'!A23</f>
        <v xml:space="preserve"> </v>
      </c>
      <c r="AG23" s="72" t="str">
        <f>+'Wednesday WK5 (32)'!A23</f>
        <v xml:space="preserve"> </v>
      </c>
      <c r="AH23" s="72" t="str">
        <f>+'Thursday WK5 (33)'!A23</f>
        <v xml:space="preserve"> </v>
      </c>
      <c r="AI23" s="72" t="str">
        <f>+'Friday WK5 (34)'!A23</f>
        <v xml:space="preserve"> </v>
      </c>
      <c r="AJ23" s="72" t="str">
        <f>+'Saturday WK5 (35)'!A23</f>
        <v xml:space="preserve"> </v>
      </c>
    </row>
    <row r="24" spans="1:36" x14ac:dyDescent="0.25">
      <c r="A24" t="s">
        <v>962</v>
      </c>
      <c r="B24" s="72" t="str">
        <f>+'Sunday WK1 (1)'!A24</f>
        <v>5625509</v>
      </c>
      <c r="C24" s="72" t="str">
        <f>+'Monday WK1 (2)'!A24</f>
        <v xml:space="preserve"> </v>
      </c>
      <c r="D24" s="72" t="str">
        <f>+'Tuesday WK1 (3)'!A24</f>
        <v>5629081</v>
      </c>
      <c r="E24" s="72" t="str">
        <f>+'Wednesday WK1 (4)'!A24</f>
        <v xml:space="preserve"> </v>
      </c>
      <c r="F24" s="72" t="str">
        <f>+'Thursday WK1 (5)'!A24</f>
        <v>5631317</v>
      </c>
      <c r="G24" s="72" t="str">
        <f>+'Friday WK1 (6)'!A24</f>
        <v xml:space="preserve"> </v>
      </c>
      <c r="H24" s="72" t="str">
        <f>+'Saturday WK1 (7)'!A24</f>
        <v xml:space="preserve"> </v>
      </c>
      <c r="I24" s="72" t="str">
        <f>+'Sunday WK2 (8)'!A24</f>
        <v>5635433</v>
      </c>
      <c r="J24" s="72" t="str">
        <f>+'Monday WK2 (9)'!A24</f>
        <v xml:space="preserve"> </v>
      </c>
      <c r="K24" s="72" t="str">
        <f>+'Tuesday WK2 (10)'!A24</f>
        <v>5636155</v>
      </c>
      <c r="L24" s="72" t="str">
        <f>+'Wednesday WK2 (11)'!A24</f>
        <v xml:space="preserve"> </v>
      </c>
      <c r="M24" s="72" t="str">
        <f>+'Thursday WK2 (12)'!A24</f>
        <v>5639614</v>
      </c>
      <c r="N24" s="72" t="str">
        <f>+'Friday WK2 (13)'!A24</f>
        <v xml:space="preserve"> </v>
      </c>
      <c r="O24" s="72" t="str">
        <f>+'Saturday WK2 (14)'!A24</f>
        <v xml:space="preserve"> </v>
      </c>
      <c r="P24" s="72" t="str">
        <f>+'Sunday WK3 (15)'!A24</f>
        <v>5640936</v>
      </c>
      <c r="Q24" s="72" t="str">
        <f>+'Monday WK3 (16)'!A24</f>
        <v xml:space="preserve"> </v>
      </c>
      <c r="R24" s="72" t="str">
        <f>+'Tuesday WK3 (17)'!A24</f>
        <v>6670981</v>
      </c>
      <c r="S24" s="72" t="str">
        <f>+'Wednesday WK3 (18)'!A24</f>
        <v xml:space="preserve"> </v>
      </c>
      <c r="T24" s="72" t="str">
        <f>+'Thursday WK3 (19)'!A24</f>
        <v>8249585</v>
      </c>
      <c r="U24" s="72" t="str">
        <f>+'Friday WK3 (20)'!A24</f>
        <v xml:space="preserve"> </v>
      </c>
      <c r="V24" s="72" t="str">
        <f>+'Saturday WK3 (21)'!A24</f>
        <v xml:space="preserve"> </v>
      </c>
      <c r="W24" s="72" t="str">
        <f>+'Sunday WK4 (22)'!A24</f>
        <v>5652142</v>
      </c>
      <c r="X24" s="72" t="str">
        <f>+'Monday WK4 (23)'!A24</f>
        <v xml:space="preserve"> </v>
      </c>
      <c r="Y24" s="72" t="str">
        <f>+'Tuesday WK4 (24)'!A24</f>
        <v>6703548</v>
      </c>
      <c r="Z24" s="72" t="str">
        <f>+'Wednesday WK4 (25)'!A24</f>
        <v xml:space="preserve"> </v>
      </c>
      <c r="AA24" s="72" t="str">
        <f>+'Thursday WK4 (26)'!A24</f>
        <v>5655672</v>
      </c>
      <c r="AB24" s="72" t="str">
        <f>+'Friday WK4 (27)'!A24</f>
        <v xml:space="preserve"> </v>
      </c>
      <c r="AC24" s="72" t="str">
        <f>+'Saturday WK4 (28)'!A24</f>
        <v>9502149</v>
      </c>
      <c r="AD24" s="72" t="str">
        <f>+'Sunday WK5 (29)'!A24</f>
        <v xml:space="preserve"> </v>
      </c>
      <c r="AE24" s="72" t="str">
        <f>+'Monday WK5 (30)'!A24</f>
        <v xml:space="preserve"> </v>
      </c>
      <c r="AF24" s="72" t="str">
        <f>+'Tuesday WK5 (31)'!A24</f>
        <v xml:space="preserve"> </v>
      </c>
      <c r="AG24" s="72" t="str">
        <f>+'Wednesday WK5 (32)'!A24</f>
        <v xml:space="preserve"> </v>
      </c>
      <c r="AH24" s="72" t="str">
        <f>+'Thursday WK5 (33)'!A24</f>
        <v xml:space="preserve"> </v>
      </c>
      <c r="AI24" s="72" t="str">
        <f>+'Friday WK5 (34)'!A24</f>
        <v xml:space="preserve"> </v>
      </c>
      <c r="AJ24" s="72" t="str">
        <f>+'Saturday WK5 (35)'!A24</f>
        <v xml:space="preserve"> </v>
      </c>
    </row>
    <row r="25" spans="1:36" x14ac:dyDescent="0.25">
      <c r="A25" t="s">
        <v>962</v>
      </c>
      <c r="B25" s="72" t="str">
        <f>+'Sunday WK1 (1)'!A25</f>
        <v>5626052</v>
      </c>
      <c r="C25" s="72" t="str">
        <f>+'Monday WK1 (2)'!A25</f>
        <v xml:space="preserve"> </v>
      </c>
      <c r="D25" s="72" t="str">
        <f>+'Tuesday WK1 (3)'!A25</f>
        <v>5628411</v>
      </c>
      <c r="E25" s="72" t="str">
        <f>+'Wednesday WK1 (4)'!A25</f>
        <v xml:space="preserve"> </v>
      </c>
      <c r="F25" s="72" t="str">
        <f>+'Thursday WK1 (5)'!A25</f>
        <v>8241502</v>
      </c>
      <c r="G25" s="72" t="str">
        <f>+'Friday WK1 (6)'!A25</f>
        <v xml:space="preserve"> </v>
      </c>
      <c r="H25" s="72" t="str">
        <f>+'Saturday WK1 (7)'!A25</f>
        <v xml:space="preserve"> </v>
      </c>
      <c r="I25" s="72" t="str">
        <f>+'Sunday WK2 (8)'!A25</f>
        <v>5635914</v>
      </c>
      <c r="J25" s="72" t="str">
        <f>+'Monday WK2 (9)'!A25</f>
        <v xml:space="preserve"> </v>
      </c>
      <c r="K25" s="72" t="str">
        <f>+'Tuesday WK2 (10)'!A25</f>
        <v>5636457</v>
      </c>
      <c r="L25" s="72" t="str">
        <f>+'Wednesday WK2 (11)'!A25</f>
        <v xml:space="preserve"> </v>
      </c>
      <c r="M25" s="72" t="str">
        <f>+'Thursday WK2 (12)'!A25</f>
        <v>5639856</v>
      </c>
      <c r="N25" s="72" t="str">
        <f>+'Friday WK2 (13)'!A25</f>
        <v xml:space="preserve"> </v>
      </c>
      <c r="O25" s="72" t="str">
        <f>+'Saturday WK2 (14)'!A25</f>
        <v xml:space="preserve"> </v>
      </c>
      <c r="P25" s="72" t="str">
        <f>+'Sunday WK3 (15)'!A25</f>
        <v>5643102</v>
      </c>
      <c r="Q25" s="72" t="str">
        <f>+'Monday WK3 (16)'!A25</f>
        <v xml:space="preserve"> </v>
      </c>
      <c r="R25" s="72" t="str">
        <f>+'Tuesday WK3 (17)'!A25</f>
        <v>6676411</v>
      </c>
      <c r="S25" s="72" t="str">
        <f>+'Wednesday WK3 (18)'!A25</f>
        <v xml:space="preserve"> </v>
      </c>
      <c r="T25" s="72" t="str">
        <f>+'Thursday WK3 (19)'!A25</f>
        <v>8250038</v>
      </c>
      <c r="U25" s="72" t="str">
        <f>+'Friday WK3 (20)'!A25</f>
        <v xml:space="preserve"> </v>
      </c>
      <c r="V25" s="72" t="str">
        <f>+'Saturday WK3 (21)'!A25</f>
        <v xml:space="preserve"> </v>
      </c>
      <c r="W25" s="72" t="str">
        <f>+'Sunday WK4 (22)'!A25</f>
        <v>8251323</v>
      </c>
      <c r="X25" s="72" t="str">
        <f>+'Monday WK4 (23)'!A25</f>
        <v xml:space="preserve"> </v>
      </c>
      <c r="Y25" s="72" t="str">
        <f>+'Tuesday WK4 (24)'!A25</f>
        <v>119525</v>
      </c>
      <c r="Z25" s="72" t="str">
        <f>+'Wednesday WK4 (25)'!A25</f>
        <v xml:space="preserve"> </v>
      </c>
      <c r="AA25" s="72" t="str">
        <f>+'Thursday WK4 (26)'!A25</f>
        <v>5654413</v>
      </c>
      <c r="AB25" s="72" t="str">
        <f>+'Friday WK4 (27)'!A25</f>
        <v xml:space="preserve"> </v>
      </c>
      <c r="AC25" s="72" t="str">
        <f>+'Saturday WK4 (28)'!A25</f>
        <v>9502151</v>
      </c>
      <c r="AD25" s="72" t="str">
        <f>+'Sunday WK5 (29)'!A25</f>
        <v xml:space="preserve"> </v>
      </c>
      <c r="AE25" s="72" t="str">
        <f>+'Monday WK5 (30)'!A25</f>
        <v xml:space="preserve"> </v>
      </c>
      <c r="AF25" s="72" t="str">
        <f>+'Tuesday WK5 (31)'!A25</f>
        <v xml:space="preserve"> </v>
      </c>
      <c r="AG25" s="72" t="str">
        <f>+'Wednesday WK5 (32)'!A25</f>
        <v xml:space="preserve"> </v>
      </c>
      <c r="AH25" s="72" t="str">
        <f>+'Thursday WK5 (33)'!A25</f>
        <v xml:space="preserve"> </v>
      </c>
      <c r="AI25" s="72" t="str">
        <f>+'Friday WK5 (34)'!A25</f>
        <v xml:space="preserve"> </v>
      </c>
      <c r="AJ25" s="72" t="str">
        <f>+'Saturday WK5 (35)'!A25</f>
        <v xml:space="preserve"> </v>
      </c>
    </row>
    <row r="26" spans="1:36" x14ac:dyDescent="0.25">
      <c r="A26" t="s">
        <v>962</v>
      </c>
      <c r="B26" s="72" t="str">
        <f>+'Sunday WK1 (1)'!A26</f>
        <v>5626479</v>
      </c>
      <c r="C26" s="72" t="str">
        <f>+'Monday WK1 (2)'!A26</f>
        <v xml:space="preserve"> </v>
      </c>
      <c r="D26" s="72" t="str">
        <f>+'Tuesday WK1 (3)'!A26</f>
        <v>5628458</v>
      </c>
      <c r="E26" s="72" t="str">
        <f>+'Wednesday WK1 (4)'!A26</f>
        <v xml:space="preserve"> </v>
      </c>
      <c r="F26" s="72" t="str">
        <f>+'Thursday WK1 (5)'!A26</f>
        <v>5629864</v>
      </c>
      <c r="G26" s="72" t="str">
        <f>+'Friday WK1 (6)'!A26</f>
        <v xml:space="preserve"> </v>
      </c>
      <c r="H26" s="72" t="str">
        <f>+'Saturday WK1 (7)'!A26</f>
        <v xml:space="preserve"> </v>
      </c>
      <c r="I26" s="72" t="str">
        <f>+'Sunday WK2 (8)'!A26</f>
        <v>5635916</v>
      </c>
      <c r="J26" s="72" t="str">
        <f>+'Monday WK2 (9)'!A26</f>
        <v xml:space="preserve"> </v>
      </c>
      <c r="K26" s="72" t="str">
        <f>+'Tuesday WK2 (10)'!A26</f>
        <v>5637011</v>
      </c>
      <c r="L26" s="72" t="str">
        <f>+'Wednesday WK2 (11)'!A26</f>
        <v xml:space="preserve"> </v>
      </c>
      <c r="M26" s="72" t="str">
        <f>+'Thursday WK2 (12)'!A26</f>
        <v>5640151</v>
      </c>
      <c r="N26" s="72" t="str">
        <f>+'Friday WK2 (13)'!A26</f>
        <v xml:space="preserve"> </v>
      </c>
      <c r="O26" s="72" t="str">
        <f>+'Saturday WK2 (14)'!A26</f>
        <v xml:space="preserve"> </v>
      </c>
      <c r="P26" s="72" t="str">
        <f>+'Sunday WK3 (15)'!A26</f>
        <v>5643103</v>
      </c>
      <c r="Q26" s="72" t="str">
        <f>+'Monday WK3 (16)'!A26</f>
        <v xml:space="preserve"> </v>
      </c>
      <c r="R26" s="72" t="str">
        <f>+'Tuesday WK3 (17)'!A26</f>
        <v>4003757420</v>
      </c>
      <c r="S26" s="72" t="str">
        <f>+'Wednesday WK3 (18)'!A26</f>
        <v xml:space="preserve"> </v>
      </c>
      <c r="T26" s="72" t="str">
        <f>+'Thursday WK3 (19)'!A26</f>
        <v>8250087</v>
      </c>
      <c r="U26" s="72" t="str">
        <f>+'Friday WK3 (20)'!A26</f>
        <v xml:space="preserve"> </v>
      </c>
      <c r="V26" s="72" t="str">
        <f>+'Saturday WK3 (21)'!A26</f>
        <v xml:space="preserve"> </v>
      </c>
      <c r="W26" s="72" t="str">
        <f>+'Sunday WK4 (22)'!A26</f>
        <v>8251759</v>
      </c>
      <c r="X26" s="72" t="str">
        <f>+'Monday WK4 (23)'!A26</f>
        <v xml:space="preserve"> </v>
      </c>
      <c r="Y26" s="72" t="str">
        <f>+'Tuesday WK4 (24)'!A26</f>
        <v>7726195003</v>
      </c>
      <c r="Z26" s="72" t="str">
        <f>+'Wednesday WK4 (25)'!A26</f>
        <v xml:space="preserve"> </v>
      </c>
      <c r="AA26" s="72" t="str">
        <f>+'Thursday WK4 (26)'!A26</f>
        <v>5654637</v>
      </c>
      <c r="AB26" s="72" t="str">
        <f>+'Friday WK4 (27)'!A26</f>
        <v xml:space="preserve"> </v>
      </c>
      <c r="AC26" s="72" t="str">
        <f>+'Saturday WK4 (28)'!A26</f>
        <v xml:space="preserve"> </v>
      </c>
      <c r="AD26" s="72" t="str">
        <f>+'Sunday WK5 (29)'!A26</f>
        <v xml:space="preserve"> </v>
      </c>
      <c r="AE26" s="72" t="str">
        <f>+'Monday WK5 (30)'!A26</f>
        <v xml:space="preserve"> </v>
      </c>
      <c r="AF26" s="72" t="str">
        <f>+'Tuesday WK5 (31)'!A26</f>
        <v xml:space="preserve"> </v>
      </c>
      <c r="AG26" s="72" t="str">
        <f>+'Wednesday WK5 (32)'!A26</f>
        <v xml:space="preserve"> </v>
      </c>
      <c r="AH26" s="72" t="str">
        <f>+'Thursday WK5 (33)'!A26</f>
        <v xml:space="preserve"> </v>
      </c>
      <c r="AI26" s="72" t="str">
        <f>+'Friday WK5 (34)'!A26</f>
        <v xml:space="preserve"> </v>
      </c>
      <c r="AJ26" s="72" t="str">
        <f>+'Saturday WK5 (35)'!A26</f>
        <v xml:space="preserve"> </v>
      </c>
    </row>
    <row r="27" spans="1:36" x14ac:dyDescent="0.25">
      <c r="A27" t="s">
        <v>962</v>
      </c>
      <c r="B27" s="72" t="str">
        <f>+'Sunday WK1 (1)'!A27</f>
        <v>5626709</v>
      </c>
      <c r="C27" s="72" t="str">
        <f>+'Monday WK1 (2)'!A27</f>
        <v xml:space="preserve"> </v>
      </c>
      <c r="D27" s="72" t="str">
        <f>+'Tuesday WK1 (3)'!A27</f>
        <v>5628794</v>
      </c>
      <c r="E27" s="72" t="str">
        <f>+'Wednesday WK1 (4)'!A27</f>
        <v xml:space="preserve"> </v>
      </c>
      <c r="F27" s="72" t="str">
        <f>+'Thursday WK1 (5)'!A27</f>
        <v>5630018</v>
      </c>
      <c r="G27" s="72" t="str">
        <f>+'Friday WK1 (6)'!A27</f>
        <v xml:space="preserve"> </v>
      </c>
      <c r="H27" s="72" t="str">
        <f>+'Saturday WK1 (7)'!A27</f>
        <v xml:space="preserve"> </v>
      </c>
      <c r="I27" s="72" t="str">
        <f>+'Sunday WK2 (8)'!A27</f>
        <v>5636042</v>
      </c>
      <c r="J27" s="72" t="str">
        <f>+'Monday WK2 (9)'!A27</f>
        <v xml:space="preserve"> </v>
      </c>
      <c r="K27" s="72" t="str">
        <f>+'Tuesday WK2 (10)'!A27</f>
        <v>5637171</v>
      </c>
      <c r="L27" s="72" t="str">
        <f>+'Wednesday WK2 (11)'!A27</f>
        <v xml:space="preserve"> </v>
      </c>
      <c r="M27" s="72" t="str">
        <f>+'Thursday WK2 (12)'!A27</f>
        <v>5639221</v>
      </c>
      <c r="N27" s="72" t="str">
        <f>+'Friday WK2 (13)'!A27</f>
        <v xml:space="preserve"> </v>
      </c>
      <c r="O27" s="72" t="str">
        <f>+'Saturday WK2 (14)'!A27</f>
        <v xml:space="preserve"> </v>
      </c>
      <c r="P27" s="72" t="str">
        <f>+'Sunday WK3 (15)'!A27</f>
        <v>5643508</v>
      </c>
      <c r="Q27" s="72" t="str">
        <f>+'Monday WK3 (16)'!A27</f>
        <v xml:space="preserve"> </v>
      </c>
      <c r="R27" s="72" t="str">
        <f>+'Tuesday WK3 (17)'!A27</f>
        <v>118900</v>
      </c>
      <c r="S27" s="72" t="str">
        <f>+'Wednesday WK3 (18)'!A27</f>
        <v xml:space="preserve"> </v>
      </c>
      <c r="T27" s="72" t="str">
        <f>+'Thursday WK3 (19)'!A27</f>
        <v>5646370</v>
      </c>
      <c r="U27" s="72" t="str">
        <f>+'Friday WK3 (20)'!A27</f>
        <v xml:space="preserve"> </v>
      </c>
      <c r="V27" s="72" t="str">
        <f>+'Saturday WK3 (21)'!A27</f>
        <v xml:space="preserve"> </v>
      </c>
      <c r="W27" s="72" t="str">
        <f>+'Sunday WK4 (22)'!A27</f>
        <v>8251887</v>
      </c>
      <c r="X27" s="72" t="str">
        <f>+'Monday WK4 (23)'!A27</f>
        <v xml:space="preserve"> </v>
      </c>
      <c r="Y27" s="72" t="str">
        <f>+'Tuesday WK4 (24)'!A27</f>
        <v>7726195004</v>
      </c>
      <c r="Z27" s="72" t="str">
        <f>+'Wednesday WK4 (25)'!A27</f>
        <v xml:space="preserve"> </v>
      </c>
      <c r="AA27" s="72" t="str">
        <f>+'Thursday WK4 (26)'!A27</f>
        <v>5654638</v>
      </c>
      <c r="AB27" s="72" t="str">
        <f>+'Friday WK4 (27)'!A27</f>
        <v xml:space="preserve"> </v>
      </c>
      <c r="AC27" s="72" t="str">
        <f>+'Saturday WK4 (28)'!A27</f>
        <v xml:space="preserve"> </v>
      </c>
      <c r="AD27" s="72" t="str">
        <f>+'Sunday WK5 (29)'!A27</f>
        <v xml:space="preserve"> </v>
      </c>
      <c r="AE27" s="72" t="str">
        <f>+'Monday WK5 (30)'!A27</f>
        <v xml:space="preserve"> </v>
      </c>
      <c r="AF27" s="72" t="str">
        <f>+'Tuesday WK5 (31)'!A27</f>
        <v xml:space="preserve"> </v>
      </c>
      <c r="AG27" s="72" t="str">
        <f>+'Wednesday WK5 (32)'!A27</f>
        <v xml:space="preserve"> </v>
      </c>
      <c r="AH27" s="72" t="str">
        <f>+'Thursday WK5 (33)'!A27</f>
        <v xml:space="preserve"> </v>
      </c>
      <c r="AI27" s="72" t="str">
        <f>+'Friday WK5 (34)'!A27</f>
        <v xml:space="preserve"> </v>
      </c>
      <c r="AJ27" s="72" t="str">
        <f>+'Saturday WK5 (35)'!A27</f>
        <v xml:space="preserve"> </v>
      </c>
    </row>
    <row r="28" spans="1:36" x14ac:dyDescent="0.25">
      <c r="A28" t="s">
        <v>962</v>
      </c>
      <c r="B28" s="72" t="str">
        <f>+'Sunday WK1 (1)'!A28</f>
        <v>5627364</v>
      </c>
      <c r="C28" s="72" t="str">
        <f>+'Monday WK1 (2)'!A28</f>
        <v xml:space="preserve"> </v>
      </c>
      <c r="D28" s="72" t="str">
        <f>+'Tuesday WK1 (3)'!A28</f>
        <v>5629380</v>
      </c>
      <c r="E28" s="72" t="str">
        <f>+'Wednesday WK1 (4)'!A28</f>
        <v xml:space="preserve"> </v>
      </c>
      <c r="F28" s="72" t="str">
        <f>+'Thursday WK1 (5)'!A28</f>
        <v>5630406</v>
      </c>
      <c r="G28" s="72" t="str">
        <f>+'Friday WK1 (6)'!A28</f>
        <v xml:space="preserve"> </v>
      </c>
      <c r="H28" s="72" t="str">
        <f>+'Saturday WK1 (7)'!A28</f>
        <v xml:space="preserve"> </v>
      </c>
      <c r="I28" s="72" t="str">
        <f>+'Sunday WK2 (8)'!A28</f>
        <v>5636044</v>
      </c>
      <c r="J28" s="72" t="str">
        <f>+'Monday WK2 (9)'!A28</f>
        <v xml:space="preserve"> </v>
      </c>
      <c r="K28" s="72" t="str">
        <f>+'Tuesday WK2 (10)'!A28</f>
        <v>5637215</v>
      </c>
      <c r="L28" s="72" t="str">
        <f>+'Wednesday WK2 (11)'!A28</f>
        <v xml:space="preserve"> </v>
      </c>
      <c r="M28" s="72" t="str">
        <f>+'Thursday WK2 (12)'!A28</f>
        <v>5639264</v>
      </c>
      <c r="N28" s="72" t="str">
        <f>+'Friday WK2 (13)'!A28</f>
        <v xml:space="preserve"> </v>
      </c>
      <c r="O28" s="72" t="str">
        <f>+'Saturday WK2 (14)'!A28</f>
        <v xml:space="preserve"> </v>
      </c>
      <c r="P28" s="72" t="str">
        <f>+'Sunday WK3 (15)'!A28</f>
        <v>5643590</v>
      </c>
      <c r="Q28" s="72" t="str">
        <f>+'Monday WK3 (16)'!A28</f>
        <v xml:space="preserve"> </v>
      </c>
      <c r="R28" s="72" t="str">
        <f>+'Tuesday WK3 (17)'!A28</f>
        <v>94183777</v>
      </c>
      <c r="S28" s="72" t="str">
        <f>+'Wednesday WK3 (18)'!A28</f>
        <v xml:space="preserve"> </v>
      </c>
      <c r="T28" s="72" t="str">
        <f>+'Thursday WK3 (19)'!A28</f>
        <v>5647261</v>
      </c>
      <c r="U28" s="72" t="str">
        <f>+'Friday WK3 (20)'!A28</f>
        <v xml:space="preserve"> </v>
      </c>
      <c r="V28" s="72" t="str">
        <f>+'Saturday WK3 (21)'!A28</f>
        <v xml:space="preserve"> </v>
      </c>
      <c r="W28" s="72" t="str">
        <f>+'Sunday WK4 (22)'!A28</f>
        <v>8251908</v>
      </c>
      <c r="X28" s="72" t="str">
        <f>+'Monday WK4 (23)'!A28</f>
        <v xml:space="preserve"> </v>
      </c>
      <c r="Y28" s="72" t="str">
        <f>+'Tuesday WK4 (24)'!A28</f>
        <v>7726195005</v>
      </c>
      <c r="Z28" s="72" t="str">
        <f>+'Wednesday WK4 (25)'!A28</f>
        <v xml:space="preserve"> </v>
      </c>
      <c r="AA28" s="72" t="str">
        <f>+'Thursday WK4 (26)'!A28</f>
        <v>5655536</v>
      </c>
      <c r="AB28" s="72" t="str">
        <f>+'Friday WK4 (27)'!A28</f>
        <v xml:space="preserve"> </v>
      </c>
      <c r="AC28" s="72" t="str">
        <f>+'Saturday WK4 (28)'!A28</f>
        <v xml:space="preserve"> </v>
      </c>
      <c r="AD28" s="72" t="str">
        <f>+'Sunday WK5 (29)'!A28</f>
        <v xml:space="preserve"> </v>
      </c>
      <c r="AE28" s="72" t="str">
        <f>+'Monday WK5 (30)'!A28</f>
        <v xml:space="preserve"> </v>
      </c>
      <c r="AF28" s="72" t="str">
        <f>+'Tuesday WK5 (31)'!A28</f>
        <v xml:space="preserve"> </v>
      </c>
      <c r="AG28" s="72" t="str">
        <f>+'Wednesday WK5 (32)'!A28</f>
        <v xml:space="preserve"> </v>
      </c>
      <c r="AH28" s="72" t="str">
        <f>+'Thursday WK5 (33)'!A28</f>
        <v xml:space="preserve"> </v>
      </c>
      <c r="AI28" s="72" t="str">
        <f>+'Friday WK5 (34)'!A28</f>
        <v xml:space="preserve"> </v>
      </c>
      <c r="AJ28" s="72" t="str">
        <f>+'Saturday WK5 (35)'!A28</f>
        <v xml:space="preserve"> </v>
      </c>
    </row>
    <row r="29" spans="1:36" x14ac:dyDescent="0.25">
      <c r="A29" t="s">
        <v>962</v>
      </c>
      <c r="B29" s="72" t="str">
        <f>+'Sunday WK1 (1)'!A29</f>
        <v>5627676</v>
      </c>
      <c r="C29" s="72" t="str">
        <f>+'Monday WK1 (2)'!A29</f>
        <v xml:space="preserve"> </v>
      </c>
      <c r="D29" s="72" t="str">
        <f>+'Tuesday WK1 (3)'!A29</f>
        <v>5629381</v>
      </c>
      <c r="E29" s="72" t="str">
        <f>+'Wednesday WK1 (4)'!A29</f>
        <v xml:space="preserve"> </v>
      </c>
      <c r="F29" s="72" t="str">
        <f>+'Thursday WK1 (5)'!A29</f>
        <v>5630539</v>
      </c>
      <c r="G29" s="72" t="str">
        <f>+'Friday WK1 (6)'!A29</f>
        <v xml:space="preserve"> </v>
      </c>
      <c r="H29" s="72" t="str">
        <f>+'Saturday WK1 (7)'!A29</f>
        <v xml:space="preserve"> </v>
      </c>
      <c r="I29" s="72" t="str">
        <f>+'Sunday WK2 (8)'!A29</f>
        <v>5636045</v>
      </c>
      <c r="J29" s="72" t="str">
        <f>+'Monday WK2 (9)'!A29</f>
        <v xml:space="preserve"> </v>
      </c>
      <c r="K29" s="72" t="str">
        <f>+'Tuesday WK2 (10)'!A29</f>
        <v>5637216</v>
      </c>
      <c r="L29" s="72" t="str">
        <f>+'Wednesday WK2 (11)'!A29</f>
        <v xml:space="preserve"> </v>
      </c>
      <c r="M29" s="72" t="str">
        <f>+'Thursday WK2 (12)'!A29</f>
        <v>5640622</v>
      </c>
      <c r="N29" s="72" t="str">
        <f>+'Friday WK2 (13)'!A29</f>
        <v xml:space="preserve"> </v>
      </c>
      <c r="O29" s="72" t="str">
        <f>+'Saturday WK2 (14)'!A29</f>
        <v xml:space="preserve"> </v>
      </c>
      <c r="P29" s="72" t="str">
        <f>+'Sunday WK3 (15)'!A29</f>
        <v>5643740</v>
      </c>
      <c r="Q29" s="72" t="str">
        <f>+'Monday WK3 (16)'!A29</f>
        <v xml:space="preserve"> </v>
      </c>
      <c r="R29" s="72" t="str">
        <f>+'Tuesday WK3 (17)'!A29</f>
        <v>77684160</v>
      </c>
      <c r="S29" s="72" t="str">
        <f>+'Wednesday WK3 (18)'!A29</f>
        <v xml:space="preserve"> </v>
      </c>
      <c r="T29" s="72" t="str">
        <f>+'Thursday WK3 (19)'!A29</f>
        <v>5645759</v>
      </c>
      <c r="U29" s="72" t="str">
        <f>+'Friday WK3 (20)'!A29</f>
        <v xml:space="preserve"> </v>
      </c>
      <c r="V29" s="72" t="str">
        <f>+'Saturday WK3 (21)'!A29</f>
        <v xml:space="preserve"> </v>
      </c>
      <c r="W29" s="72" t="str">
        <f>+'Sunday WK4 (22)'!A29</f>
        <v>6697433</v>
      </c>
      <c r="X29" s="72" t="str">
        <f>+'Monday WK4 (23)'!A29</f>
        <v xml:space="preserve"> </v>
      </c>
      <c r="Y29" s="72" t="str">
        <f>+'Tuesday WK4 (24)'!A29</f>
        <v>7726195006</v>
      </c>
      <c r="Z29" s="72" t="str">
        <f>+'Wednesday WK4 (25)'!A29</f>
        <v xml:space="preserve"> </v>
      </c>
      <c r="AA29" s="72" t="str">
        <f>+'Thursday WK4 (26)'!A29</f>
        <v>5655673</v>
      </c>
      <c r="AB29" s="72" t="str">
        <f>+'Friday WK4 (27)'!A29</f>
        <v xml:space="preserve"> </v>
      </c>
      <c r="AC29" s="72" t="str">
        <f>+'Saturday WK4 (28)'!A29</f>
        <v xml:space="preserve"> </v>
      </c>
      <c r="AD29" s="72" t="str">
        <f>+'Sunday WK5 (29)'!A29</f>
        <v xml:space="preserve"> </v>
      </c>
      <c r="AE29" s="72" t="str">
        <f>+'Monday WK5 (30)'!A29</f>
        <v xml:space="preserve"> </v>
      </c>
      <c r="AF29" s="72" t="str">
        <f>+'Tuesday WK5 (31)'!A29</f>
        <v xml:space="preserve"> </v>
      </c>
      <c r="AG29" s="72" t="str">
        <f>+'Wednesday WK5 (32)'!A29</f>
        <v xml:space="preserve"> </v>
      </c>
      <c r="AH29" s="72" t="str">
        <f>+'Thursday WK5 (33)'!A29</f>
        <v xml:space="preserve"> </v>
      </c>
      <c r="AI29" s="72" t="str">
        <f>+'Friday WK5 (34)'!A29</f>
        <v xml:space="preserve"> </v>
      </c>
      <c r="AJ29" s="72" t="str">
        <f>+'Saturday WK5 (35)'!A29</f>
        <v xml:space="preserve"> </v>
      </c>
    </row>
    <row r="30" spans="1:36" x14ac:dyDescent="0.25">
      <c r="A30" t="s">
        <v>962</v>
      </c>
      <c r="B30" s="72" t="str">
        <f>+'Sunday WK1 (1)'!A30</f>
        <v>5628111</v>
      </c>
      <c r="C30" s="72" t="str">
        <f>+'Monday WK1 (2)'!A30</f>
        <v xml:space="preserve"> </v>
      </c>
      <c r="D30" s="72" t="str">
        <f>+'Tuesday WK1 (3)'!A30</f>
        <v>5629424</v>
      </c>
      <c r="E30" s="72" t="str">
        <f>+'Wednesday WK1 (4)'!A30</f>
        <v xml:space="preserve"> </v>
      </c>
      <c r="F30" s="72" t="str">
        <f>+'Thursday WK1 (5)'!A30</f>
        <v>5630540</v>
      </c>
      <c r="G30" s="72" t="str">
        <f>+'Friday WK1 (6)'!A30</f>
        <v xml:space="preserve"> </v>
      </c>
      <c r="H30" s="72" t="str">
        <f>+'Saturday WK1 (7)'!A30</f>
        <v xml:space="preserve"> </v>
      </c>
      <c r="I30" s="72" t="str">
        <f>+'Sunday WK2 (8)'!A30</f>
        <v>8242570</v>
      </c>
      <c r="J30" s="72" t="str">
        <f>+'Monday WK2 (9)'!A30</f>
        <v xml:space="preserve"> </v>
      </c>
      <c r="K30" s="72" t="str">
        <f>+'Tuesday WK2 (10)'!A30</f>
        <v>5637995</v>
      </c>
      <c r="L30" s="72" t="str">
        <f>+'Wednesday WK2 (11)'!A30</f>
        <v xml:space="preserve"> </v>
      </c>
      <c r="M30" s="72" t="str">
        <f>+'Thursday WK2 (12)'!A30</f>
        <v>5640769</v>
      </c>
      <c r="N30" s="72" t="str">
        <f>+'Friday WK2 (13)'!A30</f>
        <v xml:space="preserve"> </v>
      </c>
      <c r="O30" s="72" t="str">
        <f>+'Saturday WK2 (14)'!A30</f>
        <v xml:space="preserve"> </v>
      </c>
      <c r="P30" s="72" t="str">
        <f>+'Sunday WK3 (15)'!A30</f>
        <v>8247090</v>
      </c>
      <c r="Q30" s="72" t="str">
        <f>+'Monday WK3 (16)'!A30</f>
        <v xml:space="preserve"> </v>
      </c>
      <c r="R30" s="72" t="str">
        <f>+'Tuesday WK3 (17)'!A30</f>
        <v>7726188001</v>
      </c>
      <c r="S30" s="72" t="str">
        <f>+'Wednesday WK3 (18)'!A30</f>
        <v xml:space="preserve"> </v>
      </c>
      <c r="T30" s="72" t="str">
        <f>+'Thursday WK3 (19)'!A30</f>
        <v>5646250</v>
      </c>
      <c r="U30" s="72" t="str">
        <f>+'Friday WK3 (20)'!A30</f>
        <v xml:space="preserve"> </v>
      </c>
      <c r="V30" s="72" t="str">
        <f>+'Saturday WK3 (21)'!A30</f>
        <v xml:space="preserve"> </v>
      </c>
      <c r="W30" s="72" t="str">
        <f>+'Sunday WK4 (22)'!A30</f>
        <v>5650082</v>
      </c>
      <c r="X30" s="72" t="str">
        <f>+'Monday WK4 (23)'!A30</f>
        <v xml:space="preserve"> </v>
      </c>
      <c r="Y30" s="72" t="str">
        <f>+'Tuesday WK4 (24)'!A30</f>
        <v>96287176</v>
      </c>
      <c r="Z30" s="72" t="str">
        <f>+'Wednesday WK4 (25)'!A30</f>
        <v xml:space="preserve"> </v>
      </c>
      <c r="AA30" s="72" t="str">
        <f>+'Thursday WK4 (26)'!A30</f>
        <v>5656607</v>
      </c>
      <c r="AB30" s="72" t="str">
        <f>+'Friday WK4 (27)'!A30</f>
        <v xml:space="preserve"> </v>
      </c>
      <c r="AC30" s="72" t="str">
        <f>+'Saturday WK4 (28)'!A30</f>
        <v xml:space="preserve"> </v>
      </c>
      <c r="AD30" s="72" t="str">
        <f>+'Sunday WK5 (29)'!A30</f>
        <v xml:space="preserve"> </v>
      </c>
      <c r="AE30" s="72" t="str">
        <f>+'Monday WK5 (30)'!A30</f>
        <v xml:space="preserve"> </v>
      </c>
      <c r="AF30" s="72" t="str">
        <f>+'Tuesday WK5 (31)'!A30</f>
        <v xml:space="preserve"> </v>
      </c>
      <c r="AG30" s="72" t="str">
        <f>+'Wednesday WK5 (32)'!A30</f>
        <v xml:space="preserve"> </v>
      </c>
      <c r="AH30" s="72" t="str">
        <f>+'Thursday WK5 (33)'!A30</f>
        <v xml:space="preserve"> </v>
      </c>
      <c r="AI30" s="72" t="str">
        <f>+'Friday WK5 (34)'!A30</f>
        <v xml:space="preserve"> </v>
      </c>
      <c r="AJ30" s="72" t="str">
        <f>+'Saturday WK5 (35)'!A30</f>
        <v xml:space="preserve"> </v>
      </c>
    </row>
    <row r="31" spans="1:36" x14ac:dyDescent="0.25">
      <c r="A31" t="s">
        <v>962</v>
      </c>
      <c r="B31" s="72" t="str">
        <f>+'Sunday WK1 (1)'!A31</f>
        <v>8239352</v>
      </c>
      <c r="C31" s="72" t="str">
        <f>+'Monday WK1 (2)'!A31</f>
        <v xml:space="preserve"> </v>
      </c>
      <c r="D31" s="72" t="str">
        <f>+'Tuesday WK1 (3)'!A31</f>
        <v>5629562</v>
      </c>
      <c r="E31" s="72" t="str">
        <f>+'Wednesday WK1 (4)'!A31</f>
        <v xml:space="preserve"> </v>
      </c>
      <c r="F31" s="72" t="str">
        <f>+'Thursday WK1 (5)'!A31</f>
        <v>5630541</v>
      </c>
      <c r="G31" s="72" t="str">
        <f>+'Friday WK1 (6)'!A31</f>
        <v xml:space="preserve"> </v>
      </c>
      <c r="H31" s="72" t="str">
        <f>+'Saturday WK1 (7)'!A31</f>
        <v xml:space="preserve"> </v>
      </c>
      <c r="I31" s="72" t="str">
        <f>+'Sunday WK2 (8)'!A31</f>
        <v>8242976</v>
      </c>
      <c r="J31" s="72" t="str">
        <f>+'Monday WK2 (9)'!A31</f>
        <v xml:space="preserve"> </v>
      </c>
      <c r="K31" s="72" t="str">
        <f>+'Tuesday WK2 (10)'!A31</f>
        <v>5638018</v>
      </c>
      <c r="L31" s="72" t="str">
        <f>+'Wednesday WK2 (11)'!A31</f>
        <v xml:space="preserve"> </v>
      </c>
      <c r="M31" s="72" t="str">
        <f>+'Thursday WK2 (12)'!A31</f>
        <v>5640780</v>
      </c>
      <c r="N31" s="72" t="str">
        <f>+'Friday WK2 (13)'!A31</f>
        <v xml:space="preserve"> </v>
      </c>
      <c r="O31" s="72" t="str">
        <f>+'Saturday WK2 (14)'!A31</f>
        <v xml:space="preserve"> </v>
      </c>
      <c r="P31" s="72" t="str">
        <f>+'Sunday WK3 (15)'!A31</f>
        <v>8247485</v>
      </c>
      <c r="Q31" s="72" t="str">
        <f>+'Monday WK3 (16)'!A31</f>
        <v xml:space="preserve"> </v>
      </c>
      <c r="R31" s="72" t="str">
        <f>+'Tuesday WK3 (17)'!A31</f>
        <v>179193</v>
      </c>
      <c r="S31" s="72" t="str">
        <f>+'Wednesday WK3 (18)'!A31</f>
        <v xml:space="preserve"> </v>
      </c>
      <c r="T31" s="72" t="str">
        <f>+'Thursday WK3 (19)'!A31</f>
        <v>5647200</v>
      </c>
      <c r="U31" s="72" t="str">
        <f>+'Friday WK3 (20)'!A31</f>
        <v xml:space="preserve"> </v>
      </c>
      <c r="V31" s="72" t="str">
        <f>+'Saturday WK3 (21)'!A31</f>
        <v xml:space="preserve"> </v>
      </c>
      <c r="W31" s="72" t="str">
        <f>+'Sunday WK4 (22)'!A31</f>
        <v>5648677</v>
      </c>
      <c r="X31" s="72" t="str">
        <f>+'Monday WK4 (23)'!A31</f>
        <v xml:space="preserve"> </v>
      </c>
      <c r="Y31" s="72" t="str">
        <f>+'Tuesday WK4 (24)'!A31</f>
        <v>77684243</v>
      </c>
      <c r="Z31" s="72" t="str">
        <f>+'Wednesday WK4 (25)'!A31</f>
        <v xml:space="preserve"> </v>
      </c>
      <c r="AA31" s="72" t="str">
        <f>+'Thursday WK4 (26)'!A31</f>
        <v>5656881</v>
      </c>
      <c r="AB31" s="72" t="str">
        <f>+'Friday WK4 (27)'!A31</f>
        <v xml:space="preserve"> </v>
      </c>
      <c r="AC31" s="72" t="str">
        <f>+'Saturday WK4 (28)'!A31</f>
        <v xml:space="preserve"> </v>
      </c>
      <c r="AD31" s="72" t="str">
        <f>+'Sunday WK5 (29)'!A31</f>
        <v xml:space="preserve"> </v>
      </c>
      <c r="AE31" s="72" t="str">
        <f>+'Monday WK5 (30)'!A31</f>
        <v xml:space="preserve"> </v>
      </c>
      <c r="AF31" s="72" t="str">
        <f>+'Tuesday WK5 (31)'!A31</f>
        <v xml:space="preserve"> </v>
      </c>
      <c r="AG31" s="72" t="str">
        <f>+'Wednesday WK5 (32)'!A31</f>
        <v xml:space="preserve"> </v>
      </c>
      <c r="AH31" s="72" t="str">
        <f>+'Thursday WK5 (33)'!A31</f>
        <v xml:space="preserve"> </v>
      </c>
      <c r="AI31" s="72" t="str">
        <f>+'Friday WK5 (34)'!A31</f>
        <v xml:space="preserve"> </v>
      </c>
      <c r="AJ31" s="72" t="str">
        <f>+'Saturday WK5 (35)'!A31</f>
        <v xml:space="preserve"> </v>
      </c>
    </row>
    <row r="32" spans="1:36" x14ac:dyDescent="0.25">
      <c r="A32" t="s">
        <v>962</v>
      </c>
      <c r="B32" s="72" t="str">
        <f>+'Sunday WK1 (1)'!A32</f>
        <v>8239683</v>
      </c>
      <c r="C32" s="72" t="str">
        <f>+'Monday WK1 (2)'!A32</f>
        <v xml:space="preserve"> </v>
      </c>
      <c r="D32" s="72" t="str">
        <f>+'Tuesday WK1 (3)'!A32</f>
        <v>5630086</v>
      </c>
      <c r="E32" s="72" t="str">
        <f>+'Wednesday WK1 (4)'!A32</f>
        <v xml:space="preserve"> </v>
      </c>
      <c r="F32" s="72" t="str">
        <f>+'Thursday WK1 (5)'!A32</f>
        <v>5630542</v>
      </c>
      <c r="G32" s="72" t="str">
        <f>+'Friday WK1 (6)'!A32</f>
        <v xml:space="preserve"> </v>
      </c>
      <c r="H32" s="72" t="str">
        <f>+'Saturday WK1 (7)'!A32</f>
        <v xml:space="preserve"> </v>
      </c>
      <c r="I32" s="72" t="str">
        <f>+'Sunday WK2 (8)'!A32</f>
        <v>8243386</v>
      </c>
      <c r="J32" s="72" t="str">
        <f>+'Monday WK2 (9)'!A32</f>
        <v xml:space="preserve"> </v>
      </c>
      <c r="K32" s="72" t="str">
        <f>+'Tuesday WK2 (10)'!A32</f>
        <v>5638025</v>
      </c>
      <c r="L32" s="72" t="str">
        <f>+'Wednesday WK2 (11)'!A32</f>
        <v xml:space="preserve"> </v>
      </c>
      <c r="M32" s="72" t="str">
        <f>+'Thursday WK2 (12)'!A32</f>
        <v>5640791</v>
      </c>
      <c r="N32" s="72" t="str">
        <f>+'Friday WK2 (13)'!A32</f>
        <v xml:space="preserve"> </v>
      </c>
      <c r="O32" s="72" t="str">
        <f>+'Saturday WK2 (14)'!A32</f>
        <v xml:space="preserve"> </v>
      </c>
      <c r="P32" s="72" t="str">
        <f>+'Sunday WK3 (15)'!A32</f>
        <v>8247544</v>
      </c>
      <c r="Q32" s="72" t="str">
        <f>+'Monday WK3 (16)'!A32</f>
        <v xml:space="preserve"> </v>
      </c>
      <c r="R32" s="72" t="str">
        <f>+'Tuesday WK3 (17)'!A32</f>
        <v>89659</v>
      </c>
      <c r="S32" s="72" t="str">
        <f>+'Wednesday WK3 (18)'!A32</f>
        <v xml:space="preserve"> </v>
      </c>
      <c r="T32" s="72" t="str">
        <f>+'Thursday WK3 (19)'!A32</f>
        <v>5647950</v>
      </c>
      <c r="U32" s="72" t="str">
        <f>+'Friday WK3 (20)'!A32</f>
        <v xml:space="preserve"> </v>
      </c>
      <c r="V32" s="72" t="str">
        <f>+'Saturday WK3 (21)'!A32</f>
        <v xml:space="preserve"> </v>
      </c>
      <c r="W32" s="72" t="str">
        <f>+'Sunday WK4 (22)'!A32</f>
        <v>5649082</v>
      </c>
      <c r="X32" s="72" t="str">
        <f>+'Monday WK4 (23)'!A32</f>
        <v xml:space="preserve"> </v>
      </c>
      <c r="Y32" s="72" t="str">
        <f>+'Tuesday WK4 (24)'!A32</f>
        <v xml:space="preserve"> </v>
      </c>
      <c r="Z32" s="72" t="str">
        <f>+'Wednesday WK4 (25)'!A32</f>
        <v xml:space="preserve"> </v>
      </c>
      <c r="AA32" s="72" t="str">
        <f>+'Thursday WK4 (26)'!A32</f>
        <v>5656882</v>
      </c>
      <c r="AB32" s="72" t="str">
        <f>+'Friday WK4 (27)'!A32</f>
        <v xml:space="preserve"> </v>
      </c>
      <c r="AC32" s="72" t="str">
        <f>+'Saturday WK4 (28)'!A32</f>
        <v>6094</v>
      </c>
      <c r="AD32" s="72" t="str">
        <f>+'Sunday WK5 (29)'!A32</f>
        <v xml:space="preserve"> </v>
      </c>
      <c r="AE32" s="72" t="str">
        <f>+'Monday WK5 (30)'!A32</f>
        <v xml:space="preserve"> </v>
      </c>
      <c r="AF32" s="72" t="str">
        <f>+'Tuesday WK5 (31)'!A32</f>
        <v xml:space="preserve"> </v>
      </c>
      <c r="AG32" s="72" t="str">
        <f>+'Wednesday WK5 (32)'!A32</f>
        <v xml:space="preserve"> </v>
      </c>
      <c r="AH32" s="72" t="str">
        <f>+'Thursday WK5 (33)'!A32</f>
        <v xml:space="preserve"> </v>
      </c>
      <c r="AI32" s="72" t="str">
        <f>+'Friday WK5 (34)'!A32</f>
        <v xml:space="preserve"> </v>
      </c>
      <c r="AJ32" s="72" t="str">
        <f>+'Saturday WK5 (35)'!A32</f>
        <v xml:space="preserve"> </v>
      </c>
    </row>
    <row r="33" spans="1:36" x14ac:dyDescent="0.25">
      <c r="A33" t="s">
        <v>962</v>
      </c>
      <c r="B33" s="72" t="str">
        <f>+'Sunday WK1 (1)'!A33</f>
        <v>5624975</v>
      </c>
      <c r="C33" s="72" t="str">
        <f>+'Monday WK1 (2)'!A33</f>
        <v xml:space="preserve"> </v>
      </c>
      <c r="D33" s="72" t="str">
        <f>+'Tuesday WK1 (3)'!A33</f>
        <v>5630111</v>
      </c>
      <c r="E33" s="72" t="str">
        <f>+'Wednesday WK1 (4)'!A33</f>
        <v xml:space="preserve"> </v>
      </c>
      <c r="F33" s="72" t="str">
        <f>+'Thursday WK1 (5)'!A33</f>
        <v>5631315</v>
      </c>
      <c r="G33" s="72" t="str">
        <f>+'Friday WK1 (6)'!A33</f>
        <v xml:space="preserve"> </v>
      </c>
      <c r="H33" s="72" t="str">
        <f>+'Saturday WK1 (7)'!A33</f>
        <v xml:space="preserve"> </v>
      </c>
      <c r="I33" s="72" t="str">
        <f>+'Sunday WK2 (8)'!A33</f>
        <v>8243603</v>
      </c>
      <c r="J33" s="72" t="str">
        <f>+'Monday WK2 (9)'!A33</f>
        <v xml:space="preserve"> </v>
      </c>
      <c r="K33" s="72" t="str">
        <f>+'Tuesday WK2 (10)'!A33</f>
        <v>5638041</v>
      </c>
      <c r="L33" s="72" t="str">
        <f>+'Wednesday WK2 (11)'!A33</f>
        <v xml:space="preserve"> </v>
      </c>
      <c r="M33" s="72" t="str">
        <f>+'Thursday WK2 (12)'!A33</f>
        <v>5638048</v>
      </c>
      <c r="N33" s="72" t="str">
        <f>+'Friday WK2 (13)'!A33</f>
        <v xml:space="preserve"> </v>
      </c>
      <c r="O33" s="72" t="str">
        <f>+'Saturday WK2 (14)'!A33</f>
        <v xml:space="preserve"> </v>
      </c>
      <c r="P33" s="72" t="str">
        <f>+'Sunday WK3 (15)'!A33</f>
        <v>5640678</v>
      </c>
      <c r="Q33" s="72" t="str">
        <f>+'Monday WK3 (16)'!A33</f>
        <v xml:space="preserve"> </v>
      </c>
      <c r="R33" s="72" t="str">
        <f>+'Tuesday WK3 (17)'!A33</f>
        <v xml:space="preserve"> </v>
      </c>
      <c r="S33" s="72" t="str">
        <f>+'Wednesday WK3 (18)'!A33</f>
        <v xml:space="preserve"> </v>
      </c>
      <c r="T33" s="72" t="str">
        <f>+'Thursday WK3 (19)'!A33</f>
        <v>5647951</v>
      </c>
      <c r="U33" s="72" t="str">
        <f>+'Friday WK3 (20)'!A33</f>
        <v xml:space="preserve"> </v>
      </c>
      <c r="V33" s="72" t="str">
        <f>+'Saturday WK3 (21)'!A33</f>
        <v xml:space="preserve"> </v>
      </c>
      <c r="W33" s="72" t="str">
        <f>+'Sunday WK4 (22)'!A33</f>
        <v>5650191</v>
      </c>
      <c r="X33" s="72" t="str">
        <f>+'Monday WK4 (23)'!A33</f>
        <v xml:space="preserve"> </v>
      </c>
      <c r="Y33" s="72" t="str">
        <f>+'Tuesday WK4 (24)'!A33</f>
        <v xml:space="preserve"> </v>
      </c>
      <c r="Z33" s="72" t="str">
        <f>+'Wednesday WK4 (25)'!A33</f>
        <v xml:space="preserve"> </v>
      </c>
      <c r="AA33" s="72" t="str">
        <f>+'Thursday WK4 (26)'!A33</f>
        <v>6704569</v>
      </c>
      <c r="AB33" s="72" t="str">
        <f>+'Friday WK4 (27)'!A33</f>
        <v xml:space="preserve"> </v>
      </c>
      <c r="AC33" s="72" t="str">
        <f>+'Saturday WK4 (28)'!A33</f>
        <v>6700286</v>
      </c>
      <c r="AD33" s="72" t="str">
        <f>+'Sunday WK5 (29)'!A33</f>
        <v xml:space="preserve"> </v>
      </c>
      <c r="AE33" s="72" t="str">
        <f>+'Monday WK5 (30)'!A33</f>
        <v xml:space="preserve"> </v>
      </c>
      <c r="AF33" s="72" t="str">
        <f>+'Tuesday WK5 (31)'!A33</f>
        <v xml:space="preserve"> </v>
      </c>
      <c r="AG33" s="72" t="str">
        <f>+'Wednesday WK5 (32)'!A33</f>
        <v xml:space="preserve"> </v>
      </c>
      <c r="AH33" s="72" t="str">
        <f>+'Thursday WK5 (33)'!A33</f>
        <v xml:space="preserve"> </v>
      </c>
      <c r="AI33" s="72" t="str">
        <f>+'Friday WK5 (34)'!A33</f>
        <v xml:space="preserve"> </v>
      </c>
      <c r="AJ33" s="72" t="str">
        <f>+'Saturday WK5 (35)'!A33</f>
        <v xml:space="preserve"> </v>
      </c>
    </row>
    <row r="34" spans="1:36" x14ac:dyDescent="0.25">
      <c r="A34" t="s">
        <v>962</v>
      </c>
      <c r="B34" s="72" t="str">
        <f>+'Sunday WK1 (1)'!A34</f>
        <v>5625079</v>
      </c>
      <c r="C34" s="72" t="str">
        <f>+'Monday WK1 (2)'!A34</f>
        <v xml:space="preserve"> </v>
      </c>
      <c r="D34" s="72" t="str">
        <f>+'Tuesday WK1 (3)'!A34</f>
        <v>5630112</v>
      </c>
      <c r="E34" s="72" t="str">
        <f>+'Wednesday WK1 (4)'!A34</f>
        <v xml:space="preserve"> </v>
      </c>
      <c r="F34" s="72" t="str">
        <f>+'Thursday WK1 (5)'!A34</f>
        <v>5631564</v>
      </c>
      <c r="G34" s="72" t="str">
        <f>+'Friday WK1 (6)'!A34</f>
        <v xml:space="preserve"> </v>
      </c>
      <c r="H34" s="72" t="str">
        <f>+'Saturday WK1 (7)'!A34</f>
        <v xml:space="preserve"> </v>
      </c>
      <c r="I34" s="72" t="str">
        <f>+'Sunday WK2 (8)'!A34</f>
        <v>5632862</v>
      </c>
      <c r="J34" s="72" t="str">
        <f>+'Monday WK2 (9)'!A34</f>
        <v xml:space="preserve"> </v>
      </c>
      <c r="K34" s="72" t="str">
        <f>+'Tuesday WK2 (10)'!A34</f>
        <v>6652917</v>
      </c>
      <c r="L34" s="72" t="str">
        <f>+'Wednesday WK2 (11)'!A34</f>
        <v xml:space="preserve"> </v>
      </c>
      <c r="M34" s="72" t="str">
        <f>+'Thursday WK2 (12)'!A34</f>
        <v>5638263</v>
      </c>
      <c r="N34" s="72" t="str">
        <f>+'Friday WK2 (13)'!A34</f>
        <v xml:space="preserve"> </v>
      </c>
      <c r="O34" s="72" t="str">
        <f>+'Saturday WK2 (14)'!A34</f>
        <v xml:space="preserve"> </v>
      </c>
      <c r="P34" s="72" t="str">
        <f>+'Sunday WK3 (15)'!A34</f>
        <v>5640875</v>
      </c>
      <c r="Q34" s="72" t="str">
        <f>+'Monday WK3 (16)'!A34</f>
        <v xml:space="preserve"> </v>
      </c>
      <c r="R34" s="72" t="str">
        <f>+'Tuesday WK3 (17)'!A34</f>
        <v xml:space="preserve"> </v>
      </c>
      <c r="S34" s="72" t="str">
        <f>+'Wednesday WK3 (18)'!A34</f>
        <v xml:space="preserve"> </v>
      </c>
      <c r="T34" s="72" t="str">
        <f>+'Thursday WK3 (19)'!A34</f>
        <v>5648089</v>
      </c>
      <c r="U34" s="72" t="str">
        <f>+'Friday WK3 (20)'!A34</f>
        <v xml:space="preserve"> </v>
      </c>
      <c r="V34" s="72" t="str">
        <f>+'Saturday WK3 (21)'!A34</f>
        <v xml:space="preserve"> </v>
      </c>
      <c r="W34" s="72" t="str">
        <f>+'Sunday WK4 (22)'!A34</f>
        <v>5650718</v>
      </c>
      <c r="X34" s="72" t="str">
        <f>+'Monday WK4 (23)'!A34</f>
        <v xml:space="preserve"> </v>
      </c>
      <c r="Y34" s="72" t="str">
        <f>+'Tuesday WK4 (24)'!A34</f>
        <v xml:space="preserve"> </v>
      </c>
      <c r="Z34" s="72" t="str">
        <f>+'Wednesday WK4 (25)'!A34</f>
        <v xml:space="preserve"> </v>
      </c>
      <c r="AA34" s="72" t="str">
        <f>+'Thursday WK4 (26)'!A34</f>
        <v>6705898</v>
      </c>
      <c r="AB34" s="72" t="str">
        <f>+'Friday WK4 (27)'!A34</f>
        <v xml:space="preserve"> </v>
      </c>
      <c r="AC34" s="72" t="str">
        <f>+'Saturday WK4 (28)'!A34</f>
        <v xml:space="preserve"> </v>
      </c>
      <c r="AD34" s="72" t="str">
        <f>+'Sunday WK5 (29)'!A34</f>
        <v xml:space="preserve"> </v>
      </c>
      <c r="AE34" s="72" t="str">
        <f>+'Monday WK5 (30)'!A34</f>
        <v xml:space="preserve"> </v>
      </c>
      <c r="AF34" s="72" t="str">
        <f>+'Tuesday WK5 (31)'!A34</f>
        <v xml:space="preserve"> </v>
      </c>
      <c r="AG34" s="72" t="str">
        <f>+'Wednesday WK5 (32)'!A34</f>
        <v xml:space="preserve"> </v>
      </c>
      <c r="AH34" s="72" t="str">
        <f>+'Thursday WK5 (33)'!A34</f>
        <v xml:space="preserve"> </v>
      </c>
      <c r="AI34" s="72" t="str">
        <f>+'Friday WK5 (34)'!A34</f>
        <v xml:space="preserve"> </v>
      </c>
      <c r="AJ34" s="72" t="str">
        <f>+'Saturday WK5 (35)'!A34</f>
        <v xml:space="preserve"> </v>
      </c>
    </row>
    <row r="35" spans="1:36" x14ac:dyDescent="0.25">
      <c r="A35" t="s">
        <v>962</v>
      </c>
      <c r="B35" s="72" t="str">
        <f>+'Sunday WK1 (1)'!A35</f>
        <v>5627277</v>
      </c>
      <c r="C35" s="72" t="str">
        <f>+'Monday WK1 (2)'!A35</f>
        <v xml:space="preserve"> </v>
      </c>
      <c r="D35" s="72" t="str">
        <f>+'Tuesday WK1 (3)'!A35</f>
        <v>5630113</v>
      </c>
      <c r="E35" s="72" t="str">
        <f>+'Wednesday WK1 (4)'!A35</f>
        <v xml:space="preserve"> </v>
      </c>
      <c r="F35" s="72" t="str">
        <f>+'Thursday WK1 (5)'!A35</f>
        <v>5631565</v>
      </c>
      <c r="G35" s="72" t="str">
        <f>+'Friday WK1 (6)'!A35</f>
        <v xml:space="preserve"> </v>
      </c>
      <c r="H35" s="72" t="str">
        <f>+'Saturday WK1 (7)'!A35</f>
        <v xml:space="preserve"> </v>
      </c>
      <c r="I35" s="72" t="str">
        <f>+'Sunday WK2 (8)'!A35</f>
        <v>5632970</v>
      </c>
      <c r="J35" s="72" t="str">
        <f>+'Monday WK2 (9)'!A35</f>
        <v xml:space="preserve"> </v>
      </c>
      <c r="K35" s="72" t="str">
        <f>+'Tuesday WK2 (10)'!A35</f>
        <v>6653196</v>
      </c>
      <c r="L35" s="72" t="str">
        <f>+'Wednesday WK2 (11)'!A35</f>
        <v xml:space="preserve"> </v>
      </c>
      <c r="M35" s="72" t="str">
        <f>+'Thursday WK2 (12)'!A35</f>
        <v>5638386</v>
      </c>
      <c r="N35" s="72" t="str">
        <f>+'Friday WK2 (13)'!A35</f>
        <v xml:space="preserve"> </v>
      </c>
      <c r="O35" s="72" t="str">
        <f>+'Saturday WK2 (14)'!A35</f>
        <v xml:space="preserve"> </v>
      </c>
      <c r="P35" s="72" t="str">
        <f>+'Sunday WK3 (15)'!A35</f>
        <v>5641129</v>
      </c>
      <c r="Q35" s="72" t="str">
        <f>+'Monday WK3 (16)'!A35</f>
        <v xml:space="preserve"> </v>
      </c>
      <c r="R35" s="72" t="str">
        <f>+'Tuesday WK3 (17)'!A35</f>
        <v xml:space="preserve"> </v>
      </c>
      <c r="S35" s="72" t="str">
        <f>+'Wednesday WK3 (18)'!A35</f>
        <v xml:space="preserve"> </v>
      </c>
      <c r="T35" s="72" t="str">
        <f>+'Thursday WK3 (19)'!A35</f>
        <v>5648678</v>
      </c>
      <c r="U35" s="72" t="str">
        <f>+'Friday WK3 (20)'!A35</f>
        <v xml:space="preserve"> </v>
      </c>
      <c r="V35" s="72" t="str">
        <f>+'Saturday WK3 (21)'!A35</f>
        <v xml:space="preserve"> </v>
      </c>
      <c r="W35" s="72" t="str">
        <f>+'Sunday WK4 (22)'!A35</f>
        <v>5651024</v>
      </c>
      <c r="X35" s="72" t="str">
        <f>+'Monday WK4 (23)'!A35</f>
        <v xml:space="preserve"> </v>
      </c>
      <c r="Y35" s="72" t="str">
        <f>+'Tuesday WK4 (24)'!A35</f>
        <v xml:space="preserve"> </v>
      </c>
      <c r="Z35" s="72" t="str">
        <f>+'Wednesday WK4 (25)'!A35</f>
        <v xml:space="preserve"> </v>
      </c>
      <c r="AA35" s="72" t="str">
        <f>+'Thursday WK4 (26)'!A35</f>
        <v>6707506</v>
      </c>
      <c r="AB35" s="72" t="str">
        <f>+'Friday WK4 (27)'!A35</f>
        <v xml:space="preserve"> </v>
      </c>
      <c r="AC35" s="72" t="str">
        <f>+'Saturday WK4 (28)'!A35</f>
        <v xml:space="preserve"> </v>
      </c>
      <c r="AD35" s="72" t="str">
        <f>+'Sunday WK5 (29)'!A35</f>
        <v xml:space="preserve"> </v>
      </c>
      <c r="AE35" s="72" t="str">
        <f>+'Monday WK5 (30)'!A35</f>
        <v xml:space="preserve"> </v>
      </c>
      <c r="AF35" s="72" t="str">
        <f>+'Tuesday WK5 (31)'!A35</f>
        <v xml:space="preserve"> </v>
      </c>
      <c r="AG35" s="72" t="str">
        <f>+'Wednesday WK5 (32)'!A35</f>
        <v xml:space="preserve"> </v>
      </c>
      <c r="AH35" s="72" t="str">
        <f>+'Thursday WK5 (33)'!A35</f>
        <v xml:space="preserve"> </v>
      </c>
      <c r="AI35" s="72" t="str">
        <f>+'Friday WK5 (34)'!A35</f>
        <v xml:space="preserve"> </v>
      </c>
      <c r="AJ35" s="72" t="str">
        <f>+'Saturday WK5 (35)'!A35</f>
        <v xml:space="preserve"> </v>
      </c>
    </row>
    <row r="36" spans="1:36" x14ac:dyDescent="0.25">
      <c r="A36" t="s">
        <v>962</v>
      </c>
      <c r="B36" s="72" t="str">
        <f>+'Sunday WK1 (1)'!A36</f>
        <v>5627365</v>
      </c>
      <c r="C36" s="72" t="str">
        <f>+'Monday WK1 (2)'!A36</f>
        <v xml:space="preserve"> </v>
      </c>
      <c r="D36" s="72" t="str">
        <f>+'Tuesday WK1 (3)'!A36</f>
        <v>117986</v>
      </c>
      <c r="E36" s="72" t="str">
        <f>+'Wednesday WK1 (4)'!A36</f>
        <v xml:space="preserve"> </v>
      </c>
      <c r="F36" s="72" t="str">
        <f>+'Thursday WK1 (5)'!A36</f>
        <v>5631647</v>
      </c>
      <c r="G36" s="72" t="str">
        <f>+'Friday WK1 (6)'!A36</f>
        <v xml:space="preserve"> </v>
      </c>
      <c r="H36" s="72" t="str">
        <f>+'Saturday WK1 (7)'!A36</f>
        <v xml:space="preserve"> </v>
      </c>
      <c r="I36" s="72" t="str">
        <f>+'Sunday WK2 (8)'!A36</f>
        <v>5633158</v>
      </c>
      <c r="J36" s="72" t="str">
        <f>+'Monday WK2 (9)'!A36</f>
        <v xml:space="preserve"> </v>
      </c>
      <c r="K36" s="72" t="str">
        <f>+'Tuesday WK2 (10)'!A36</f>
        <v>6663764</v>
      </c>
      <c r="L36" s="72" t="str">
        <f>+'Wednesday WK2 (11)'!A36</f>
        <v xml:space="preserve"> </v>
      </c>
      <c r="M36" s="72" t="str">
        <f>+'Thursday WK2 (12)'!A36</f>
        <v>5638387</v>
      </c>
      <c r="N36" s="72" t="str">
        <f>+'Friday WK2 (13)'!A36</f>
        <v xml:space="preserve"> </v>
      </c>
      <c r="O36" s="72" t="str">
        <f>+'Saturday WK2 (14)'!A36</f>
        <v xml:space="preserve"> </v>
      </c>
      <c r="P36" s="72" t="str">
        <f>+'Sunday WK3 (15)'!A36</f>
        <v>5641130</v>
      </c>
      <c r="Q36" s="72" t="str">
        <f>+'Monday WK3 (16)'!A36</f>
        <v xml:space="preserve"> </v>
      </c>
      <c r="R36" s="72" t="str">
        <f>+'Tuesday WK3 (17)'!A36</f>
        <v xml:space="preserve"> </v>
      </c>
      <c r="S36" s="72" t="str">
        <f>+'Wednesday WK3 (18)'!A36</f>
        <v xml:space="preserve"> </v>
      </c>
      <c r="T36" s="72" t="str">
        <f>+'Thursday WK3 (19)'!A36</f>
        <v>5648962</v>
      </c>
      <c r="U36" s="72" t="str">
        <f>+'Friday WK3 (20)'!A36</f>
        <v xml:space="preserve"> </v>
      </c>
      <c r="V36" s="72" t="str">
        <f>+'Saturday WK3 (21)'!A36</f>
        <v xml:space="preserve"> </v>
      </c>
      <c r="W36" s="72" t="str">
        <f>+'Sunday WK4 (22)'!A36</f>
        <v>5651025</v>
      </c>
      <c r="X36" s="72" t="str">
        <f>+'Monday WK4 (23)'!A36</f>
        <v xml:space="preserve"> </v>
      </c>
      <c r="Y36" s="72" t="str">
        <f>+'Tuesday WK4 (24)'!A36</f>
        <v xml:space="preserve"> </v>
      </c>
      <c r="Z36" s="72" t="str">
        <f>+'Wednesday WK4 (25)'!A36</f>
        <v xml:space="preserve"> </v>
      </c>
      <c r="AA36" s="72" t="str">
        <f>+'Thursday WK4 (26)'!A36</f>
        <v>6707507</v>
      </c>
      <c r="AB36" s="72" t="str">
        <f>+'Friday WK4 (27)'!A36</f>
        <v xml:space="preserve"> </v>
      </c>
      <c r="AC36" s="72" t="str">
        <f>+'Saturday WK4 (28)'!A36</f>
        <v xml:space="preserve"> </v>
      </c>
      <c r="AD36" s="72" t="str">
        <f>+'Sunday WK5 (29)'!A36</f>
        <v xml:space="preserve"> </v>
      </c>
      <c r="AE36" s="72" t="str">
        <f>+'Monday WK5 (30)'!A36</f>
        <v xml:space="preserve"> </v>
      </c>
      <c r="AF36" s="72" t="str">
        <f>+'Tuesday WK5 (31)'!A36</f>
        <v xml:space="preserve"> </v>
      </c>
      <c r="AG36" s="72" t="str">
        <f>+'Wednesday WK5 (32)'!A36</f>
        <v xml:space="preserve"> </v>
      </c>
      <c r="AH36" s="72" t="str">
        <f>+'Thursday WK5 (33)'!A36</f>
        <v xml:space="preserve"> </v>
      </c>
      <c r="AI36" s="72" t="str">
        <f>+'Friday WK5 (34)'!A36</f>
        <v xml:space="preserve"> </v>
      </c>
      <c r="AJ36" s="72" t="str">
        <f>+'Saturday WK5 (35)'!A36</f>
        <v xml:space="preserve"> </v>
      </c>
    </row>
    <row r="37" spans="1:36" x14ac:dyDescent="0.25">
      <c r="A37" t="s">
        <v>962</v>
      </c>
      <c r="B37" s="72" t="str">
        <f>+'Sunday WK1 (1)'!A37</f>
        <v>5624976</v>
      </c>
      <c r="C37" s="72" t="str">
        <f>+'Monday WK1 (2)'!A37</f>
        <v xml:space="preserve"> </v>
      </c>
      <c r="D37" s="72" t="str">
        <f>+'Tuesday WK1 (3)'!A37</f>
        <v>INV26-04375</v>
      </c>
      <c r="E37" s="72" t="str">
        <f>+'Wednesday WK1 (4)'!A37</f>
        <v xml:space="preserve"> </v>
      </c>
      <c r="F37" s="72" t="str">
        <f>+'Thursday WK1 (5)'!A37</f>
        <v>5631732</v>
      </c>
      <c r="G37" s="72" t="str">
        <f>+'Friday WK1 (6)'!A37</f>
        <v xml:space="preserve"> </v>
      </c>
      <c r="H37" s="72" t="str">
        <f>+'Saturday WK1 (7)'!A37</f>
        <v xml:space="preserve"> </v>
      </c>
      <c r="I37" s="72" t="str">
        <f>+'Sunday WK2 (8)'!A37</f>
        <v>5633948</v>
      </c>
      <c r="J37" s="72" t="str">
        <f>+'Monday WK2 (9)'!A37</f>
        <v xml:space="preserve"> </v>
      </c>
      <c r="K37" s="72" t="str">
        <f>+'Tuesday WK2 (10)'!A37</f>
        <v>118511</v>
      </c>
      <c r="L37" s="72" t="str">
        <f>+'Wednesday WK2 (11)'!A37</f>
        <v xml:space="preserve"> </v>
      </c>
      <c r="M37" s="72" t="str">
        <f>+'Thursday WK2 (12)'!A37</f>
        <v>5639458</v>
      </c>
      <c r="N37" s="72" t="str">
        <f>+'Friday WK2 (13)'!A37</f>
        <v xml:space="preserve"> </v>
      </c>
      <c r="O37" s="72" t="str">
        <f>+'Saturday WK2 (14)'!A37</f>
        <v xml:space="preserve"> </v>
      </c>
      <c r="P37" s="72" t="str">
        <f>+'Sunday WK3 (15)'!A37</f>
        <v>5641912</v>
      </c>
      <c r="Q37" s="72" t="str">
        <f>+'Monday WK3 (16)'!A37</f>
        <v xml:space="preserve"> </v>
      </c>
      <c r="R37" s="72" t="str">
        <f>+'Tuesday WK3 (17)'!A37</f>
        <v xml:space="preserve"> </v>
      </c>
      <c r="S37" s="72" t="str">
        <f>+'Wednesday WK3 (18)'!A37</f>
        <v xml:space="preserve"> </v>
      </c>
      <c r="T37" s="72" t="str">
        <f>+'Thursday WK3 (19)'!A37</f>
        <v>5648978</v>
      </c>
      <c r="U37" s="72" t="str">
        <f>+'Friday WK3 (20)'!A37</f>
        <v xml:space="preserve"> </v>
      </c>
      <c r="V37" s="72" t="str">
        <f>+'Saturday WK3 (21)'!A37</f>
        <v xml:space="preserve"> </v>
      </c>
      <c r="W37" s="72" t="str">
        <f>+'Sunday WK4 (22)'!A37</f>
        <v>5651026</v>
      </c>
      <c r="X37" s="72" t="str">
        <f>+'Monday WK4 (23)'!A37</f>
        <v xml:space="preserve"> </v>
      </c>
      <c r="Y37" s="72" t="str">
        <f>+'Tuesday WK4 (24)'!A37</f>
        <v xml:space="preserve"> </v>
      </c>
      <c r="Z37" s="72" t="str">
        <f>+'Wednesday WK4 (25)'!A37</f>
        <v xml:space="preserve"> </v>
      </c>
      <c r="AA37" s="72" t="str">
        <f>+'Thursday WK4 (26)'!A37</f>
        <v>53335286002</v>
      </c>
      <c r="AB37" s="72" t="str">
        <f>+'Friday WK4 (27)'!A37</f>
        <v xml:space="preserve"> </v>
      </c>
      <c r="AC37" s="72" t="str">
        <f>+'Saturday WK4 (28)'!A37</f>
        <v xml:space="preserve"> </v>
      </c>
      <c r="AD37" s="72" t="str">
        <f>+'Sunday WK5 (29)'!A37</f>
        <v xml:space="preserve"> </v>
      </c>
      <c r="AE37" s="72" t="str">
        <f>+'Monday WK5 (30)'!A37</f>
        <v xml:space="preserve"> </v>
      </c>
      <c r="AF37" s="72" t="str">
        <f>+'Tuesday WK5 (31)'!A37</f>
        <v xml:space="preserve"> </v>
      </c>
      <c r="AG37" s="72" t="str">
        <f>+'Wednesday WK5 (32)'!A37</f>
        <v xml:space="preserve"> </v>
      </c>
      <c r="AH37" s="72" t="str">
        <f>+'Thursday WK5 (33)'!A37</f>
        <v xml:space="preserve"> </v>
      </c>
      <c r="AI37" s="72" t="str">
        <f>+'Friday WK5 (34)'!A37</f>
        <v xml:space="preserve"> </v>
      </c>
      <c r="AJ37" s="72" t="str">
        <f>+'Saturday WK5 (35)'!A37</f>
        <v xml:space="preserve"> </v>
      </c>
    </row>
    <row r="38" spans="1:36" x14ac:dyDescent="0.25">
      <c r="A38" t="s">
        <v>962</v>
      </c>
      <c r="B38" s="72" t="str">
        <f>+'Sunday WK1 (1)'!A38</f>
        <v>5627404</v>
      </c>
      <c r="C38" s="72" t="str">
        <f>+'Monday WK1 (2)'!A38</f>
        <v xml:space="preserve"> </v>
      </c>
      <c r="D38" s="72" t="str">
        <f>+'Tuesday WK1 (3)'!A38</f>
        <v>91458496</v>
      </c>
      <c r="E38" s="72" t="str">
        <f>+'Wednesday WK1 (4)'!A38</f>
        <v xml:space="preserve"> </v>
      </c>
      <c r="F38" s="72" t="str">
        <f>+'Thursday WK1 (5)'!A38</f>
        <v>5631830</v>
      </c>
      <c r="G38" s="72" t="str">
        <f>+'Friday WK1 (6)'!A38</f>
        <v xml:space="preserve"> </v>
      </c>
      <c r="H38" s="72" t="str">
        <f>+'Saturday WK1 (7)'!A38</f>
        <v xml:space="preserve"> </v>
      </c>
      <c r="I38" s="72" t="str">
        <f>+'Sunday WK2 (8)'!A38</f>
        <v>5634067</v>
      </c>
      <c r="J38" s="72" t="str">
        <f>+'Monday WK2 (9)'!A38</f>
        <v xml:space="preserve"> </v>
      </c>
      <c r="K38" s="72" t="str">
        <f>+'Tuesday WK2 (10)'!A38</f>
        <v>53048735061</v>
      </c>
      <c r="L38" s="72" t="str">
        <f>+'Wednesday WK2 (11)'!A38</f>
        <v xml:space="preserve"> </v>
      </c>
      <c r="M38" s="72" t="str">
        <f>+'Thursday WK2 (12)'!A38</f>
        <v>6658229</v>
      </c>
      <c r="N38" s="72" t="str">
        <f>+'Friday WK2 (13)'!A38</f>
        <v xml:space="preserve"> </v>
      </c>
      <c r="O38" s="72" t="str">
        <f>+'Saturday WK2 (14)'!A38</f>
        <v xml:space="preserve"> </v>
      </c>
      <c r="P38" s="72" t="str">
        <f>+'Sunday WK3 (15)'!A38</f>
        <v>5642290</v>
      </c>
      <c r="Q38" s="72" t="str">
        <f>+'Monday WK3 (16)'!A38</f>
        <v xml:space="preserve"> </v>
      </c>
      <c r="R38" s="72" t="str">
        <f>+'Tuesday WK3 (17)'!A38</f>
        <v xml:space="preserve"> </v>
      </c>
      <c r="S38" s="72" t="str">
        <f>+'Wednesday WK3 (18)'!A38</f>
        <v xml:space="preserve"> </v>
      </c>
      <c r="T38" s="72" t="str">
        <f>+'Thursday WK3 (19)'!A38</f>
        <v>5649068</v>
      </c>
      <c r="U38" s="72" t="str">
        <f>+'Friday WK3 (20)'!A38</f>
        <v xml:space="preserve"> </v>
      </c>
      <c r="V38" s="72" t="str">
        <f>+'Saturday WK3 (21)'!A38</f>
        <v xml:space="preserve"> </v>
      </c>
      <c r="W38" s="72" t="str">
        <f>+'Sunday WK4 (22)'!A38</f>
        <v>5651027</v>
      </c>
      <c r="X38" s="72" t="str">
        <f>+'Monday WK4 (23)'!A38</f>
        <v xml:space="preserve"> </v>
      </c>
      <c r="Y38" s="72" t="str">
        <f>+'Tuesday WK4 (24)'!A38</f>
        <v xml:space="preserve"> </v>
      </c>
      <c r="Z38" s="72" t="str">
        <f>+'Wednesday WK4 (25)'!A38</f>
        <v xml:space="preserve"> </v>
      </c>
      <c r="AA38" s="72" t="str">
        <f>+'Thursday WK4 (26)'!A38</f>
        <v>126913</v>
      </c>
      <c r="AB38" s="72" t="str">
        <f>+'Friday WK4 (27)'!A38</f>
        <v xml:space="preserve"> </v>
      </c>
      <c r="AC38" s="72" t="str">
        <f>+'Saturday WK4 (28)'!A38</f>
        <v xml:space="preserve"> </v>
      </c>
      <c r="AD38" s="72" t="str">
        <f>+'Sunday WK5 (29)'!A38</f>
        <v xml:space="preserve"> </v>
      </c>
      <c r="AE38" s="72" t="str">
        <f>+'Monday WK5 (30)'!A38</f>
        <v xml:space="preserve"> </v>
      </c>
      <c r="AF38" s="72" t="str">
        <f>+'Tuesday WK5 (31)'!A38</f>
        <v xml:space="preserve"> </v>
      </c>
      <c r="AG38" s="72" t="str">
        <f>+'Wednesday WK5 (32)'!A38</f>
        <v xml:space="preserve"> </v>
      </c>
      <c r="AH38" s="72" t="str">
        <f>+'Thursday WK5 (33)'!A38</f>
        <v xml:space="preserve"> </v>
      </c>
      <c r="AI38" s="72" t="str">
        <f>+'Friday WK5 (34)'!A38</f>
        <v xml:space="preserve"> </v>
      </c>
      <c r="AJ38" s="72" t="str">
        <f>+'Saturday WK5 (35)'!A38</f>
        <v xml:space="preserve"> </v>
      </c>
    </row>
    <row r="39" spans="1:36" x14ac:dyDescent="0.25">
      <c r="A39" t="s">
        <v>962</v>
      </c>
      <c r="B39" s="72" t="str">
        <f>+'Sunday WK1 (1)'!A39</f>
        <v>5627560</v>
      </c>
      <c r="C39" s="72" t="str">
        <f>+'Monday WK1 (2)'!A39</f>
        <v xml:space="preserve"> </v>
      </c>
      <c r="D39" s="72" t="str">
        <f>+'Tuesday WK1 (3)'!A39</f>
        <v>77683973</v>
      </c>
      <c r="E39" s="72" t="str">
        <f>+'Wednesday WK1 (4)'!A39</f>
        <v xml:space="preserve"> </v>
      </c>
      <c r="F39" s="72" t="str">
        <f>+'Thursday WK1 (5)'!A39</f>
        <v>5632089</v>
      </c>
      <c r="G39" s="72" t="str">
        <f>+'Friday WK1 (6)'!A39</f>
        <v xml:space="preserve"> </v>
      </c>
      <c r="H39" s="72" t="str">
        <f>+'Saturday WK1 (7)'!A39</f>
        <v xml:space="preserve"> </v>
      </c>
      <c r="I39" s="72" t="str">
        <f>+'Sunday WK2 (8)'!A39</f>
        <v>5634483</v>
      </c>
      <c r="J39" s="72" t="str">
        <f>+'Monday WK2 (9)'!A39</f>
        <v xml:space="preserve"> </v>
      </c>
      <c r="K39" s="72" t="str">
        <f>+'Tuesday WK2 (10)'!A39</f>
        <v>53048735062</v>
      </c>
      <c r="L39" s="72" t="str">
        <f>+'Wednesday WK2 (11)'!A39</f>
        <v xml:space="preserve"> </v>
      </c>
      <c r="M39" s="72" t="str">
        <f>+'Thursday WK2 (12)'!A39</f>
        <v>6658230</v>
      </c>
      <c r="N39" s="72" t="str">
        <f>+'Friday WK2 (13)'!A39</f>
        <v xml:space="preserve"> </v>
      </c>
      <c r="O39" s="72" t="str">
        <f>+'Saturday WK2 (14)'!A39</f>
        <v xml:space="preserve"> </v>
      </c>
      <c r="P39" s="72" t="str">
        <f>+'Sunday WK3 (15)'!A39</f>
        <v>5642291</v>
      </c>
      <c r="Q39" s="72" t="str">
        <f>+'Monday WK3 (16)'!A39</f>
        <v xml:space="preserve"> </v>
      </c>
      <c r="R39" s="72" t="str">
        <f>+'Tuesday WK3 (17)'!A39</f>
        <v xml:space="preserve"> </v>
      </c>
      <c r="S39" s="72" t="str">
        <f>+'Wednesday WK3 (18)'!A39</f>
        <v xml:space="preserve"> </v>
      </c>
      <c r="T39" s="72" t="str">
        <f>+'Thursday WK3 (19)'!A39</f>
        <v>5649184</v>
      </c>
      <c r="U39" s="72" t="str">
        <f>+'Friday WK3 (20)'!A39</f>
        <v xml:space="preserve"> </v>
      </c>
      <c r="V39" s="72" t="str">
        <f>+'Saturday WK3 (21)'!A39</f>
        <v xml:space="preserve"> </v>
      </c>
      <c r="W39" s="72" t="str">
        <f>+'Sunday WK4 (22)'!A39</f>
        <v>5651548</v>
      </c>
      <c r="X39" s="72" t="str">
        <f>+'Monday WK4 (23)'!A39</f>
        <v xml:space="preserve"> </v>
      </c>
      <c r="Y39" s="72" t="str">
        <f>+'Tuesday WK4 (24)'!A39</f>
        <v xml:space="preserve"> </v>
      </c>
      <c r="Z39" s="72" t="str">
        <f>+'Wednesday WK4 (25)'!A39</f>
        <v xml:space="preserve"> </v>
      </c>
      <c r="AA39" s="72" t="str">
        <f>+'Thursday WK4 (26)'!A39</f>
        <v>2882619701</v>
      </c>
      <c r="AB39" s="72" t="str">
        <f>+'Friday WK4 (27)'!A39</f>
        <v xml:space="preserve"> </v>
      </c>
      <c r="AC39" s="72" t="str">
        <f>+'Saturday WK4 (28)'!A39</f>
        <v xml:space="preserve"> </v>
      </c>
      <c r="AD39" s="72" t="str">
        <f>+'Sunday WK5 (29)'!A39</f>
        <v xml:space="preserve"> </v>
      </c>
      <c r="AE39" s="72" t="str">
        <f>+'Monday WK5 (30)'!A39</f>
        <v xml:space="preserve"> </v>
      </c>
      <c r="AF39" s="72" t="str">
        <f>+'Tuesday WK5 (31)'!A39</f>
        <v xml:space="preserve"> </v>
      </c>
      <c r="AG39" s="72" t="str">
        <f>+'Wednesday WK5 (32)'!A39</f>
        <v xml:space="preserve"> </v>
      </c>
      <c r="AH39" s="72" t="str">
        <f>+'Thursday WK5 (33)'!A39</f>
        <v xml:space="preserve"> </v>
      </c>
      <c r="AI39" s="72" t="str">
        <f>+'Friday WK5 (34)'!A39</f>
        <v xml:space="preserve"> </v>
      </c>
      <c r="AJ39" s="72" t="str">
        <f>+'Saturday WK5 (35)'!A39</f>
        <v xml:space="preserve"> </v>
      </c>
    </row>
    <row r="40" spans="1:36" x14ac:dyDescent="0.25">
      <c r="A40" t="s">
        <v>962</v>
      </c>
      <c r="B40" s="72" t="str">
        <f>+'Sunday WK1 (1)'!A40</f>
        <v>5627677</v>
      </c>
      <c r="C40" s="72" t="str">
        <f>+'Monday WK1 (2)'!A40</f>
        <v xml:space="preserve"> </v>
      </c>
      <c r="D40" s="72" t="str">
        <f>+'Tuesday WK1 (3)'!A40</f>
        <v>7726174002</v>
      </c>
      <c r="E40" s="72" t="str">
        <f>+'Wednesday WK1 (4)'!A40</f>
        <v xml:space="preserve"> </v>
      </c>
      <c r="F40" s="72" t="str">
        <f>+'Thursday WK1 (5)'!A40</f>
        <v>5632195</v>
      </c>
      <c r="G40" s="72" t="str">
        <f>+'Friday WK1 (6)'!A40</f>
        <v xml:space="preserve"> </v>
      </c>
      <c r="H40" s="72" t="str">
        <f>+'Saturday WK1 (7)'!A40</f>
        <v xml:space="preserve"> </v>
      </c>
      <c r="I40" s="72" t="str">
        <f>+'Sunday WK2 (8)'!A40</f>
        <v>5635178</v>
      </c>
      <c r="J40" s="72" t="str">
        <f>+'Monday WK2 (9)'!A40</f>
        <v xml:space="preserve"> </v>
      </c>
      <c r="K40" s="72" t="str">
        <f>+'Tuesday WK2 (10)'!A40</f>
        <v>92794355</v>
      </c>
      <c r="L40" s="72" t="str">
        <f>+'Wednesday WK2 (11)'!A40</f>
        <v xml:space="preserve"> </v>
      </c>
      <c r="M40" s="72" t="str">
        <f>+'Thursday WK2 (12)'!A40</f>
        <v>6668860</v>
      </c>
      <c r="N40" s="72" t="str">
        <f>+'Friday WK2 (13)'!A40</f>
        <v xml:space="preserve"> </v>
      </c>
      <c r="O40" s="72" t="str">
        <f>+'Saturday WK2 (14)'!A40</f>
        <v xml:space="preserve"> </v>
      </c>
      <c r="P40" s="72" t="str">
        <f>+'Sunday WK3 (15)'!A40</f>
        <v>5642411</v>
      </c>
      <c r="Q40" s="72" t="str">
        <f>+'Monday WK3 (16)'!A40</f>
        <v xml:space="preserve"> </v>
      </c>
      <c r="R40" s="72" t="str">
        <f>+'Tuesday WK3 (17)'!A40</f>
        <v xml:space="preserve"> </v>
      </c>
      <c r="S40" s="72" t="str">
        <f>+'Wednesday WK3 (18)'!A40</f>
        <v xml:space="preserve"> </v>
      </c>
      <c r="T40" s="72" t="str">
        <f>+'Thursday WK3 (19)'!A40</f>
        <v>5647503A</v>
      </c>
      <c r="U40" s="72" t="str">
        <f>+'Friday WK3 (20)'!A40</f>
        <v xml:space="preserve"> </v>
      </c>
      <c r="V40" s="72" t="str">
        <f>+'Saturday WK3 (21)'!A40</f>
        <v xml:space="preserve"> </v>
      </c>
      <c r="W40" s="72" t="str">
        <f>+'Sunday WK4 (22)'!A40</f>
        <v>5651832</v>
      </c>
      <c r="X40" s="72" t="str">
        <f>+'Monday WK4 (23)'!A40</f>
        <v xml:space="preserve"> </v>
      </c>
      <c r="Y40" s="72" t="str">
        <f>+'Tuesday WK4 (24)'!A40</f>
        <v xml:space="preserve"> </v>
      </c>
      <c r="Z40" s="72" t="str">
        <f>+'Wednesday WK4 (25)'!A40</f>
        <v xml:space="preserve"> </v>
      </c>
      <c r="AA40" s="72" t="str">
        <f>+'Thursday WK4 (26)'!A40</f>
        <v>2882619702</v>
      </c>
      <c r="AB40" s="72" t="str">
        <f>+'Friday WK4 (27)'!A40</f>
        <v xml:space="preserve"> </v>
      </c>
      <c r="AC40" s="72" t="str">
        <f>+'Saturday WK4 (28)'!A40</f>
        <v xml:space="preserve"> </v>
      </c>
      <c r="AD40" s="72" t="str">
        <f>+'Sunday WK5 (29)'!A40</f>
        <v xml:space="preserve"> </v>
      </c>
      <c r="AE40" s="72" t="str">
        <f>+'Monday WK5 (30)'!A40</f>
        <v xml:space="preserve"> </v>
      </c>
      <c r="AF40" s="72" t="str">
        <f>+'Tuesday WK5 (31)'!A40</f>
        <v xml:space="preserve"> </v>
      </c>
      <c r="AG40" s="72" t="str">
        <f>+'Wednesday WK5 (32)'!A40</f>
        <v xml:space="preserve"> </v>
      </c>
      <c r="AH40" s="72" t="str">
        <f>+'Thursday WK5 (33)'!A40</f>
        <v xml:space="preserve"> </v>
      </c>
      <c r="AI40" s="72" t="str">
        <f>+'Friday WK5 (34)'!A40</f>
        <v xml:space="preserve"> </v>
      </c>
      <c r="AJ40" s="72" t="str">
        <f>+'Saturday WK5 (35)'!A40</f>
        <v xml:space="preserve"> </v>
      </c>
    </row>
    <row r="41" spans="1:36" x14ac:dyDescent="0.25">
      <c r="A41" t="s">
        <v>962</v>
      </c>
      <c r="B41" s="72" t="str">
        <f>+'Sunday WK1 (1)'!A41</f>
        <v>5628243</v>
      </c>
      <c r="C41" s="72" t="str">
        <f>+'Monday WK1 (2)'!A41</f>
        <v xml:space="preserve"> </v>
      </c>
      <c r="D41" s="72" t="str">
        <f>+'Tuesday WK1 (3)'!A41</f>
        <v>7726174001</v>
      </c>
      <c r="E41" s="72" t="str">
        <f>+'Wednesday WK1 (4)'!A41</f>
        <v xml:space="preserve"> </v>
      </c>
      <c r="F41" s="72" t="str">
        <f>+'Thursday WK1 (5)'!A41</f>
        <v>5632205</v>
      </c>
      <c r="G41" s="72" t="str">
        <f>+'Friday WK1 (6)'!A41</f>
        <v xml:space="preserve"> </v>
      </c>
      <c r="H41" s="72" t="str">
        <f>+'Saturday WK1 (7)'!A41</f>
        <v xml:space="preserve"> </v>
      </c>
      <c r="I41" s="72" t="str">
        <f>+'Sunday WK2 (8)'!A41</f>
        <v>5635520</v>
      </c>
      <c r="J41" s="72" t="str">
        <f>+'Monday WK2 (9)'!A41</f>
        <v xml:space="preserve"> </v>
      </c>
      <c r="K41" s="72" t="str">
        <f>+'Tuesday WK2 (10)'!A41</f>
        <v>77684065</v>
      </c>
      <c r="L41" s="72" t="str">
        <f>+'Wednesday WK2 (11)'!A41</f>
        <v xml:space="preserve"> </v>
      </c>
      <c r="M41" s="72" t="str">
        <f>+'Thursday WK2 (12)'!A41</f>
        <v>6669395</v>
      </c>
      <c r="N41" s="72" t="str">
        <f>+'Friday WK2 (13)'!A41</f>
        <v xml:space="preserve"> </v>
      </c>
      <c r="O41" s="72" t="str">
        <f>+'Saturday WK2 (14)'!A41</f>
        <v xml:space="preserve"> </v>
      </c>
      <c r="P41" s="72" t="str">
        <f>+'Sunday WK3 (15)'!A41</f>
        <v>5643425</v>
      </c>
      <c r="Q41" s="72" t="str">
        <f>+'Monday WK3 (16)'!A41</f>
        <v xml:space="preserve"> </v>
      </c>
      <c r="R41" s="72" t="str">
        <f>+'Tuesday WK3 (17)'!A41</f>
        <v xml:space="preserve"> </v>
      </c>
      <c r="S41" s="72" t="str">
        <f>+'Wednesday WK3 (18)'!A41</f>
        <v xml:space="preserve"> </v>
      </c>
      <c r="T41" s="72" t="str">
        <f>+'Thursday WK3 (19)'!A41</f>
        <v>53224643003</v>
      </c>
      <c r="U41" s="72" t="str">
        <f>+'Friday WK3 (20)'!A41</f>
        <v xml:space="preserve"> </v>
      </c>
      <c r="V41" s="72" t="str">
        <f>+'Saturday WK3 (21)'!A41</f>
        <v xml:space="preserve"> </v>
      </c>
      <c r="W41" s="72" t="str">
        <f>+'Sunday WK4 (22)'!A41</f>
        <v>5651833</v>
      </c>
      <c r="X41" s="72" t="str">
        <f>+'Monday WK4 (23)'!A41</f>
        <v xml:space="preserve"> </v>
      </c>
      <c r="Y41" s="72" t="str">
        <f>+'Tuesday WK4 (24)'!A41</f>
        <v xml:space="preserve"> </v>
      </c>
      <c r="Z41" s="72" t="str">
        <f>+'Wednesday WK4 (25)'!A41</f>
        <v xml:space="preserve"> </v>
      </c>
      <c r="AA41" s="72" t="str">
        <f>+'Thursday WK4 (26)'!A41</f>
        <v>2882619703</v>
      </c>
      <c r="AB41" s="72" t="str">
        <f>+'Friday WK4 (27)'!A41</f>
        <v xml:space="preserve"> </v>
      </c>
      <c r="AC41" s="72" t="str">
        <f>+'Saturday WK4 (28)'!A41</f>
        <v xml:space="preserve"> </v>
      </c>
      <c r="AD41" s="72" t="str">
        <f>+'Sunday WK5 (29)'!A41</f>
        <v xml:space="preserve"> </v>
      </c>
      <c r="AE41" s="72" t="str">
        <f>+'Monday WK5 (30)'!A41</f>
        <v xml:space="preserve"> </v>
      </c>
      <c r="AF41" s="72" t="str">
        <f>+'Tuesday WK5 (31)'!A41</f>
        <v xml:space="preserve"> </v>
      </c>
      <c r="AG41" s="72" t="str">
        <f>+'Wednesday WK5 (32)'!A41</f>
        <v xml:space="preserve"> </v>
      </c>
      <c r="AH41" s="72" t="str">
        <f>+'Thursday WK5 (33)'!A41</f>
        <v xml:space="preserve"> </v>
      </c>
      <c r="AI41" s="72" t="str">
        <f>+'Friday WK5 (34)'!A41</f>
        <v xml:space="preserve"> </v>
      </c>
      <c r="AJ41" s="72" t="str">
        <f>+'Saturday WK5 (35)'!A41</f>
        <v xml:space="preserve"> </v>
      </c>
    </row>
    <row r="42" spans="1:36" x14ac:dyDescent="0.25">
      <c r="A42" t="s">
        <v>962</v>
      </c>
      <c r="B42" s="72" t="str">
        <f>+'Sunday WK1 (1)'!A42</f>
        <v>5628265</v>
      </c>
      <c r="C42" s="72" t="str">
        <f>+'Monday WK1 (2)'!A42</f>
        <v xml:space="preserve"> </v>
      </c>
      <c r="D42" s="72" t="str">
        <f>+'Tuesday WK1 (3)'!A42</f>
        <v xml:space="preserve"> </v>
      </c>
      <c r="E42" s="72" t="str">
        <f>+'Wednesday WK1 (4)'!A42</f>
        <v xml:space="preserve"> </v>
      </c>
      <c r="F42" s="72" t="str">
        <f>+'Thursday WK1 (5)'!A42</f>
        <v>5631290</v>
      </c>
      <c r="G42" s="72" t="str">
        <f>+'Friday WK1 (6)'!A42</f>
        <v xml:space="preserve"> </v>
      </c>
      <c r="H42" s="72" t="str">
        <f>+'Saturday WK1 (7)'!A42</f>
        <v xml:space="preserve"> </v>
      </c>
      <c r="I42" s="72" t="str">
        <f>+'Sunday WK2 (8)'!A42</f>
        <v>5635521</v>
      </c>
      <c r="J42" s="72" t="str">
        <f>+'Monday WK2 (9)'!A42</f>
        <v xml:space="preserve"> </v>
      </c>
      <c r="K42" s="72" t="str">
        <f>+'Tuesday WK2 (10)'!A42</f>
        <v>7726181003</v>
      </c>
      <c r="L42" s="72" t="str">
        <f>+'Wednesday WK2 (11)'!A42</f>
        <v xml:space="preserve"> </v>
      </c>
      <c r="M42" s="72" t="str">
        <f>+'Thursday WK2 (12)'!A42</f>
        <v>126552</v>
      </c>
      <c r="N42" s="72" t="str">
        <f>+'Friday WK2 (13)'!A42</f>
        <v xml:space="preserve"> </v>
      </c>
      <c r="O42" s="72" t="str">
        <f>+'Saturday WK2 (14)'!A42</f>
        <v xml:space="preserve"> </v>
      </c>
      <c r="P42" s="72" t="str">
        <f>+'Sunday WK3 (15)'!A42</f>
        <v>5643626</v>
      </c>
      <c r="Q42" s="72" t="str">
        <f>+'Monday WK3 (16)'!A42</f>
        <v xml:space="preserve"> </v>
      </c>
      <c r="R42" s="72" t="str">
        <f>+'Tuesday WK3 (17)'!A42</f>
        <v xml:space="preserve"> </v>
      </c>
      <c r="S42" s="72" t="str">
        <f>+'Wednesday WK3 (18)'!A42</f>
        <v xml:space="preserve"> </v>
      </c>
      <c r="T42" s="72" t="str">
        <f>+'Thursday WK3 (19)'!A42</f>
        <v>126728</v>
      </c>
      <c r="U42" s="72" t="str">
        <f>+'Friday WK3 (20)'!A42</f>
        <v xml:space="preserve"> </v>
      </c>
      <c r="V42" s="72" t="str">
        <f>+'Saturday WK3 (21)'!A42</f>
        <v xml:space="preserve"> </v>
      </c>
      <c r="W42" s="72" t="str">
        <f>+'Sunday WK4 (22)'!A42</f>
        <v>5651952</v>
      </c>
      <c r="X42" s="72" t="str">
        <f>+'Monday WK4 (23)'!A42</f>
        <v xml:space="preserve"> </v>
      </c>
      <c r="Y42" s="72" t="str">
        <f>+'Tuesday WK4 (24)'!A42</f>
        <v xml:space="preserve"> </v>
      </c>
      <c r="Z42" s="72" t="str">
        <f>+'Wednesday WK4 (25)'!A42</f>
        <v xml:space="preserve"> </v>
      </c>
      <c r="AA42" s="72" t="str">
        <f>+'Thursday WK4 (26)'!A42</f>
        <v>2882619705</v>
      </c>
      <c r="AB42" s="72" t="str">
        <f>+'Friday WK4 (27)'!A42</f>
        <v xml:space="preserve"> </v>
      </c>
      <c r="AC42" s="72" t="str">
        <f>+'Saturday WK4 (28)'!A42</f>
        <v xml:space="preserve"> </v>
      </c>
      <c r="AD42" s="72" t="str">
        <f>+'Sunday WK5 (29)'!A42</f>
        <v xml:space="preserve"> </v>
      </c>
      <c r="AE42" s="72" t="str">
        <f>+'Monday WK5 (30)'!A42</f>
        <v xml:space="preserve"> </v>
      </c>
      <c r="AF42" s="72" t="str">
        <f>+'Tuesday WK5 (31)'!A42</f>
        <v xml:space="preserve"> </v>
      </c>
      <c r="AG42" s="72" t="str">
        <f>+'Wednesday WK5 (32)'!A42</f>
        <v xml:space="preserve"> </v>
      </c>
      <c r="AH42" s="72" t="str">
        <f>+'Thursday WK5 (33)'!A42</f>
        <v xml:space="preserve"> </v>
      </c>
      <c r="AI42" s="72" t="str">
        <f>+'Friday WK5 (34)'!A42</f>
        <v xml:space="preserve"> </v>
      </c>
      <c r="AJ42" s="72" t="str">
        <f>+'Saturday WK5 (35)'!A42</f>
        <v xml:space="preserve"> </v>
      </c>
    </row>
    <row r="43" spans="1:36" x14ac:dyDescent="0.25">
      <c r="A43" t="s">
        <v>962</v>
      </c>
      <c r="B43" s="72" t="str">
        <f>+'Sunday WK1 (1)'!A43</f>
        <v>5628266</v>
      </c>
      <c r="C43" s="72" t="str">
        <f>+'Monday WK1 (2)'!A43</f>
        <v xml:space="preserve"> </v>
      </c>
      <c r="D43" s="72" t="str">
        <f>+'Tuesday WK1 (3)'!A43</f>
        <v xml:space="preserve"> </v>
      </c>
      <c r="E43" s="72" t="str">
        <f>+'Wednesday WK1 (4)'!A43</f>
        <v xml:space="preserve"> </v>
      </c>
      <c r="F43" s="72" t="str">
        <f>+'Thursday WK1 (5)'!A43</f>
        <v>5631544</v>
      </c>
      <c r="G43" s="72" t="str">
        <f>+'Friday WK1 (6)'!A43</f>
        <v xml:space="preserve"> </v>
      </c>
      <c r="H43" s="72" t="str">
        <f>+'Saturday WK1 (7)'!A43</f>
        <v xml:space="preserve"> </v>
      </c>
      <c r="I43" s="72" t="str">
        <f>+'Sunday WK2 (8)'!A43</f>
        <v>5635709</v>
      </c>
      <c r="J43" s="72" t="str">
        <f>+'Monday WK2 (9)'!A43</f>
        <v xml:space="preserve"> </v>
      </c>
      <c r="K43" s="72" t="str">
        <f>+'Tuesday WK2 (10)'!A43</f>
        <v xml:space="preserve"> </v>
      </c>
      <c r="L43" s="72" t="str">
        <f>+'Wednesday WK2 (11)'!A43</f>
        <v xml:space="preserve"> </v>
      </c>
      <c r="M43" s="72" t="str">
        <f>+'Thursday WK2 (12)'!A43</f>
        <v>226650718381</v>
      </c>
      <c r="N43" s="72" t="str">
        <f>+'Friday WK2 (13)'!A43</f>
        <v xml:space="preserve"> </v>
      </c>
      <c r="O43" s="72" t="str">
        <f>+'Saturday WK2 (14)'!A43</f>
        <v xml:space="preserve"> </v>
      </c>
      <c r="P43" s="72" t="str">
        <f>+'Sunday WK3 (15)'!A43</f>
        <v>5643507</v>
      </c>
      <c r="Q43" s="72" t="str">
        <f>+'Monday WK3 (16)'!A43</f>
        <v xml:space="preserve"> </v>
      </c>
      <c r="R43" s="72" t="str">
        <f>+'Tuesday WK3 (17)'!A43</f>
        <v xml:space="preserve"> </v>
      </c>
      <c r="S43" s="72" t="str">
        <f>+'Wednesday WK3 (18)'!A43</f>
        <v xml:space="preserve"> </v>
      </c>
      <c r="T43" s="72" t="str">
        <f>+'Thursday WK3 (19)'!A43</f>
        <v>0117562</v>
      </c>
      <c r="U43" s="72" t="str">
        <f>+'Friday WK3 (20)'!A43</f>
        <v xml:space="preserve"> </v>
      </c>
      <c r="V43" s="72" t="str">
        <f>+'Saturday WK3 (21)'!A43</f>
        <v xml:space="preserve"> </v>
      </c>
      <c r="W43" s="72" t="str">
        <f>+'Sunday WK4 (22)'!A43</f>
        <v>5652050</v>
      </c>
      <c r="X43" s="72" t="str">
        <f>+'Monday WK4 (23)'!A43</f>
        <v xml:space="preserve"> </v>
      </c>
      <c r="Y43" s="72" t="str">
        <f>+'Tuesday WK4 (24)'!A43</f>
        <v xml:space="preserve"> </v>
      </c>
      <c r="Z43" s="72" t="str">
        <f>+'Wednesday WK4 (25)'!A43</f>
        <v xml:space="preserve"> </v>
      </c>
      <c r="AA43" s="72" t="str">
        <f>+'Thursday WK4 (26)'!A43</f>
        <v>95884740</v>
      </c>
      <c r="AB43" s="72" t="str">
        <f>+'Friday WK4 (27)'!A43</f>
        <v xml:space="preserve"> </v>
      </c>
      <c r="AC43" s="72" t="str">
        <f>+'Saturday WK4 (28)'!A43</f>
        <v xml:space="preserve"> </v>
      </c>
      <c r="AD43" s="72" t="str">
        <f>+'Sunday WK5 (29)'!A43</f>
        <v xml:space="preserve"> </v>
      </c>
      <c r="AE43" s="72" t="str">
        <f>+'Monday WK5 (30)'!A43</f>
        <v xml:space="preserve"> </v>
      </c>
      <c r="AF43" s="72" t="str">
        <f>+'Tuesday WK5 (31)'!A43</f>
        <v xml:space="preserve"> </v>
      </c>
      <c r="AG43" s="72" t="str">
        <f>+'Wednesday WK5 (32)'!A43</f>
        <v xml:space="preserve"> </v>
      </c>
      <c r="AH43" s="72" t="str">
        <f>+'Thursday WK5 (33)'!A43</f>
        <v xml:space="preserve"> </v>
      </c>
      <c r="AI43" s="72" t="str">
        <f>+'Friday WK5 (34)'!A43</f>
        <v xml:space="preserve"> </v>
      </c>
      <c r="AJ43" s="72" t="str">
        <f>+'Saturday WK5 (35)'!A43</f>
        <v xml:space="preserve"> </v>
      </c>
    </row>
    <row r="44" spans="1:36" x14ac:dyDescent="0.25">
      <c r="A44" t="s">
        <v>962</v>
      </c>
      <c r="B44" s="72" t="str">
        <f>+'Sunday WK1 (1)'!A44</f>
        <v>5628288</v>
      </c>
      <c r="C44" s="72" t="str">
        <f>+'Monday WK1 (2)'!A44</f>
        <v xml:space="preserve"> </v>
      </c>
      <c r="D44" s="72" t="str">
        <f>+'Tuesday WK1 (3)'!A44</f>
        <v xml:space="preserve"> </v>
      </c>
      <c r="E44" s="72" t="str">
        <f>+'Wednesday WK1 (4)'!A44</f>
        <v xml:space="preserve"> </v>
      </c>
      <c r="F44" s="72" t="str">
        <f>+'Thursday WK1 (5)'!A44</f>
        <v>5632780</v>
      </c>
      <c r="G44" s="72" t="str">
        <f>+'Friday WK1 (6)'!A44</f>
        <v xml:space="preserve"> </v>
      </c>
      <c r="H44" s="72" t="str">
        <f>+'Saturday WK1 (7)'!A44</f>
        <v xml:space="preserve"> </v>
      </c>
      <c r="I44" s="72" t="str">
        <f>+'Sunday WK2 (8)'!A44</f>
        <v>5635828</v>
      </c>
      <c r="J44" s="72" t="str">
        <f>+'Monday WK2 (9)'!A44</f>
        <v xml:space="preserve"> </v>
      </c>
      <c r="K44" s="72" t="str">
        <f>+'Tuesday WK2 (10)'!A44</f>
        <v xml:space="preserve"> </v>
      </c>
      <c r="L44" s="72" t="str">
        <f>+'Wednesday WK2 (11)'!A44</f>
        <v xml:space="preserve"> </v>
      </c>
      <c r="M44" s="72" t="str">
        <f>+'Thursday WK2 (12)'!A44</f>
        <v>1120443</v>
      </c>
      <c r="N44" s="72" t="str">
        <f>+'Friday WK2 (13)'!A44</f>
        <v xml:space="preserve"> </v>
      </c>
      <c r="O44" s="72" t="str">
        <f>+'Saturday WK2 (14)'!A44</f>
        <v xml:space="preserve"> </v>
      </c>
      <c r="P44" s="72" t="str">
        <f>+'Sunday WK3 (15)'!A44</f>
        <v>5643592</v>
      </c>
      <c r="Q44" s="72" t="str">
        <f>+'Monday WK3 (16)'!A44</f>
        <v xml:space="preserve"> </v>
      </c>
      <c r="R44" s="72" t="str">
        <f>+'Tuesday WK3 (17)'!A44</f>
        <v xml:space="preserve"> </v>
      </c>
      <c r="S44" s="72" t="str">
        <f>+'Wednesday WK3 (18)'!A44</f>
        <v xml:space="preserve"> </v>
      </c>
      <c r="T44" s="72" t="str">
        <f>+'Thursday WK3 (19)'!A44</f>
        <v>226650719094</v>
      </c>
      <c r="U44" s="72" t="str">
        <f>+'Friday WK3 (20)'!A44</f>
        <v xml:space="preserve"> </v>
      </c>
      <c r="V44" s="72" t="str">
        <f>+'Saturday WK3 (21)'!A44</f>
        <v xml:space="preserve"> </v>
      </c>
      <c r="W44" s="72" t="str">
        <f>+'Sunday WK4 (22)'!A44</f>
        <v>5652051</v>
      </c>
      <c r="X44" s="72" t="str">
        <f>+'Monday WK4 (23)'!A44</f>
        <v xml:space="preserve"> </v>
      </c>
      <c r="Y44" s="72" t="str">
        <f>+'Tuesday WK4 (24)'!A44</f>
        <v xml:space="preserve"> </v>
      </c>
      <c r="Z44" s="72" t="str">
        <f>+'Wednesday WK4 (25)'!A44</f>
        <v xml:space="preserve"> </v>
      </c>
      <c r="AA44" s="72" t="str">
        <f>+'Thursday WK4 (26)'!A44</f>
        <v>6702175</v>
      </c>
      <c r="AB44" s="72" t="str">
        <f>+'Friday WK4 (27)'!A44</f>
        <v xml:space="preserve"> </v>
      </c>
      <c r="AC44" s="72" t="str">
        <f>+'Saturday WK4 (28)'!A44</f>
        <v xml:space="preserve"> </v>
      </c>
      <c r="AD44" s="72" t="str">
        <f>+'Sunday WK5 (29)'!A44</f>
        <v xml:space="preserve"> </v>
      </c>
      <c r="AE44" s="72" t="str">
        <f>+'Monday WK5 (30)'!A44</f>
        <v xml:space="preserve"> </v>
      </c>
      <c r="AF44" s="72" t="str">
        <f>+'Tuesday WK5 (31)'!A44</f>
        <v xml:space="preserve"> </v>
      </c>
      <c r="AG44" s="72" t="str">
        <f>+'Wednesday WK5 (32)'!A44</f>
        <v xml:space="preserve"> </v>
      </c>
      <c r="AH44" s="72" t="str">
        <f>+'Thursday WK5 (33)'!A44</f>
        <v xml:space="preserve"> </v>
      </c>
      <c r="AI44" s="72" t="str">
        <f>+'Friday WK5 (34)'!A44</f>
        <v xml:space="preserve"> </v>
      </c>
      <c r="AJ44" s="72" t="str">
        <f>+'Saturday WK5 (35)'!A44</f>
        <v xml:space="preserve"> </v>
      </c>
    </row>
    <row r="45" spans="1:36" x14ac:dyDescent="0.25">
      <c r="A45" t="s">
        <v>962</v>
      </c>
      <c r="B45" s="72" t="str">
        <f>+'Sunday WK1 (1)'!A45</f>
        <v>5628408</v>
      </c>
      <c r="C45" s="72" t="str">
        <f>+'Monday WK1 (2)'!A45</f>
        <v xml:space="preserve"> </v>
      </c>
      <c r="D45" s="72" t="str">
        <f>+'Tuesday WK1 (3)'!A45</f>
        <v xml:space="preserve"> </v>
      </c>
      <c r="E45" s="72" t="str">
        <f>+'Wednesday WK1 (4)'!A45</f>
        <v xml:space="preserve"> </v>
      </c>
      <c r="F45" s="72" t="str">
        <f>+'Thursday WK1 (5)'!A45</f>
        <v>5632848</v>
      </c>
      <c r="G45" s="72" t="str">
        <f>+'Friday WK1 (6)'!A45</f>
        <v xml:space="preserve"> </v>
      </c>
      <c r="H45" s="72" t="str">
        <f>+'Saturday WK1 (7)'!A45</f>
        <v xml:space="preserve"> </v>
      </c>
      <c r="I45" s="72" t="str">
        <f>+'Sunday WK2 (8)'!A45</f>
        <v>5636043</v>
      </c>
      <c r="J45" s="72" t="str">
        <f>+'Monday WK2 (9)'!A45</f>
        <v xml:space="preserve"> </v>
      </c>
      <c r="K45" s="72" t="str">
        <f>+'Tuesday WK2 (10)'!A45</f>
        <v xml:space="preserve"> </v>
      </c>
      <c r="L45" s="72" t="str">
        <f>+'Wednesday WK2 (11)'!A45</f>
        <v xml:space="preserve"> </v>
      </c>
      <c r="M45" s="72" t="str">
        <f>+'Thursday WK2 (12)'!A45</f>
        <v>2882618305</v>
      </c>
      <c r="N45" s="72" t="str">
        <f>+'Friday WK2 (13)'!A45</f>
        <v xml:space="preserve"> </v>
      </c>
      <c r="O45" s="72" t="str">
        <f>+'Saturday WK2 (14)'!A45</f>
        <v xml:space="preserve"> </v>
      </c>
      <c r="P45" s="72" t="str">
        <f>+'Sunday WK3 (15)'!A45</f>
        <v>5643739</v>
      </c>
      <c r="Q45" s="72" t="str">
        <f>+'Monday WK3 (16)'!A45</f>
        <v xml:space="preserve"> </v>
      </c>
      <c r="R45" s="72" t="str">
        <f>+'Tuesday WK3 (17)'!A45</f>
        <v xml:space="preserve"> </v>
      </c>
      <c r="S45" s="72" t="str">
        <f>+'Wednesday WK3 (18)'!A45</f>
        <v xml:space="preserve"> </v>
      </c>
      <c r="T45" s="72" t="str">
        <f>+'Thursday WK3 (19)'!A45</f>
        <v>226650719095</v>
      </c>
      <c r="U45" s="72" t="str">
        <f>+'Friday WK3 (20)'!A45</f>
        <v xml:space="preserve"> </v>
      </c>
      <c r="V45" s="72" t="str">
        <f>+'Saturday WK3 (21)'!A45</f>
        <v xml:space="preserve"> </v>
      </c>
      <c r="W45" s="72" t="str">
        <f>+'Sunday WK4 (22)'!A45</f>
        <v>5647665</v>
      </c>
      <c r="X45" s="72" t="str">
        <f>+'Monday WK4 (23)'!A45</f>
        <v xml:space="preserve"> </v>
      </c>
      <c r="Y45" s="72" t="str">
        <f>+'Tuesday WK4 (24)'!A45</f>
        <v xml:space="preserve"> </v>
      </c>
      <c r="Z45" s="72" t="str">
        <f>+'Wednesday WK4 (25)'!A45</f>
        <v xml:space="preserve"> </v>
      </c>
      <c r="AA45" s="72" t="str">
        <f>+'Thursday WK4 (26)'!A45</f>
        <v xml:space="preserve"> </v>
      </c>
      <c r="AB45" s="72" t="str">
        <f>+'Friday WK4 (27)'!A45</f>
        <v xml:space="preserve"> </v>
      </c>
      <c r="AC45" s="72" t="str">
        <f>+'Saturday WK4 (28)'!A45</f>
        <v xml:space="preserve"> </v>
      </c>
      <c r="AD45" s="72" t="str">
        <f>+'Sunday WK5 (29)'!A45</f>
        <v xml:space="preserve"> </v>
      </c>
      <c r="AE45" s="72" t="str">
        <f>+'Monday WK5 (30)'!A45</f>
        <v xml:space="preserve"> </v>
      </c>
      <c r="AF45" s="72" t="str">
        <f>+'Tuesday WK5 (31)'!A45</f>
        <v xml:space="preserve"> </v>
      </c>
      <c r="AG45" s="72" t="str">
        <f>+'Wednesday WK5 (32)'!A45</f>
        <v xml:space="preserve"> </v>
      </c>
      <c r="AH45" s="72" t="str">
        <f>+'Thursday WK5 (33)'!A45</f>
        <v xml:space="preserve"> </v>
      </c>
      <c r="AI45" s="72" t="str">
        <f>+'Friday WK5 (34)'!A45</f>
        <v xml:space="preserve"> </v>
      </c>
      <c r="AJ45" s="72" t="str">
        <f>+'Saturday WK5 (35)'!A45</f>
        <v xml:space="preserve"> </v>
      </c>
    </row>
    <row r="46" spans="1:36" x14ac:dyDescent="0.25">
      <c r="A46" t="s">
        <v>962</v>
      </c>
      <c r="B46" s="72" t="str">
        <f>+'Sunday WK1 (1)'!A46</f>
        <v>6637875</v>
      </c>
      <c r="C46" s="72" t="str">
        <f>+'Monday WK1 (2)'!A46</f>
        <v xml:space="preserve"> </v>
      </c>
      <c r="D46" s="72" t="str">
        <f>+'Tuesday WK1 (3)'!A46</f>
        <v xml:space="preserve"> </v>
      </c>
      <c r="E46" s="72" t="str">
        <f>+'Wednesday WK1 (4)'!A46</f>
        <v xml:space="preserve"> </v>
      </c>
      <c r="F46" s="72" t="str">
        <f>+'Thursday WK1 (5)'!A46</f>
        <v>5632967</v>
      </c>
      <c r="G46" s="72" t="str">
        <f>+'Friday WK1 (6)'!A46</f>
        <v xml:space="preserve"> </v>
      </c>
      <c r="H46" s="72" t="str">
        <f>+'Saturday WK1 (7)'!A46</f>
        <v xml:space="preserve"> </v>
      </c>
      <c r="I46" s="72" t="str">
        <f>+'Sunday WK2 (8)'!A46</f>
        <v>5635179</v>
      </c>
      <c r="J46" s="72" t="str">
        <f>+'Monday WK2 (9)'!A46</f>
        <v xml:space="preserve"> </v>
      </c>
      <c r="K46" s="72" t="str">
        <f>+'Tuesday WK2 (10)'!A46</f>
        <v xml:space="preserve"> </v>
      </c>
      <c r="L46" s="72" t="str">
        <f>+'Wednesday WK2 (11)'!A46</f>
        <v xml:space="preserve"> </v>
      </c>
      <c r="M46" s="72" t="str">
        <f>+'Thursday WK2 (12)'!A46</f>
        <v>2882618307</v>
      </c>
      <c r="N46" s="72" t="str">
        <f>+'Friday WK2 (13)'!A46</f>
        <v xml:space="preserve"> </v>
      </c>
      <c r="O46" s="72" t="str">
        <f>+'Saturday WK2 (14)'!A46</f>
        <v xml:space="preserve"> </v>
      </c>
      <c r="P46" s="72" t="str">
        <f>+'Sunday WK3 (15)'!A46</f>
        <v>5643101</v>
      </c>
      <c r="Q46" s="72" t="str">
        <f>+'Monday WK3 (16)'!A46</f>
        <v xml:space="preserve"> </v>
      </c>
      <c r="R46" s="72" t="str">
        <f>+'Tuesday WK3 (17)'!A46</f>
        <v xml:space="preserve"> </v>
      </c>
      <c r="S46" s="72" t="str">
        <f>+'Wednesday WK3 (18)'!A46</f>
        <v xml:space="preserve"> </v>
      </c>
      <c r="T46" s="72" t="str">
        <f>+'Thursday WK3 (19)'!A46</f>
        <v>2882619002</v>
      </c>
      <c r="U46" s="72" t="str">
        <f>+'Friday WK3 (20)'!A46</f>
        <v xml:space="preserve"> </v>
      </c>
      <c r="V46" s="72" t="str">
        <f>+'Saturday WK3 (21)'!A46</f>
        <v xml:space="preserve"> </v>
      </c>
      <c r="W46" s="72" t="str">
        <f>+'Sunday WK4 (22)'!A46</f>
        <v>5652283</v>
      </c>
      <c r="X46" s="72" t="str">
        <f>+'Monday WK4 (23)'!A46</f>
        <v xml:space="preserve"> </v>
      </c>
      <c r="Y46" s="72" t="str">
        <f>+'Tuesday WK4 (24)'!A46</f>
        <v xml:space="preserve"> </v>
      </c>
      <c r="Z46" s="72" t="str">
        <f>+'Wednesday WK4 (25)'!A46</f>
        <v xml:space="preserve"> </v>
      </c>
      <c r="AA46" s="72" t="str">
        <f>+'Thursday WK4 (26)'!A46</f>
        <v xml:space="preserve"> </v>
      </c>
      <c r="AB46" s="72" t="str">
        <f>+'Friday WK4 (27)'!A46</f>
        <v xml:space="preserve"> </v>
      </c>
      <c r="AC46" s="72" t="str">
        <f>+'Saturday WK4 (28)'!A46</f>
        <v xml:space="preserve"> </v>
      </c>
      <c r="AD46" s="72" t="str">
        <f>+'Sunday WK5 (29)'!A46</f>
        <v xml:space="preserve"> </v>
      </c>
      <c r="AE46" s="72" t="str">
        <f>+'Monday WK5 (30)'!A46</f>
        <v xml:space="preserve"> </v>
      </c>
      <c r="AF46" s="72" t="str">
        <f>+'Tuesday WK5 (31)'!A46</f>
        <v xml:space="preserve"> </v>
      </c>
      <c r="AG46" s="72" t="str">
        <f>+'Wednesday WK5 (32)'!A46</f>
        <v xml:space="preserve"> </v>
      </c>
      <c r="AH46" s="72" t="str">
        <f>+'Thursday WK5 (33)'!A46</f>
        <v xml:space="preserve"> </v>
      </c>
      <c r="AI46" s="72" t="str">
        <f>+'Friday WK5 (34)'!A46</f>
        <v xml:space="preserve"> </v>
      </c>
      <c r="AJ46" s="72" t="str">
        <f>+'Saturday WK5 (35)'!A46</f>
        <v xml:space="preserve"> </v>
      </c>
    </row>
    <row r="47" spans="1:36" x14ac:dyDescent="0.25">
      <c r="A47" t="s">
        <v>962</v>
      </c>
      <c r="B47" s="72" t="str">
        <f>+'Sunday WK1 (1)'!A47</f>
        <v>6637876</v>
      </c>
      <c r="C47" s="72" t="str">
        <f>+'Monday WK1 (2)'!A47</f>
        <v xml:space="preserve"> </v>
      </c>
      <c r="D47" s="72" t="str">
        <f>+'Tuesday WK1 (3)'!A47</f>
        <v xml:space="preserve"> </v>
      </c>
      <c r="E47" s="72" t="str">
        <f>+'Wednesday WK1 (4)'!A47</f>
        <v xml:space="preserve"> </v>
      </c>
      <c r="F47" s="72" t="str">
        <f>+'Thursday WK1 (5)'!A47</f>
        <v>SO185631</v>
      </c>
      <c r="G47" s="72" t="str">
        <f>+'Friday WK1 (6)'!A47</f>
        <v xml:space="preserve"> </v>
      </c>
      <c r="H47" s="72" t="str">
        <f>+'Saturday WK1 (7)'!A47</f>
        <v xml:space="preserve"> </v>
      </c>
      <c r="I47" s="72" t="str">
        <f>+'Sunday WK2 (8)'!A47</f>
        <v>5635603</v>
      </c>
      <c r="J47" s="72" t="str">
        <f>+'Monday WK2 (9)'!A47</f>
        <v xml:space="preserve"> </v>
      </c>
      <c r="K47" s="72" t="str">
        <f>+'Tuesday WK2 (10)'!A47</f>
        <v xml:space="preserve"> </v>
      </c>
      <c r="L47" s="72" t="str">
        <f>+'Wednesday WK2 (11)'!A47</f>
        <v xml:space="preserve"> </v>
      </c>
      <c r="M47" s="72" t="str">
        <f>+'Thursday WK2 (12)'!A47</f>
        <v>2882618306</v>
      </c>
      <c r="N47" s="72" t="str">
        <f>+'Friday WK2 (13)'!A47</f>
        <v xml:space="preserve"> </v>
      </c>
      <c r="O47" s="72" t="str">
        <f>+'Saturday WK2 (14)'!A47</f>
        <v xml:space="preserve"> </v>
      </c>
      <c r="P47" s="72" t="str">
        <f>+'Sunday WK3 (15)'!A47</f>
        <v>5643866</v>
      </c>
      <c r="Q47" s="72" t="str">
        <f>+'Monday WK3 (16)'!A47</f>
        <v xml:space="preserve"> </v>
      </c>
      <c r="R47" s="72" t="str">
        <f>+'Tuesday WK3 (17)'!A47</f>
        <v xml:space="preserve"> </v>
      </c>
      <c r="S47" s="72" t="str">
        <f>+'Wednesday WK3 (18)'!A47</f>
        <v xml:space="preserve"> </v>
      </c>
      <c r="T47" s="72" t="str">
        <f>+'Thursday WK3 (19)'!A47</f>
        <v>2882619001</v>
      </c>
      <c r="U47" s="72" t="str">
        <f>+'Friday WK3 (20)'!A47</f>
        <v xml:space="preserve"> </v>
      </c>
      <c r="V47" s="72" t="str">
        <f>+'Saturday WK3 (21)'!A47</f>
        <v xml:space="preserve"> </v>
      </c>
      <c r="W47" s="72" t="str">
        <f>+'Sunday WK4 (22)'!A47</f>
        <v>5652376</v>
      </c>
      <c r="X47" s="72" t="str">
        <f>+'Monday WK4 (23)'!A47</f>
        <v xml:space="preserve"> </v>
      </c>
      <c r="Y47" s="72" t="str">
        <f>+'Tuesday WK4 (24)'!A47</f>
        <v xml:space="preserve"> </v>
      </c>
      <c r="Z47" s="72" t="str">
        <f>+'Wednesday WK4 (25)'!A47</f>
        <v xml:space="preserve"> </v>
      </c>
      <c r="AA47" s="72" t="str">
        <f>+'Thursday WK4 (26)'!A47</f>
        <v xml:space="preserve"> </v>
      </c>
      <c r="AB47" s="72" t="str">
        <f>+'Friday WK4 (27)'!A47</f>
        <v xml:space="preserve"> </v>
      </c>
      <c r="AC47" s="72" t="str">
        <f>+'Saturday WK4 (28)'!A47</f>
        <v xml:space="preserve"> </v>
      </c>
      <c r="AD47" s="72" t="str">
        <f>+'Sunday WK5 (29)'!A47</f>
        <v xml:space="preserve"> </v>
      </c>
      <c r="AE47" s="72" t="str">
        <f>+'Monday WK5 (30)'!A47</f>
        <v xml:space="preserve"> </v>
      </c>
      <c r="AF47" s="72" t="str">
        <f>+'Tuesday WK5 (31)'!A47</f>
        <v xml:space="preserve"> </v>
      </c>
      <c r="AG47" s="72" t="str">
        <f>+'Wednesday WK5 (32)'!A47</f>
        <v xml:space="preserve"> </v>
      </c>
      <c r="AH47" s="72" t="str">
        <f>+'Thursday WK5 (33)'!A47</f>
        <v xml:space="preserve"> </v>
      </c>
      <c r="AI47" s="72" t="str">
        <f>+'Friday WK5 (34)'!A47</f>
        <v xml:space="preserve"> </v>
      </c>
      <c r="AJ47" s="72" t="str">
        <f>+'Saturday WK5 (35)'!A47</f>
        <v xml:space="preserve"> </v>
      </c>
    </row>
    <row r="48" spans="1:36" x14ac:dyDescent="0.25">
      <c r="A48" t="s">
        <v>962</v>
      </c>
      <c r="B48" s="72" t="str">
        <f>+'Sunday WK1 (1)'!A48</f>
        <v>6648548</v>
      </c>
      <c r="C48" s="72" t="str">
        <f>+'Monday WK1 (2)'!A48</f>
        <v xml:space="preserve"> </v>
      </c>
      <c r="D48" s="72" t="str">
        <f>+'Tuesday WK1 (3)'!A48</f>
        <v xml:space="preserve"> </v>
      </c>
      <c r="E48" s="72" t="str">
        <f>+'Wednesday WK1 (4)'!A48</f>
        <v xml:space="preserve"> </v>
      </c>
      <c r="F48" s="72" t="str">
        <f>+'Thursday WK1 (5)'!A48</f>
        <v>226650717652</v>
      </c>
      <c r="G48" s="72" t="str">
        <f>+'Friday WK1 (6)'!A48</f>
        <v xml:space="preserve"> </v>
      </c>
      <c r="H48" s="72" t="str">
        <f>+'Saturday WK1 (7)'!A48</f>
        <v xml:space="preserve"> </v>
      </c>
      <c r="I48" s="72" t="str">
        <f>+'Sunday WK2 (8)'!A48</f>
        <v>5636232</v>
      </c>
      <c r="J48" s="72" t="str">
        <f>+'Monday WK2 (9)'!A48</f>
        <v xml:space="preserve"> </v>
      </c>
      <c r="K48" s="72" t="str">
        <f>+'Tuesday WK2 (10)'!A48</f>
        <v xml:space="preserve"> </v>
      </c>
      <c r="L48" s="72" t="str">
        <f>+'Wednesday WK2 (11)'!A48</f>
        <v xml:space="preserve"> </v>
      </c>
      <c r="M48" s="72" t="str">
        <f>+'Thursday WK2 (12)'!A48</f>
        <v xml:space="preserve"> </v>
      </c>
      <c r="N48" s="72" t="str">
        <f>+'Friday WK2 (13)'!A48</f>
        <v xml:space="preserve"> </v>
      </c>
      <c r="O48" s="72" t="str">
        <f>+'Saturday WK2 (14)'!A48</f>
        <v xml:space="preserve"> </v>
      </c>
      <c r="P48" s="72" t="str">
        <f>+'Sunday WK3 (15)'!A48</f>
        <v>5643905</v>
      </c>
      <c r="Q48" s="72" t="str">
        <f>+'Monday WK3 (16)'!A48</f>
        <v xml:space="preserve"> </v>
      </c>
      <c r="R48" s="72" t="str">
        <f>+'Tuesday WK3 (17)'!A48</f>
        <v xml:space="preserve"> </v>
      </c>
      <c r="S48" s="72" t="str">
        <f>+'Wednesday WK3 (18)'!A48</f>
        <v xml:space="preserve"> </v>
      </c>
      <c r="T48" s="72" t="str">
        <f>+'Thursday WK3 (19)'!A48</f>
        <v>2882619003</v>
      </c>
      <c r="U48" s="72" t="str">
        <f>+'Friday WK3 (20)'!A48</f>
        <v xml:space="preserve"> </v>
      </c>
      <c r="V48" s="72" t="str">
        <f>+'Saturday WK3 (21)'!A48</f>
        <v xml:space="preserve"> </v>
      </c>
      <c r="W48" s="72" t="str">
        <f>+'Sunday WK4 (22)'!A48</f>
        <v>5652529</v>
      </c>
      <c r="X48" s="72" t="str">
        <f>+'Monday WK4 (23)'!A48</f>
        <v xml:space="preserve"> </v>
      </c>
      <c r="Y48" s="72" t="str">
        <f>+'Tuesday WK4 (24)'!A48</f>
        <v xml:space="preserve"> </v>
      </c>
      <c r="Z48" s="72" t="str">
        <f>+'Wednesday WK4 (25)'!A48</f>
        <v xml:space="preserve"> </v>
      </c>
      <c r="AA48" s="72" t="str">
        <f>+'Thursday WK4 (26)'!A48</f>
        <v xml:space="preserve"> </v>
      </c>
      <c r="AB48" s="72" t="str">
        <f>+'Friday WK4 (27)'!A48</f>
        <v xml:space="preserve"> </v>
      </c>
      <c r="AC48" s="72" t="str">
        <f>+'Saturday WK4 (28)'!A48</f>
        <v xml:space="preserve"> </v>
      </c>
      <c r="AD48" s="72" t="str">
        <f>+'Sunday WK5 (29)'!A48</f>
        <v xml:space="preserve"> </v>
      </c>
      <c r="AE48" s="72" t="str">
        <f>+'Monday WK5 (30)'!A48</f>
        <v xml:space="preserve"> </v>
      </c>
      <c r="AF48" s="72" t="str">
        <f>+'Tuesday WK5 (31)'!A48</f>
        <v xml:space="preserve"> </v>
      </c>
      <c r="AG48" s="72" t="str">
        <f>+'Wednesday WK5 (32)'!A48</f>
        <v xml:space="preserve"> </v>
      </c>
      <c r="AH48" s="72" t="str">
        <f>+'Thursday WK5 (33)'!A48</f>
        <v xml:space="preserve"> </v>
      </c>
      <c r="AI48" s="72" t="str">
        <f>+'Friday WK5 (34)'!A48</f>
        <v xml:space="preserve"> </v>
      </c>
      <c r="AJ48" s="72" t="str">
        <f>+'Saturday WK5 (35)'!A48</f>
        <v xml:space="preserve"> </v>
      </c>
    </row>
    <row r="49" spans="1:36" x14ac:dyDescent="0.25">
      <c r="A49" t="s">
        <v>962</v>
      </c>
      <c r="B49" s="72" t="str">
        <f>+'Sunday WK1 (1)'!A49</f>
        <v>6648549</v>
      </c>
      <c r="C49" s="72" t="str">
        <f>+'Monday WK1 (2)'!A49</f>
        <v xml:space="preserve"> </v>
      </c>
      <c r="D49" s="72" t="str">
        <f>+'Tuesday WK1 (3)'!A49</f>
        <v xml:space="preserve"> </v>
      </c>
      <c r="E49" s="72" t="str">
        <f>+'Wednesday WK1 (4)'!A49</f>
        <v xml:space="preserve"> </v>
      </c>
      <c r="F49" s="72" t="str">
        <f>+'Thursday WK1 (5)'!A49</f>
        <v>53003562004</v>
      </c>
      <c r="G49" s="72" t="str">
        <f>+'Friday WK1 (6)'!A49</f>
        <v xml:space="preserve"> </v>
      </c>
      <c r="H49" s="72" t="str">
        <f>+'Saturday WK1 (7)'!A49</f>
        <v xml:space="preserve"> </v>
      </c>
      <c r="I49" s="72" t="str">
        <f>+'Sunday WK2 (8)'!A49</f>
        <v>5636233</v>
      </c>
      <c r="J49" s="72" t="str">
        <f>+'Monday WK2 (9)'!A49</f>
        <v xml:space="preserve"> </v>
      </c>
      <c r="K49" s="72" t="str">
        <f>+'Tuesday WK2 (10)'!B49</f>
        <v xml:space="preserve"> </v>
      </c>
      <c r="L49" s="72" t="str">
        <f>+'Wednesday WK2 (11)'!A49</f>
        <v xml:space="preserve"> </v>
      </c>
      <c r="M49" s="72" t="str">
        <f>+'Thursday WK2 (12)'!A49</f>
        <v xml:space="preserve"> </v>
      </c>
      <c r="N49" s="72" t="str">
        <f>+'Friday WK2 (13)'!A49</f>
        <v xml:space="preserve"> </v>
      </c>
      <c r="O49" s="72" t="str">
        <f>+'Saturday WK2 (14)'!A49</f>
        <v xml:space="preserve"> </v>
      </c>
      <c r="P49" s="72" t="str">
        <f>+'Sunday WK3 (15)'!A49</f>
        <v>5644070</v>
      </c>
      <c r="Q49" s="72" t="str">
        <f>+'Monday WK3 (16)'!A49</f>
        <v xml:space="preserve"> </v>
      </c>
      <c r="R49" s="72" t="str">
        <f>+'Tuesday WK3 (17)'!A49</f>
        <v xml:space="preserve"> </v>
      </c>
      <c r="S49" s="72" t="str">
        <f>+'Wednesday WK3 (18)'!A49</f>
        <v xml:space="preserve"> </v>
      </c>
      <c r="T49" s="72" t="str">
        <f>+'Thursday WK3 (19)'!A49</f>
        <v>2882619004</v>
      </c>
      <c r="U49" s="72" t="str">
        <f>+'Friday WK3 (20)'!A49</f>
        <v xml:space="preserve"> </v>
      </c>
      <c r="V49" s="72" t="str">
        <f>+'Saturday WK3 (21)'!A49</f>
        <v xml:space="preserve"> </v>
      </c>
      <c r="W49" s="72" t="str">
        <f>+'Sunday WK4 (22)'!A49</f>
        <v>5652530</v>
      </c>
      <c r="X49" s="72" t="str">
        <f>+'Monday WK4 (23)'!A49</f>
        <v xml:space="preserve"> </v>
      </c>
      <c r="Y49" s="72" t="str">
        <f>+'Tuesday WK4 (24)'!A49</f>
        <v xml:space="preserve"> </v>
      </c>
      <c r="Z49" s="72" t="str">
        <f>+'Wednesday WK4 (25)'!A49</f>
        <v xml:space="preserve"> </v>
      </c>
      <c r="AA49" s="72" t="str">
        <f>+'Thursday WK4 (26)'!A49</f>
        <v xml:space="preserve"> </v>
      </c>
      <c r="AB49" s="72" t="str">
        <f>+'Friday WK4 (27)'!A49</f>
        <v xml:space="preserve"> </v>
      </c>
      <c r="AC49" s="72" t="str">
        <f>+'Saturday WK4 (28)'!A49</f>
        <v xml:space="preserve"> </v>
      </c>
      <c r="AD49" s="72" t="str">
        <f>+'Sunday WK5 (29)'!A49</f>
        <v xml:space="preserve"> </v>
      </c>
      <c r="AE49" s="72" t="str">
        <f>+'Monday WK5 (30)'!A49</f>
        <v xml:space="preserve"> </v>
      </c>
      <c r="AF49" s="72" t="str">
        <f>+'Tuesday WK5 (31)'!A49</f>
        <v xml:space="preserve"> </v>
      </c>
      <c r="AG49" s="72" t="str">
        <f>+'Wednesday WK5 (32)'!A49</f>
        <v xml:space="preserve"> </v>
      </c>
      <c r="AH49" s="72" t="str">
        <f>+'Thursday WK5 (33)'!A49</f>
        <v xml:space="preserve"> </v>
      </c>
      <c r="AI49" s="72" t="str">
        <f>+'Friday WK5 (34)'!A49</f>
        <v xml:space="preserve"> </v>
      </c>
      <c r="AJ49" s="72" t="str">
        <f>+'Saturday WK5 (35)'!A49</f>
        <v xml:space="preserve"> </v>
      </c>
    </row>
    <row r="50" spans="1:36" x14ac:dyDescent="0.25">
      <c r="A50" t="s">
        <v>962</v>
      </c>
      <c r="B50" s="72" t="str">
        <f>+'Sunday WK1 (1)'!A50</f>
        <v>6647654</v>
      </c>
      <c r="C50" s="72" t="str">
        <f>+'Monday WK1 (2)'!A50</f>
        <v xml:space="preserve"> </v>
      </c>
      <c r="D50" s="72" t="str">
        <f>+'Tuesday WK1 (3)'!A50</f>
        <v xml:space="preserve"> </v>
      </c>
      <c r="E50" s="72" t="str">
        <f>+'Wednesday WK1 (4)'!A50</f>
        <v xml:space="preserve"> </v>
      </c>
      <c r="F50" s="72" t="str">
        <f>+'Thursday WK1 (5)'!A50</f>
        <v>126396</v>
      </c>
      <c r="G50" s="72" t="str">
        <f>+'Friday WK1 (6)'!A50</f>
        <v xml:space="preserve"> </v>
      </c>
      <c r="H50" s="72" t="str">
        <f>+'Saturday WK1 (7)'!A50</f>
        <v xml:space="preserve"> </v>
      </c>
      <c r="I50" s="72" t="str">
        <f>+'Sunday WK2 (8)'!A50</f>
        <v>5636384</v>
      </c>
      <c r="J50" s="72" t="str">
        <f>+'Monday WK2 (9)'!A50</f>
        <v xml:space="preserve"> </v>
      </c>
      <c r="K50" s="72" t="str">
        <f>+'Tuesday WK2 (10)'!B50</f>
        <v xml:space="preserve"> </v>
      </c>
      <c r="L50" s="72" t="str">
        <f>+'Wednesday WK2 (11)'!A50</f>
        <v xml:space="preserve"> </v>
      </c>
      <c r="M50" s="72" t="str">
        <f>+'Thursday WK2 (12)'!A50</f>
        <v xml:space="preserve"> </v>
      </c>
      <c r="N50" s="72" t="str">
        <f>+'Friday WK2 (13)'!A50</f>
        <v xml:space="preserve"> </v>
      </c>
      <c r="O50" s="72" t="str">
        <f>+'Saturday WK2 (14)'!A50</f>
        <v xml:space="preserve"> </v>
      </c>
      <c r="P50" s="72" t="str">
        <f>+'Sunday WK3 (15)'!A50</f>
        <v>5644071</v>
      </c>
      <c r="Q50" s="72" t="str">
        <f>+'Monday WK3 (16)'!A50</f>
        <v xml:space="preserve"> </v>
      </c>
      <c r="R50" s="72" t="str">
        <f>+'Tuesday WK3 (17)'!A50</f>
        <v xml:space="preserve"> </v>
      </c>
      <c r="S50" s="72" t="str">
        <f>+'Wednesday WK3 (18)'!A50</f>
        <v xml:space="preserve"> </v>
      </c>
      <c r="T50" s="72" t="str">
        <f>+'Thursday WK3 (19)'!A50</f>
        <v xml:space="preserve"> </v>
      </c>
      <c r="U50" s="72" t="str">
        <f>+'Friday WK3 (20)'!A50</f>
        <v xml:space="preserve"> </v>
      </c>
      <c r="V50" s="72" t="str">
        <f>+'Saturday WK3 (21)'!A50</f>
        <v xml:space="preserve"> </v>
      </c>
      <c r="W50" s="72" t="str">
        <f>+'Sunday WK4 (22)'!A50</f>
        <v>6692868</v>
      </c>
      <c r="X50" s="72" t="str">
        <f>+'Monday WK4 (23)'!A50</f>
        <v xml:space="preserve"> </v>
      </c>
      <c r="Y50" s="72" t="str">
        <f>+'Tuesday WK4 (24)'!A50</f>
        <v xml:space="preserve"> </v>
      </c>
      <c r="Z50" s="72" t="str">
        <f>+'Wednesday WK4 (25)'!A50</f>
        <v xml:space="preserve"> </v>
      </c>
      <c r="AA50" s="72" t="str">
        <f>+'Thursday WK4 (26)'!A50</f>
        <v xml:space="preserve"> </v>
      </c>
      <c r="AB50" s="72" t="str">
        <f>+'Friday WK4 (27)'!A50</f>
        <v xml:space="preserve"> </v>
      </c>
      <c r="AC50" s="72" t="str">
        <f>+'Saturday WK4 (28)'!A50</f>
        <v xml:space="preserve"> </v>
      </c>
      <c r="AD50" s="72" t="str">
        <f>+'Sunday WK5 (29)'!A50</f>
        <v xml:space="preserve"> </v>
      </c>
      <c r="AE50" s="72" t="str">
        <f>+'Monday WK5 (30)'!A50</f>
        <v xml:space="preserve"> </v>
      </c>
      <c r="AF50" s="72" t="str">
        <f>+'Tuesday WK5 (31)'!A50</f>
        <v xml:space="preserve"> </v>
      </c>
      <c r="AG50" s="72" t="str">
        <f>+'Wednesday WK5 (32)'!A50</f>
        <v xml:space="preserve"> </v>
      </c>
      <c r="AH50" s="72" t="str">
        <f>+'Thursday WK5 (33)'!A50</f>
        <v xml:space="preserve"> </v>
      </c>
      <c r="AI50" s="72" t="str">
        <f>+'Friday WK5 (34)'!A50</f>
        <v xml:space="preserve"> </v>
      </c>
      <c r="AJ50" s="72" t="str">
        <f>+'Saturday WK5 (35)'!A50</f>
        <v xml:space="preserve"> </v>
      </c>
    </row>
    <row r="51" spans="1:36" x14ac:dyDescent="0.25">
      <c r="A51" t="s">
        <v>962</v>
      </c>
      <c r="B51" s="72" t="str">
        <f>+'Sunday WK1 (1)'!A51</f>
        <v xml:space="preserve"> </v>
      </c>
      <c r="C51" s="72" t="str">
        <f>+'Monday WK1 (2)'!A51</f>
        <v xml:space="preserve"> </v>
      </c>
      <c r="D51" s="72" t="str">
        <f>+'Tuesday WK1 (3)'!A51</f>
        <v xml:space="preserve"> </v>
      </c>
      <c r="E51" s="72" t="str">
        <f>+'Wednesday WK1 (4)'!A51</f>
        <v xml:space="preserve"> </v>
      </c>
      <c r="F51" s="72" t="str">
        <f>+'Thursday WK1 (5)'!A51</f>
        <v>0117318</v>
      </c>
      <c r="G51" s="72" t="str">
        <f>+'Friday WK1 (6)'!A51</f>
        <v xml:space="preserve"> </v>
      </c>
      <c r="H51" s="72" t="str">
        <f>+'Saturday WK1 (7)'!A51</f>
        <v xml:space="preserve"> </v>
      </c>
      <c r="I51" s="72" t="str">
        <f>+'Sunday WK2 (8)'!A51</f>
        <v xml:space="preserve"> </v>
      </c>
      <c r="J51" s="72" t="str">
        <f>+'Monday WK2 (9)'!A51</f>
        <v xml:space="preserve"> </v>
      </c>
      <c r="K51" s="72" t="str">
        <f>+'Tuesday WK2 (10)'!B51</f>
        <v xml:space="preserve"> </v>
      </c>
      <c r="L51" s="72" t="str">
        <f>+'Wednesday WK2 (11)'!A51</f>
        <v xml:space="preserve"> </v>
      </c>
      <c r="M51" s="72" t="str">
        <f>+'Thursday WK2 (12)'!A51</f>
        <v xml:space="preserve"> </v>
      </c>
      <c r="N51" s="72" t="str">
        <f>+'Friday WK2 (13)'!A51</f>
        <v xml:space="preserve"> </v>
      </c>
      <c r="O51" s="72" t="str">
        <f>+'Saturday WK2 (14)'!A51</f>
        <v xml:space="preserve"> </v>
      </c>
      <c r="P51" s="72" t="str">
        <f>+'Sunday WK3 (15)'!A51</f>
        <v>5644072</v>
      </c>
      <c r="Q51" s="72" t="str">
        <f>+'Monday WK3 (16)'!A51</f>
        <v xml:space="preserve"> </v>
      </c>
      <c r="R51" s="72" t="str">
        <f>+'Tuesday WK3 (17)'!A51</f>
        <v xml:space="preserve"> </v>
      </c>
      <c r="S51" s="72" t="str">
        <f>+'Wednesday WK3 (18)'!A51</f>
        <v xml:space="preserve"> </v>
      </c>
      <c r="T51" s="72" t="str">
        <f>+'Thursday WK3 (19)'!A51</f>
        <v xml:space="preserve"> </v>
      </c>
      <c r="U51" s="72" t="str">
        <f>+'Friday WK3 (20)'!A51</f>
        <v xml:space="preserve"> </v>
      </c>
      <c r="V51" s="72" t="str">
        <f>+'Saturday WK3 (21)'!A51</f>
        <v xml:space="preserve"> </v>
      </c>
      <c r="W51" s="72" t="str">
        <f>+'Sunday WK4 (22)'!A51</f>
        <v>6693625</v>
      </c>
      <c r="X51" s="72" t="str">
        <f>+'Monday WK4 (23)'!A51</f>
        <v xml:space="preserve"> </v>
      </c>
      <c r="Y51" s="72" t="str">
        <f>+'Tuesday WK4 (24)'!A51</f>
        <v xml:space="preserve"> </v>
      </c>
      <c r="Z51" s="72" t="str">
        <f>+'Wednesday WK4 (25)'!A51</f>
        <v xml:space="preserve"> </v>
      </c>
      <c r="AA51" s="72" t="str">
        <f>+'Thursday WK4 (26)'!A51</f>
        <v xml:space="preserve"> </v>
      </c>
      <c r="AB51" s="72" t="str">
        <f>+'Friday WK4 (27)'!A51</f>
        <v xml:space="preserve"> </v>
      </c>
      <c r="AC51" s="72" t="str">
        <f>+'Saturday WK4 (28)'!A51</f>
        <v xml:space="preserve"> </v>
      </c>
      <c r="AD51" s="72" t="str">
        <f>+'Sunday WK5 (29)'!A51</f>
        <v xml:space="preserve"> </v>
      </c>
      <c r="AE51" s="72" t="str">
        <f>+'Monday WK5 (30)'!A51</f>
        <v xml:space="preserve"> </v>
      </c>
      <c r="AF51" s="72" t="str">
        <f>+'Tuesday WK5 (31)'!A51</f>
        <v xml:space="preserve"> </v>
      </c>
      <c r="AG51" s="72" t="str">
        <f>+'Wednesday WK5 (32)'!A51</f>
        <v xml:space="preserve"> </v>
      </c>
      <c r="AH51" s="72" t="str">
        <f>+'Thursday WK5 (33)'!A51</f>
        <v xml:space="preserve"> </v>
      </c>
      <c r="AI51" s="72" t="str">
        <f>+'Friday WK5 (34)'!A51</f>
        <v xml:space="preserve"> </v>
      </c>
      <c r="AJ51" s="72" t="str">
        <f>+'Saturday WK5 (35)'!A51</f>
        <v xml:space="preserve"> </v>
      </c>
    </row>
    <row r="52" spans="1:36" x14ac:dyDescent="0.25">
      <c r="A52" t="s">
        <v>962</v>
      </c>
      <c r="B52" s="72" t="str">
        <f>+'Sunday WK1 (1)'!A52</f>
        <v xml:space="preserve"> </v>
      </c>
      <c r="C52" s="72" t="str">
        <f>+'Monday WK1 (2)'!A52</f>
        <v xml:space="preserve"> </v>
      </c>
      <c r="D52" s="72" t="str">
        <f>+'Tuesday WK1 (3)'!A52</f>
        <v xml:space="preserve"> </v>
      </c>
      <c r="E52" s="72" t="str">
        <f>+'Wednesday WK1 (4)'!A52</f>
        <v xml:space="preserve"> </v>
      </c>
      <c r="F52" s="72" t="str">
        <f>+'Thursday WK1 (5)'!A52</f>
        <v>226650717653</v>
      </c>
      <c r="G52" s="72" t="str">
        <f>+'Friday WK1 (6)'!A52</f>
        <v xml:space="preserve"> </v>
      </c>
      <c r="H52" s="72" t="str">
        <f>+'Saturday WK1 (7)'!A52</f>
        <v xml:space="preserve"> </v>
      </c>
      <c r="I52" s="72" t="str">
        <f>+'Sunday WK2 (8)'!A52</f>
        <v xml:space="preserve"> </v>
      </c>
      <c r="J52" s="72" t="str">
        <f>+'Monday WK2 (9)'!A52</f>
        <v xml:space="preserve"> </v>
      </c>
      <c r="K52" s="72" t="str">
        <f>+'Tuesday WK2 (10)'!B52</f>
        <v xml:space="preserve"> </v>
      </c>
      <c r="L52" s="72" t="str">
        <f>+'Wednesday WK2 (11)'!A52</f>
        <v xml:space="preserve"> </v>
      </c>
      <c r="M52" s="72" t="str">
        <f>+'Thursday WK2 (12)'!A52</f>
        <v xml:space="preserve"> </v>
      </c>
      <c r="N52" s="72" t="str">
        <f>+'Friday WK2 (13)'!A52</f>
        <v xml:space="preserve"> </v>
      </c>
      <c r="O52" s="72" t="str">
        <f>+'Saturday WK2 (14)'!A52</f>
        <v xml:space="preserve"> </v>
      </c>
      <c r="P52" s="72" t="str">
        <f>+'Sunday WK3 (15)'!A52</f>
        <v xml:space="preserve"> </v>
      </c>
      <c r="Q52" s="72" t="str">
        <f>+'Monday WK3 (16)'!A52</f>
        <v xml:space="preserve"> </v>
      </c>
      <c r="R52" s="72" t="str">
        <f>+'Tuesday WK3 (17)'!A52</f>
        <v xml:space="preserve"> </v>
      </c>
      <c r="S52" s="72" t="str">
        <f>+'Wednesday WK3 (18)'!A52</f>
        <v xml:space="preserve"> </v>
      </c>
      <c r="T52" s="72" t="str">
        <f>+'Thursday WK3 (19)'!A52</f>
        <v xml:space="preserve"> </v>
      </c>
      <c r="U52" s="72" t="str">
        <f>+'Friday WK3 (20)'!A52</f>
        <v xml:space="preserve"> </v>
      </c>
      <c r="V52" s="72" t="str">
        <f>+'Saturday WK3 (21)'!A52</f>
        <v xml:space="preserve"> </v>
      </c>
      <c r="W52" s="72" t="str">
        <f>+'Sunday WK4 (22)'!A52</f>
        <v>6694535</v>
      </c>
      <c r="X52" s="72" t="str">
        <f>+'Monday WK4 (23)'!A52</f>
        <v xml:space="preserve"> </v>
      </c>
      <c r="Y52" s="72" t="str">
        <f>+'Tuesday WK4 (24)'!A52</f>
        <v xml:space="preserve"> </v>
      </c>
      <c r="Z52" s="72" t="str">
        <f>+'Wednesday WK4 (25)'!A52</f>
        <v xml:space="preserve"> </v>
      </c>
      <c r="AA52" s="72" t="str">
        <f>+'Thursday WK4 (26)'!A52</f>
        <v xml:space="preserve"> </v>
      </c>
      <c r="AB52" s="72" t="str">
        <f>+'Friday WK4 (27)'!A52</f>
        <v xml:space="preserve"> </v>
      </c>
      <c r="AC52" s="72" t="str">
        <f>+'Saturday WK4 (28)'!A52</f>
        <v xml:space="preserve"> </v>
      </c>
      <c r="AD52" s="72" t="str">
        <f>+'Sunday WK5 (29)'!A52</f>
        <v xml:space="preserve"> </v>
      </c>
      <c r="AE52" s="72" t="str">
        <f>+'Monday WK5 (30)'!A52</f>
        <v xml:space="preserve"> </v>
      </c>
      <c r="AF52" s="72" t="str">
        <f>+'Tuesday WK5 (31)'!A52</f>
        <v xml:space="preserve"> </v>
      </c>
      <c r="AG52" s="72" t="str">
        <f>+'Wednesday WK5 (32)'!A52</f>
        <v xml:space="preserve"> </v>
      </c>
      <c r="AH52" s="72" t="str">
        <f>+'Thursday WK5 (33)'!A52</f>
        <v xml:space="preserve"> </v>
      </c>
      <c r="AI52" s="72" t="str">
        <f>+'Friday WK5 (34)'!A52</f>
        <v xml:space="preserve"> </v>
      </c>
      <c r="AJ52" s="72" t="str">
        <f>+'Saturday WK5 (35)'!A52</f>
        <v xml:space="preserve"> </v>
      </c>
    </row>
    <row r="53" spans="1:36" x14ac:dyDescent="0.25">
      <c r="A53" t="s">
        <v>962</v>
      </c>
      <c r="B53" s="72" t="str">
        <f>+'Sunday WK1 (1)'!A53</f>
        <v xml:space="preserve"> </v>
      </c>
      <c r="C53" s="72" t="str">
        <f>+'Monday WK1 (2)'!A53</f>
        <v xml:space="preserve"> </v>
      </c>
      <c r="D53" s="72" t="str">
        <f>+'Tuesday WK1 (3)'!A53</f>
        <v xml:space="preserve"> </v>
      </c>
      <c r="E53" s="72" t="str">
        <f>+'Wednesday WK1 (4)'!A53</f>
        <v xml:space="preserve"> </v>
      </c>
      <c r="F53" s="72" t="str">
        <f>+'Thursday WK1 (5)'!A53</f>
        <v>SO2513920</v>
      </c>
      <c r="G53" s="72" t="str">
        <f>+'Friday WK1 (6)'!A53</f>
        <v xml:space="preserve"> </v>
      </c>
      <c r="H53" s="72" t="str">
        <f>+'Saturday WK1 (7)'!A53</f>
        <v xml:space="preserve"> </v>
      </c>
      <c r="I53" s="72" t="str">
        <f>+'Sunday WK2 (8)'!A53</f>
        <v xml:space="preserve"> </v>
      </c>
      <c r="J53" s="72" t="str">
        <f>+'Monday WK2 (9)'!A53</f>
        <v xml:space="preserve"> </v>
      </c>
      <c r="K53" s="72" t="str">
        <f>+'Tuesday WK2 (10)'!B53</f>
        <v xml:space="preserve"> </v>
      </c>
      <c r="L53" s="72" t="str">
        <f>+'Wednesday WK2 (11)'!A53</f>
        <v xml:space="preserve"> </v>
      </c>
      <c r="M53" s="72" t="str">
        <f>+'Thursday WK2 (12)'!A53</f>
        <v xml:space="preserve"> </v>
      </c>
      <c r="N53" s="72" t="str">
        <f>+'Friday WK2 (13)'!A53</f>
        <v xml:space="preserve"> </v>
      </c>
      <c r="O53" s="72" t="str">
        <f>+'Saturday WK2 (14)'!A53</f>
        <v xml:space="preserve"> </v>
      </c>
      <c r="P53" s="72" t="str">
        <f>+'Sunday WK3 (15)'!A53</f>
        <v xml:space="preserve"> </v>
      </c>
      <c r="Q53" s="72" t="str">
        <f>+'Monday WK3 (16)'!A53</f>
        <v xml:space="preserve"> </v>
      </c>
      <c r="R53" s="72" t="str">
        <f>+'Tuesday WK3 (17)'!A53</f>
        <v xml:space="preserve"> </v>
      </c>
      <c r="S53" s="72" t="str">
        <f>+'Wednesday WK3 (18)'!A53</f>
        <v xml:space="preserve"> </v>
      </c>
      <c r="T53" s="72" t="str">
        <f>+'Thursday WK3 (19)'!A53</f>
        <v xml:space="preserve"> </v>
      </c>
      <c r="U53" s="72" t="str">
        <f>+'Friday WK3 (20)'!A53</f>
        <v xml:space="preserve"> </v>
      </c>
      <c r="V53" s="72" t="str">
        <f>+'Saturday WK3 (21)'!A53</f>
        <v xml:space="preserve"> </v>
      </c>
      <c r="W53" s="72" t="str">
        <f>+'Sunday WK4 (22)'!A53</f>
        <v>6695360</v>
      </c>
      <c r="X53" s="72" t="str">
        <f>+'Monday WK4 (23)'!A53</f>
        <v xml:space="preserve"> </v>
      </c>
      <c r="Y53" s="72" t="str">
        <f>+'Tuesday WK4 (24)'!A53</f>
        <v xml:space="preserve"> </v>
      </c>
      <c r="Z53" s="72" t="str">
        <f>+'Wednesday WK4 (25)'!A53</f>
        <v xml:space="preserve"> </v>
      </c>
      <c r="AA53" s="72" t="str">
        <f>+'Thursday WK4 (26)'!A53</f>
        <v xml:space="preserve"> </v>
      </c>
      <c r="AB53" s="72" t="str">
        <f>+'Friday WK4 (27)'!A53</f>
        <v xml:space="preserve"> </v>
      </c>
      <c r="AC53" s="72" t="str">
        <f>+'Saturday WK4 (28)'!A53</f>
        <v xml:space="preserve"> </v>
      </c>
      <c r="AD53" s="72" t="str">
        <f>+'Sunday WK5 (29)'!A53</f>
        <v xml:space="preserve"> </v>
      </c>
      <c r="AE53" s="72" t="str">
        <f>+'Monday WK5 (30)'!A53</f>
        <v xml:space="preserve"> </v>
      </c>
      <c r="AF53" s="72" t="str">
        <f>+'Tuesday WK5 (31)'!A53</f>
        <v xml:space="preserve"> </v>
      </c>
      <c r="AG53" s="72" t="str">
        <f>+'Wednesday WK5 (32)'!A53</f>
        <v xml:space="preserve"> </v>
      </c>
      <c r="AH53" s="72" t="str">
        <f>+'Thursday WK5 (33)'!A53</f>
        <v xml:space="preserve"> </v>
      </c>
      <c r="AI53" s="72" t="str">
        <f>+'Friday WK5 (34)'!A53</f>
        <v xml:space="preserve"> </v>
      </c>
      <c r="AJ53" s="72" t="str">
        <f>+'Saturday WK5 (35)'!A53</f>
        <v xml:space="preserve"> </v>
      </c>
    </row>
    <row r="54" spans="1:36" x14ac:dyDescent="0.25">
      <c r="A54" t="s">
        <v>962</v>
      </c>
      <c r="B54" s="72" t="str">
        <f>+'Sunday WK1 (1)'!A54</f>
        <v xml:space="preserve"> </v>
      </c>
      <c r="C54" s="72" t="str">
        <f>+'Monday WK1 (2)'!A54</f>
        <v xml:space="preserve"> </v>
      </c>
      <c r="D54" s="72" t="str">
        <f>+'Tuesday WK1 (3)'!A54</f>
        <v xml:space="preserve"> </v>
      </c>
      <c r="E54" s="72" t="str">
        <f>+'Wednesday WK1 (4)'!A54</f>
        <v xml:space="preserve"> </v>
      </c>
      <c r="F54" s="72" t="str">
        <f>+'Thursday WK1 (5)'!A54</f>
        <v>91942722</v>
      </c>
      <c r="G54" s="72" t="str">
        <f>+'Friday WK1 (6)'!A54</f>
        <v xml:space="preserve"> </v>
      </c>
      <c r="H54" s="72" t="str">
        <f>+'Saturday WK1 (7)'!A54</f>
        <v xml:space="preserve"> </v>
      </c>
      <c r="I54" s="72" t="str">
        <f>+'Sunday WK2 (8)'!A54</f>
        <v xml:space="preserve"> </v>
      </c>
      <c r="J54" s="72" t="str">
        <f>+'Monday WK2 (9)'!A54</f>
        <v xml:space="preserve"> </v>
      </c>
      <c r="K54" s="72" t="str">
        <f>+'Tuesday WK2 (10)'!B54</f>
        <v xml:space="preserve"> </v>
      </c>
      <c r="L54" s="72" t="str">
        <f>+'Wednesday WK2 (11)'!A54</f>
        <v xml:space="preserve"> </v>
      </c>
      <c r="M54" s="72" t="str">
        <f>+'Thursday WK2 (12)'!A54</f>
        <v xml:space="preserve"> </v>
      </c>
      <c r="N54" s="72" t="str">
        <f>+'Friday WK2 (13)'!A54</f>
        <v xml:space="preserve"> </v>
      </c>
      <c r="O54" s="72" t="str">
        <f>+'Saturday WK2 (14)'!A54</f>
        <v xml:space="preserve"> </v>
      </c>
      <c r="P54" s="72" t="str">
        <f>+'Sunday WK3 (15)'!A54</f>
        <v xml:space="preserve"> </v>
      </c>
      <c r="Q54" s="72" t="str">
        <f>+'Monday WK3 (16)'!A54</f>
        <v xml:space="preserve"> </v>
      </c>
      <c r="R54" s="72" t="str">
        <f>+'Tuesday WK3 (17)'!A54</f>
        <v xml:space="preserve"> </v>
      </c>
      <c r="S54" s="72" t="str">
        <f>+'Wednesday WK3 (18)'!A54</f>
        <v xml:space="preserve"> </v>
      </c>
      <c r="T54" s="72" t="str">
        <f>+'Thursday WK3 (19)'!A54</f>
        <v xml:space="preserve"> </v>
      </c>
      <c r="U54" s="72" t="str">
        <f>+'Friday WK3 (20)'!A54</f>
        <v xml:space="preserve"> </v>
      </c>
      <c r="V54" s="72" t="str">
        <f>+'Saturday WK3 (21)'!A54</f>
        <v xml:space="preserve"> </v>
      </c>
      <c r="W54" s="72" t="str">
        <f>+'Sunday WK4 (22)'!A54</f>
        <v>6694333</v>
      </c>
      <c r="X54" s="72" t="str">
        <f>+'Monday WK4 (23)'!A54</f>
        <v xml:space="preserve"> </v>
      </c>
      <c r="Y54" s="72" t="str">
        <f>+'Tuesday WK4 (24)'!A54</f>
        <v xml:space="preserve"> </v>
      </c>
      <c r="Z54" s="72" t="str">
        <f>+'Wednesday WK4 (25)'!A54</f>
        <v xml:space="preserve"> </v>
      </c>
      <c r="AA54" s="72" t="str">
        <f>+'Thursday WK4 (26)'!A54</f>
        <v xml:space="preserve"> </v>
      </c>
      <c r="AB54" s="72" t="str">
        <f>+'Friday WK4 (27)'!A54</f>
        <v xml:space="preserve"> </v>
      </c>
      <c r="AC54" s="72" t="str">
        <f>+'Saturday WK4 (28)'!A54</f>
        <v xml:space="preserve"> </v>
      </c>
      <c r="AD54" s="72" t="str">
        <f>+'Sunday WK5 (29)'!A54</f>
        <v xml:space="preserve"> </v>
      </c>
      <c r="AE54" s="72" t="str">
        <f>+'Monday WK5 (30)'!A54</f>
        <v xml:space="preserve"> </v>
      </c>
      <c r="AF54" s="72" t="str">
        <f>+'Tuesday WK5 (31)'!A54</f>
        <v xml:space="preserve"> </v>
      </c>
      <c r="AG54" s="72" t="str">
        <f>+'Wednesday WK5 (32)'!A54</f>
        <v xml:space="preserve"> </v>
      </c>
      <c r="AH54" s="72" t="str">
        <f>+'Thursday WK5 (33)'!A54</f>
        <v xml:space="preserve"> </v>
      </c>
      <c r="AI54" s="72" t="str">
        <f>+'Friday WK5 (34)'!A54</f>
        <v xml:space="preserve"> </v>
      </c>
      <c r="AJ54" s="72" t="str">
        <f>+'Saturday WK5 (35)'!A54</f>
        <v xml:space="preserve"> </v>
      </c>
    </row>
    <row r="55" spans="1:36" x14ac:dyDescent="0.25">
      <c r="A55" t="s">
        <v>962</v>
      </c>
      <c r="B55" s="72" t="str">
        <f>+'Sunday WK1 (1)'!A55</f>
        <v xml:space="preserve"> </v>
      </c>
      <c r="C55" s="72" t="str">
        <f>+'Monday WK1 (2)'!A55</f>
        <v xml:space="preserve"> </v>
      </c>
      <c r="D55" s="72" t="str">
        <f>+'Tuesday WK1 (3)'!A55</f>
        <v xml:space="preserve"> </v>
      </c>
      <c r="E55" s="72" t="str">
        <f>+'Wednesday WK1 (4)'!A55</f>
        <v xml:space="preserve"> </v>
      </c>
      <c r="F55" s="72" t="str">
        <f>+'Thursday WK1 (5)'!A55</f>
        <v xml:space="preserve"> </v>
      </c>
      <c r="G55" s="72" t="str">
        <f>+'Friday WK1 (6)'!A55</f>
        <v xml:space="preserve"> </v>
      </c>
      <c r="H55" s="72" t="str">
        <f>+'Saturday WK1 (7)'!A55</f>
        <v xml:space="preserve"> </v>
      </c>
      <c r="I55" s="72" t="str">
        <f>+'Sunday WK2 (8)'!A55</f>
        <v xml:space="preserve"> </v>
      </c>
      <c r="J55" s="72" t="str">
        <f>+'Monday WK2 (9)'!A55</f>
        <v xml:space="preserve"> </v>
      </c>
      <c r="K55" s="72" t="str">
        <f>+'Tuesday WK2 (10)'!B55</f>
        <v xml:space="preserve"> </v>
      </c>
      <c r="L55" s="72" t="str">
        <f>+'Wednesday WK2 (11)'!A55</f>
        <v xml:space="preserve"> </v>
      </c>
      <c r="M55" s="72" t="str">
        <f>+'Thursday WK2 (12)'!A55</f>
        <v xml:space="preserve"> </v>
      </c>
      <c r="N55" s="72" t="str">
        <f>+'Friday WK2 (13)'!A55</f>
        <v xml:space="preserve"> </v>
      </c>
      <c r="O55" s="72" t="str">
        <f>+'Saturday WK2 (14)'!A55</f>
        <v xml:space="preserve"> </v>
      </c>
      <c r="P55" s="72" t="str">
        <f>+'Sunday WK3 (15)'!A55</f>
        <v xml:space="preserve"> </v>
      </c>
      <c r="Q55" s="72" t="str">
        <f>+'Monday WK3 (16)'!A55</f>
        <v xml:space="preserve"> </v>
      </c>
      <c r="R55" s="72" t="str">
        <f>+'Tuesday WK3 (17)'!A55</f>
        <v xml:space="preserve"> </v>
      </c>
      <c r="S55" s="72" t="str">
        <f>+'Wednesday WK3 (18)'!A55</f>
        <v xml:space="preserve"> </v>
      </c>
      <c r="T55" s="72" t="str">
        <f>+'Thursday WK3 (19)'!A55</f>
        <v xml:space="preserve"> </v>
      </c>
      <c r="U55" s="72" t="str">
        <f>+'Friday WK3 (20)'!A55</f>
        <v xml:space="preserve"> </v>
      </c>
      <c r="V55" s="72" t="str">
        <f>+'Saturday WK3 (21)'!A55</f>
        <v xml:space="preserve"> </v>
      </c>
      <c r="W55" s="72" t="str">
        <f>+'Sunday WK4 (22)'!A55</f>
        <v xml:space="preserve"> </v>
      </c>
      <c r="X55" s="72" t="str">
        <f>+'Monday WK4 (23)'!A55</f>
        <v xml:space="preserve"> </v>
      </c>
      <c r="Y55" s="72" t="str">
        <f>+'Tuesday WK4 (24)'!A55</f>
        <v xml:space="preserve"> </v>
      </c>
      <c r="Z55" s="72" t="str">
        <f>+'Wednesday WK4 (25)'!A55</f>
        <v xml:space="preserve"> </v>
      </c>
      <c r="AA55" s="72" t="str">
        <f>+'Thursday WK4 (26)'!A55</f>
        <v xml:space="preserve"> </v>
      </c>
      <c r="AB55" s="72" t="str">
        <f>+'Friday WK4 (27)'!A55</f>
        <v xml:space="preserve"> </v>
      </c>
      <c r="AC55" s="72" t="str">
        <f>+'Saturday WK4 (28)'!A55</f>
        <v xml:space="preserve"> </v>
      </c>
      <c r="AD55" s="72" t="str">
        <f>+'Sunday WK5 (29)'!A55</f>
        <v xml:space="preserve"> </v>
      </c>
      <c r="AE55" s="72" t="str">
        <f>+'Monday WK5 (30)'!A55</f>
        <v xml:space="preserve"> </v>
      </c>
      <c r="AF55" s="72" t="str">
        <f>+'Tuesday WK5 (31)'!A55</f>
        <v xml:space="preserve"> </v>
      </c>
      <c r="AG55" s="72" t="str">
        <f>+'Wednesday WK5 (32)'!A55</f>
        <v xml:space="preserve"> </v>
      </c>
      <c r="AH55" s="72" t="str">
        <f>+'Thursday WK5 (33)'!A55</f>
        <v xml:space="preserve"> </v>
      </c>
      <c r="AI55" s="72" t="str">
        <f>+'Friday WK5 (34)'!A55</f>
        <v xml:space="preserve"> </v>
      </c>
      <c r="AJ55" s="72" t="str">
        <f>+'Saturday WK5 (35)'!A55</f>
        <v xml:space="preserve"> </v>
      </c>
    </row>
  </sheetData>
  <conditionalFormatting sqref="B6:AJ55">
    <cfRule type="duplicateValues" dxfId="0" priority="2"/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1A3C-C6C7-4971-AFBC-72985FDFB1E0}">
  <dimension ref="C4:U37"/>
  <sheetViews>
    <sheetView workbookViewId="0">
      <selection activeCell="I31" sqref="I31"/>
    </sheetView>
  </sheetViews>
  <sheetFormatPr defaultRowHeight="15" x14ac:dyDescent="0.25"/>
  <cols>
    <col min="2" max="2" width="9.140625" bestFit="1" customWidth="1"/>
    <col min="3" max="3" width="9.140625" style="79"/>
    <col min="4" max="5" width="36.5703125" style="81" bestFit="1" customWidth="1"/>
    <col min="6" max="6" width="11.28515625" style="81" bestFit="1" customWidth="1"/>
    <col min="7" max="7" width="10.85546875" style="82" bestFit="1" customWidth="1"/>
    <col min="9" max="10" width="12.28515625" bestFit="1" customWidth="1"/>
    <col min="11" max="11" width="10.85546875" bestFit="1" customWidth="1"/>
  </cols>
  <sheetData>
    <row r="4" spans="3:12" x14ac:dyDescent="0.25">
      <c r="D4" s="81" t="s">
        <v>963</v>
      </c>
    </row>
    <row r="5" spans="3:12" x14ac:dyDescent="0.25">
      <c r="C5" s="192" t="s">
        <v>964</v>
      </c>
      <c r="D5" s="153" t="s">
        <v>965</v>
      </c>
      <c r="E5" s="153" t="s">
        <v>966</v>
      </c>
      <c r="I5" t="s">
        <v>965</v>
      </c>
      <c r="J5" s="83" t="s">
        <v>967</v>
      </c>
    </row>
    <row r="6" spans="3:12" x14ac:dyDescent="0.25">
      <c r="C6" s="193">
        <v>3659</v>
      </c>
      <c r="D6" s="186">
        <f>1226.82+714.6+861.5+1461.32</f>
        <v>4264.24</v>
      </c>
      <c r="E6" s="154">
        <f>1160.88+705.65+861.5+1451.32</f>
        <v>4179.3500000000004</v>
      </c>
      <c r="F6" s="81">
        <f>D6-E6</f>
        <v>84.889999999999418</v>
      </c>
      <c r="G6" s="82">
        <f t="shared" ref="G6:G34" si="0">E6/D6</f>
        <v>0.9800925839070973</v>
      </c>
      <c r="I6" s="81"/>
      <c r="J6" s="146"/>
      <c r="K6" s="81">
        <f t="shared" ref="K6:K34" si="1">I6-J6</f>
        <v>0</v>
      </c>
      <c r="L6" s="82" t="e">
        <f t="shared" ref="L6:L34" si="2">J6/I6</f>
        <v>#DIV/0!</v>
      </c>
    </row>
    <row r="7" spans="3:12" x14ac:dyDescent="0.25">
      <c r="C7" s="193">
        <v>3649</v>
      </c>
      <c r="D7" s="186">
        <v>1424.08</v>
      </c>
      <c r="E7" s="154">
        <v>1412.94</v>
      </c>
      <c r="F7" s="81">
        <f t="shared" ref="F7:F34" si="3">D7-E7</f>
        <v>11.139999999999873</v>
      </c>
      <c r="G7" s="82">
        <f t="shared" si="0"/>
        <v>0.99217740576372127</v>
      </c>
      <c r="I7" s="81"/>
      <c r="J7" s="146"/>
      <c r="K7" s="81">
        <f t="shared" si="1"/>
        <v>0</v>
      </c>
      <c r="L7" s="82" t="e">
        <f t="shared" si="2"/>
        <v>#DIV/0!</v>
      </c>
    </row>
    <row r="8" spans="3:12" x14ac:dyDescent="0.25">
      <c r="C8" s="193">
        <v>3668</v>
      </c>
      <c r="D8" s="187">
        <f>1290.85+1063.68+983.69+2445.65</f>
        <v>5783.87</v>
      </c>
      <c r="E8" s="155">
        <f>1290.85+1261.63+1450.77+2445.65</f>
        <v>6448.9</v>
      </c>
      <c r="F8" s="81">
        <f t="shared" si="3"/>
        <v>-665.02999999999975</v>
      </c>
      <c r="G8" s="82">
        <f t="shared" si="0"/>
        <v>1.114980108474084</v>
      </c>
      <c r="I8" s="81"/>
      <c r="J8" s="146"/>
      <c r="K8" s="81">
        <f t="shared" si="1"/>
        <v>0</v>
      </c>
      <c r="L8" s="82" t="e">
        <f t="shared" si="2"/>
        <v>#DIV/0!</v>
      </c>
    </row>
    <row r="9" spans="3:12" x14ac:dyDescent="0.25">
      <c r="C9" s="193">
        <v>3617</v>
      </c>
      <c r="D9" s="187">
        <f>2762.6+850.23+468.89</f>
        <v>4081.72</v>
      </c>
      <c r="E9" s="155">
        <f>2762.6+886.12+468.89</f>
        <v>4117.6099999999997</v>
      </c>
      <c r="F9" s="81">
        <f t="shared" si="3"/>
        <v>-35.889999999999873</v>
      </c>
      <c r="G9" s="82">
        <f t="shared" si="0"/>
        <v>1.0087928618327568</v>
      </c>
      <c r="I9" s="81"/>
      <c r="J9" s="146"/>
      <c r="K9" s="81">
        <f t="shared" si="1"/>
        <v>0</v>
      </c>
      <c r="L9" s="82" t="e">
        <f t="shared" si="2"/>
        <v>#DIV/0!</v>
      </c>
    </row>
    <row r="10" spans="3:12" x14ac:dyDescent="0.25">
      <c r="C10" s="193">
        <v>3612</v>
      </c>
      <c r="D10" s="187">
        <f>5932.64+5847.14+3251.01</f>
        <v>15030.79</v>
      </c>
      <c r="E10" s="155">
        <f>5731.68+5847.14+3231.83</f>
        <v>14810.65</v>
      </c>
      <c r="F10" s="81">
        <f t="shared" si="3"/>
        <v>220.14000000000124</v>
      </c>
      <c r="G10" s="82">
        <f t="shared" si="0"/>
        <v>0.98535406322621755</v>
      </c>
      <c r="I10" s="81"/>
      <c r="J10" s="146"/>
      <c r="K10" s="81">
        <f t="shared" si="1"/>
        <v>0</v>
      </c>
      <c r="L10" s="82" t="e">
        <f t="shared" si="2"/>
        <v>#DIV/0!</v>
      </c>
    </row>
    <row r="11" spans="3:12" x14ac:dyDescent="0.25">
      <c r="C11" s="193">
        <v>3610</v>
      </c>
      <c r="D11" s="187">
        <f>1643.99+1810.5</f>
        <v>3454.49</v>
      </c>
      <c r="E11" s="155">
        <f>1643.99+1741.53</f>
        <v>3385.52</v>
      </c>
      <c r="F11" s="81">
        <f t="shared" si="3"/>
        <v>68.9699999999998</v>
      </c>
      <c r="G11" s="82">
        <f t="shared" si="0"/>
        <v>0.98003467950406575</v>
      </c>
      <c r="I11" s="81"/>
      <c r="J11" s="81"/>
      <c r="K11" s="81">
        <f t="shared" si="1"/>
        <v>0</v>
      </c>
      <c r="L11" s="82" t="e">
        <f t="shared" si="2"/>
        <v>#DIV/0!</v>
      </c>
    </row>
    <row r="12" spans="3:12" x14ac:dyDescent="0.25">
      <c r="C12" s="193">
        <v>3672</v>
      </c>
      <c r="D12" s="187">
        <f>1655.64+1264.76</f>
        <v>2920.4</v>
      </c>
      <c r="E12" s="155">
        <f>1655.64+1378.79</f>
        <v>3034.4300000000003</v>
      </c>
      <c r="F12" s="81">
        <f t="shared" si="3"/>
        <v>-114.0300000000002</v>
      </c>
      <c r="G12" s="82">
        <f t="shared" si="0"/>
        <v>1.039046021093001</v>
      </c>
      <c r="I12" s="81"/>
      <c r="J12" s="81"/>
      <c r="K12" s="81">
        <f t="shared" si="1"/>
        <v>0</v>
      </c>
      <c r="L12" s="82" t="e">
        <f t="shared" si="2"/>
        <v>#DIV/0!</v>
      </c>
    </row>
    <row r="13" spans="3:12" x14ac:dyDescent="0.25">
      <c r="C13" s="193">
        <v>3716</v>
      </c>
      <c r="D13" s="187">
        <f>578.72+1818.69+2275.71+1759.47+1603.87</f>
        <v>8036.46</v>
      </c>
      <c r="E13" s="155">
        <f>578.72+1818.69+2275.71+1783.46+1603.87</f>
        <v>8060.45</v>
      </c>
      <c r="F13" s="81">
        <f t="shared" si="3"/>
        <v>-23.989999999999782</v>
      </c>
      <c r="G13" s="82">
        <f t="shared" si="0"/>
        <v>1.0029851452007477</v>
      </c>
      <c r="I13" s="81"/>
      <c r="J13" s="81"/>
      <c r="K13" s="81">
        <f t="shared" si="1"/>
        <v>0</v>
      </c>
      <c r="L13" s="82" t="e">
        <f t="shared" si="2"/>
        <v>#DIV/0!</v>
      </c>
    </row>
    <row r="14" spans="3:12" x14ac:dyDescent="0.25">
      <c r="C14" s="193">
        <v>3798</v>
      </c>
      <c r="D14" s="187">
        <f>492.5+582.35+442.95+640.15+727.37</f>
        <v>2885.3199999999997</v>
      </c>
      <c r="E14" s="155">
        <f>492.5+582.35+442.95+632.5+719.37</f>
        <v>2869.67</v>
      </c>
      <c r="F14" s="81">
        <f t="shared" si="3"/>
        <v>15.649999999999636</v>
      </c>
      <c r="G14" s="82">
        <f t="shared" si="0"/>
        <v>0.99457599157112564</v>
      </c>
      <c r="I14" s="81"/>
      <c r="J14" s="81"/>
      <c r="K14" s="81">
        <f t="shared" si="1"/>
        <v>0</v>
      </c>
      <c r="L14" s="82" t="e">
        <f t="shared" si="2"/>
        <v>#DIV/0!</v>
      </c>
    </row>
    <row r="15" spans="3:12" ht="24" customHeight="1" x14ac:dyDescent="0.25">
      <c r="C15" s="193">
        <v>3789</v>
      </c>
      <c r="D15" s="187">
        <f>993.42+1213.72+1591.14+1573.52+1807.71+1029.18</f>
        <v>8208.6899999999987</v>
      </c>
      <c r="E15" s="253">
        <f>993.42+1207.49+1581.15+1573.52+1796.92+1029.18</f>
        <v>8181.68</v>
      </c>
      <c r="F15" s="81">
        <f t="shared" si="3"/>
        <v>27.009999999998399</v>
      </c>
      <c r="G15" s="82">
        <f t="shared" si="0"/>
        <v>0.9967095845987608</v>
      </c>
      <c r="I15" s="81"/>
      <c r="J15" s="81"/>
      <c r="K15" s="81">
        <f t="shared" si="1"/>
        <v>0</v>
      </c>
      <c r="L15" s="82" t="e">
        <f t="shared" si="2"/>
        <v>#DIV/0!</v>
      </c>
    </row>
    <row r="16" spans="3:12" x14ac:dyDescent="0.25">
      <c r="C16" s="193">
        <v>3776</v>
      </c>
      <c r="D16" s="187">
        <f>374.25+1761.68+1715.32+2526.62+2480.26</f>
        <v>8858.130000000001</v>
      </c>
      <c r="E16" s="155">
        <f>353.99+1750.09+1715.32+2526.62+2480.26</f>
        <v>8826.2799999999988</v>
      </c>
      <c r="F16" s="81">
        <f t="shared" si="3"/>
        <v>31.850000000002183</v>
      </c>
      <c r="G16" s="82">
        <f t="shared" si="0"/>
        <v>0.99640443298980685</v>
      </c>
      <c r="I16" s="81"/>
      <c r="J16" s="81"/>
      <c r="K16" s="81">
        <f t="shared" si="1"/>
        <v>0</v>
      </c>
      <c r="L16" s="82" t="e">
        <f t="shared" si="2"/>
        <v>#DIV/0!</v>
      </c>
    </row>
    <row r="17" spans="3:21" x14ac:dyDescent="0.25">
      <c r="C17" s="193">
        <v>3649</v>
      </c>
      <c r="D17" s="187">
        <f>2059.35+3252.75+2296.77+1424.08</f>
        <v>9032.9500000000007</v>
      </c>
      <c r="E17" s="155">
        <f>2243.2+2848.89+2826.38+1412.94</f>
        <v>9331.41</v>
      </c>
      <c r="F17" s="81">
        <f t="shared" si="3"/>
        <v>-298.45999999999913</v>
      </c>
      <c r="G17" s="82">
        <f t="shared" si="0"/>
        <v>1.0330412545181806</v>
      </c>
      <c r="I17" s="81"/>
      <c r="J17" s="81"/>
      <c r="K17" s="81">
        <f t="shared" si="1"/>
        <v>0</v>
      </c>
      <c r="L17" s="82" t="e">
        <f t="shared" si="2"/>
        <v>#DIV/0!</v>
      </c>
    </row>
    <row r="18" spans="3:21" x14ac:dyDescent="0.25">
      <c r="C18" s="193">
        <v>3747</v>
      </c>
      <c r="D18" s="187">
        <f>617.91+1175.16+857.48+1681.85+2790.77+712.76</f>
        <v>7835.93</v>
      </c>
      <c r="E18" s="155">
        <f>617.91+1175.16+857.48+1681.41+2790.77+712.76</f>
        <v>7835.49</v>
      </c>
      <c r="F18" s="81">
        <f t="shared" si="3"/>
        <v>0.44000000000050932</v>
      </c>
      <c r="G18" s="82">
        <f t="shared" si="0"/>
        <v>0.99994384840089168</v>
      </c>
      <c r="I18" s="81"/>
      <c r="J18" s="81"/>
      <c r="K18" s="81">
        <f t="shared" si="1"/>
        <v>0</v>
      </c>
      <c r="L18" s="82" t="e">
        <f t="shared" si="2"/>
        <v>#DIV/0!</v>
      </c>
    </row>
    <row r="19" spans="3:21" x14ac:dyDescent="0.25">
      <c r="C19" s="193">
        <v>3744</v>
      </c>
      <c r="D19" s="187">
        <f>813.36+1667.09+1027.98+1153.34+612.38+1045.36</f>
        <v>6319.5099999999993</v>
      </c>
      <c r="E19" s="155">
        <f>813.36+1667.09+1027.98+1093.34+612.38+1045.36</f>
        <v>6259.5099999999993</v>
      </c>
      <c r="F19" s="81">
        <f t="shared" si="3"/>
        <v>60</v>
      </c>
      <c r="G19" s="82">
        <f t="shared" si="0"/>
        <v>0.99050559299692542</v>
      </c>
      <c r="I19" s="81"/>
      <c r="J19" s="81"/>
      <c r="K19" s="81">
        <f t="shared" si="1"/>
        <v>0</v>
      </c>
      <c r="L19" s="82" t="e">
        <f t="shared" si="2"/>
        <v>#DIV/0!</v>
      </c>
    </row>
    <row r="20" spans="3:21" x14ac:dyDescent="0.25">
      <c r="C20" s="185">
        <v>3735</v>
      </c>
      <c r="D20" s="188">
        <f>1795.79+254.7+314.71+894.45+304.85+899.75</f>
        <v>4464.25</v>
      </c>
      <c r="E20" s="156">
        <f>1795.79+324.2+314.71+894.45+302.85+899.75</f>
        <v>4531.75</v>
      </c>
      <c r="F20" s="81">
        <f t="shared" si="3"/>
        <v>-67.5</v>
      </c>
      <c r="G20" s="82">
        <f t="shared" si="0"/>
        <v>1.0151201209609677</v>
      </c>
      <c r="I20" s="81"/>
      <c r="J20" s="81"/>
      <c r="K20" s="81">
        <f t="shared" si="1"/>
        <v>0</v>
      </c>
      <c r="L20" s="82" t="e">
        <f t="shared" si="2"/>
        <v>#DIV/0!</v>
      </c>
    </row>
    <row r="21" spans="3:21" x14ac:dyDescent="0.25">
      <c r="C21" s="185">
        <v>3726</v>
      </c>
      <c r="D21" s="188">
        <f>1460.08+589.41+706.75+1681.25+1716.35</f>
        <v>6153.84</v>
      </c>
      <c r="E21" s="156">
        <f>1460.08+589.41+706.75+1683.25+1716.35</f>
        <v>6155.84</v>
      </c>
      <c r="F21" s="81">
        <f t="shared" si="3"/>
        <v>-2</v>
      </c>
      <c r="G21" s="82">
        <f t="shared" si="0"/>
        <v>1.0003250003250004</v>
      </c>
      <c r="I21" s="81"/>
      <c r="J21" s="81"/>
      <c r="K21" s="81">
        <f t="shared" si="1"/>
        <v>0</v>
      </c>
      <c r="L21" s="82" t="e">
        <f t="shared" si="2"/>
        <v>#DIV/0!</v>
      </c>
    </row>
    <row r="22" spans="3:21" x14ac:dyDescent="0.25">
      <c r="C22" s="185">
        <v>3728</v>
      </c>
      <c r="D22" s="188">
        <f>420.22+562.04+686.55+1444.5+642.6</f>
        <v>3755.91</v>
      </c>
      <c r="E22" s="156">
        <f>698.9+562.04+686.55+1444.5+642.6</f>
        <v>4034.5899999999997</v>
      </c>
      <c r="F22" s="81">
        <f t="shared" si="3"/>
        <v>-278.67999999999984</v>
      </c>
      <c r="G22" s="82">
        <f t="shared" si="0"/>
        <v>1.0741977310425437</v>
      </c>
      <c r="I22" s="81"/>
      <c r="J22" s="81"/>
      <c r="K22" s="81">
        <f t="shared" si="1"/>
        <v>0</v>
      </c>
      <c r="L22" s="82" t="e">
        <f t="shared" si="2"/>
        <v>#DIV/0!</v>
      </c>
    </row>
    <row r="23" spans="3:21" x14ac:dyDescent="0.25">
      <c r="C23" s="185">
        <v>3717</v>
      </c>
      <c r="D23" s="254">
        <f>1091.15+609.1+740.76+1530.59+2064.96</f>
        <v>6036.56</v>
      </c>
      <c r="E23" s="156">
        <f>1104.15+620.05+740.76+1553.09+2064.96</f>
        <v>6083.01</v>
      </c>
      <c r="F23" s="81">
        <f t="shared" si="3"/>
        <v>-46.449999999999818</v>
      </c>
      <c r="G23" s="82">
        <f t="shared" si="0"/>
        <v>1.0076947798083677</v>
      </c>
      <c r="I23" s="198"/>
      <c r="J23" s="81"/>
      <c r="K23" s="81">
        <f t="shared" si="1"/>
        <v>0</v>
      </c>
      <c r="L23" s="82" t="e">
        <f t="shared" si="2"/>
        <v>#DIV/0!</v>
      </c>
    </row>
    <row r="24" spans="3:21" x14ac:dyDescent="0.25">
      <c r="C24" s="197">
        <v>3808</v>
      </c>
      <c r="D24" s="200">
        <f>1595.74+4410.66+1046.52</f>
        <v>7052.92</v>
      </c>
      <c r="E24" s="200">
        <f>1742.41+4410.66+1046.52</f>
        <v>7199.59</v>
      </c>
      <c r="F24" s="81">
        <f t="shared" si="3"/>
        <v>-146.67000000000007</v>
      </c>
      <c r="G24" s="82">
        <f t="shared" si="0"/>
        <v>1.0207956420886668</v>
      </c>
      <c r="I24" s="81"/>
      <c r="J24" s="81"/>
      <c r="K24" s="81">
        <f t="shared" si="1"/>
        <v>0</v>
      </c>
      <c r="L24" s="82" t="e">
        <f t="shared" si="2"/>
        <v>#DIV/0!</v>
      </c>
    </row>
    <row r="25" spans="3:21" x14ac:dyDescent="0.25">
      <c r="C25" s="199">
        <v>3614</v>
      </c>
      <c r="D25" s="201">
        <f>3696.05+1249.01+1620.88</f>
        <v>6565.9400000000005</v>
      </c>
      <c r="E25" s="201">
        <f>3721.54+1249.01+1620.88</f>
        <v>6591.43</v>
      </c>
      <c r="F25" s="81">
        <f t="shared" si="3"/>
        <v>-25.489999999999782</v>
      </c>
      <c r="G25" s="82">
        <f t="shared" si="0"/>
        <v>1.003882155487257</v>
      </c>
      <c r="I25" s="81"/>
      <c r="J25" s="81"/>
      <c r="K25" s="81">
        <f t="shared" si="1"/>
        <v>0</v>
      </c>
      <c r="L25" s="82" t="e">
        <f t="shared" si="2"/>
        <v>#DIV/0!</v>
      </c>
    </row>
    <row r="26" spans="3:21" x14ac:dyDescent="0.25">
      <c r="C26" s="199">
        <v>3626</v>
      </c>
      <c r="D26" s="201">
        <f>1409.61+600.7+1500.48</f>
        <v>3510.79</v>
      </c>
      <c r="E26" s="201">
        <f>509.61+275.28+600.7+1500.48</f>
        <v>2886.07</v>
      </c>
      <c r="F26" s="81">
        <f t="shared" si="3"/>
        <v>624.7199999999998</v>
      </c>
      <c r="G26" s="82">
        <f t="shared" si="0"/>
        <v>0.82205714383372408</v>
      </c>
      <c r="I26" s="81"/>
      <c r="J26" s="81"/>
      <c r="K26" s="81">
        <f t="shared" si="1"/>
        <v>0</v>
      </c>
      <c r="L26" s="82" t="e">
        <f t="shared" si="2"/>
        <v>#DIV/0!</v>
      </c>
    </row>
    <row r="27" spans="3:21" x14ac:dyDescent="0.25">
      <c r="C27" s="196"/>
      <c r="D27" s="189"/>
      <c r="E27" s="157"/>
      <c r="F27" s="81">
        <f t="shared" si="3"/>
        <v>0</v>
      </c>
      <c r="G27" s="82" t="e">
        <f t="shared" si="0"/>
        <v>#DIV/0!</v>
      </c>
      <c r="I27" s="81"/>
      <c r="J27" s="81"/>
      <c r="K27" s="81">
        <f t="shared" si="1"/>
        <v>0</v>
      </c>
      <c r="L27" s="82" t="e">
        <f t="shared" si="2"/>
        <v>#DIV/0!</v>
      </c>
    </row>
    <row r="28" spans="3:21" x14ac:dyDescent="0.25">
      <c r="C28" s="194"/>
      <c r="D28" s="189"/>
      <c r="E28" s="157"/>
      <c r="F28" s="81">
        <f t="shared" si="3"/>
        <v>0</v>
      </c>
      <c r="G28" s="82" t="e">
        <f t="shared" si="0"/>
        <v>#DIV/0!</v>
      </c>
      <c r="I28" s="81"/>
      <c r="J28" s="81"/>
      <c r="K28" s="81">
        <f t="shared" si="1"/>
        <v>0</v>
      </c>
      <c r="L28" s="82" t="e">
        <f t="shared" si="2"/>
        <v>#DIV/0!</v>
      </c>
    </row>
    <row r="29" spans="3:21" x14ac:dyDescent="0.25">
      <c r="C29" s="194"/>
      <c r="D29" s="189"/>
      <c r="E29" s="157"/>
      <c r="F29" s="146">
        <f t="shared" si="3"/>
        <v>0</v>
      </c>
      <c r="G29" s="82" t="e">
        <f t="shared" si="0"/>
        <v>#DIV/0!</v>
      </c>
      <c r="I29" s="81"/>
      <c r="J29" s="81"/>
      <c r="K29" s="81">
        <f t="shared" si="1"/>
        <v>0</v>
      </c>
      <c r="L29" s="82" t="e">
        <f t="shared" si="2"/>
        <v>#DIV/0!</v>
      </c>
      <c r="U29" s="156"/>
    </row>
    <row r="30" spans="3:21" x14ac:dyDescent="0.25">
      <c r="C30" s="194"/>
      <c r="D30" s="189"/>
      <c r="E30" s="157"/>
      <c r="F30" s="146">
        <f t="shared" si="3"/>
        <v>0</v>
      </c>
      <c r="G30" s="82" t="e">
        <f t="shared" si="0"/>
        <v>#DIV/0!</v>
      </c>
      <c r="I30" s="81"/>
      <c r="J30" s="81"/>
      <c r="K30" s="81">
        <f t="shared" si="1"/>
        <v>0</v>
      </c>
      <c r="L30" s="82" t="e">
        <f t="shared" si="2"/>
        <v>#DIV/0!</v>
      </c>
    </row>
    <row r="31" spans="3:21" x14ac:dyDescent="0.25">
      <c r="C31" s="194"/>
      <c r="D31" s="189"/>
      <c r="E31" s="157"/>
      <c r="F31" s="146">
        <f>D31-E31</f>
        <v>0</v>
      </c>
      <c r="G31" s="82" t="e">
        <f>E31/D31</f>
        <v>#DIV/0!</v>
      </c>
      <c r="I31" s="81"/>
      <c r="J31" s="81"/>
      <c r="K31" s="81">
        <f t="shared" si="1"/>
        <v>0</v>
      </c>
      <c r="L31" s="82" t="e">
        <f t="shared" si="2"/>
        <v>#DIV/0!</v>
      </c>
    </row>
    <row r="32" spans="3:21" x14ac:dyDescent="0.25">
      <c r="C32" s="197"/>
      <c r="D32" s="200"/>
      <c r="E32" s="200"/>
      <c r="F32" s="146">
        <f t="shared" si="3"/>
        <v>0</v>
      </c>
      <c r="G32" s="82" t="e">
        <f t="shared" si="0"/>
        <v>#DIV/0!</v>
      </c>
      <c r="I32" s="81"/>
      <c r="J32" s="81"/>
      <c r="K32" s="81">
        <f t="shared" si="1"/>
        <v>0</v>
      </c>
      <c r="L32" s="82" t="e">
        <f t="shared" si="2"/>
        <v>#DIV/0!</v>
      </c>
    </row>
    <row r="33" spans="3:12" x14ac:dyDescent="0.25">
      <c r="C33" s="196"/>
      <c r="D33" s="190"/>
      <c r="E33" s="158"/>
      <c r="F33" s="146">
        <f t="shared" si="3"/>
        <v>0</v>
      </c>
      <c r="G33" s="82" t="e">
        <f t="shared" si="0"/>
        <v>#DIV/0!</v>
      </c>
      <c r="I33" s="81"/>
      <c r="J33" s="81"/>
      <c r="K33" s="81">
        <f t="shared" si="1"/>
        <v>0</v>
      </c>
      <c r="L33" s="82" t="e">
        <f t="shared" si="2"/>
        <v>#DIV/0!</v>
      </c>
    </row>
    <row r="34" spans="3:12" x14ac:dyDescent="0.25">
      <c r="C34" s="195"/>
      <c r="D34" s="191"/>
      <c r="E34" s="184"/>
      <c r="F34" s="146">
        <f t="shared" si="3"/>
        <v>0</v>
      </c>
      <c r="G34" s="82" t="e">
        <f t="shared" si="0"/>
        <v>#DIV/0!</v>
      </c>
      <c r="I34" s="81"/>
      <c r="J34" s="81"/>
      <c r="K34" s="81">
        <f t="shared" si="1"/>
        <v>0</v>
      </c>
      <c r="L34" s="82" t="e">
        <f t="shared" si="2"/>
        <v>#DIV/0!</v>
      </c>
    </row>
    <row r="35" spans="3:12" x14ac:dyDescent="0.25">
      <c r="C35" s="185"/>
      <c r="D35" s="188"/>
      <c r="E35" s="156"/>
      <c r="F35" s="146">
        <f t="shared" ref="F35" si="4">D35-E35</f>
        <v>0</v>
      </c>
      <c r="G35" s="82" t="e">
        <f t="shared" ref="G35" si="5">E35/D35</f>
        <v>#DIV/0!</v>
      </c>
      <c r="I35" s="81"/>
      <c r="J35" s="80"/>
      <c r="K35" s="81">
        <f t="shared" ref="K35" si="6">I35-J35</f>
        <v>0</v>
      </c>
      <c r="L35" s="82" t="e">
        <f t="shared" ref="L35" si="7">J35/I35</f>
        <v>#DIV/0!</v>
      </c>
    </row>
    <row r="36" spans="3:12" x14ac:dyDescent="0.25">
      <c r="C36" s="185"/>
      <c r="D36" s="188"/>
      <c r="E36" s="156"/>
      <c r="F36" s="146">
        <f>D36-E36</f>
        <v>0</v>
      </c>
      <c r="G36" s="82" t="e">
        <f>E36/D36</f>
        <v>#DIV/0!</v>
      </c>
      <c r="I36" s="81"/>
      <c r="J36" s="81"/>
      <c r="K36" s="81"/>
      <c r="L36" s="82"/>
    </row>
    <row r="37" spans="3:12" x14ac:dyDescent="0.25">
      <c r="D37" s="81">
        <f>SUM(D6:D36)</f>
        <v>125676.79</v>
      </c>
      <c r="E37" s="81">
        <f>SUM(E6:E36)</f>
        <v>126236.16999999998</v>
      </c>
      <c r="F37" s="81">
        <f>SUM(F6:F35)</f>
        <v>-559.37999999999738</v>
      </c>
      <c r="G37" s="82">
        <f>E37/D37</f>
        <v>1.0044509411801494</v>
      </c>
      <c r="I37" s="81">
        <f>SUM(I6:I36)</f>
        <v>0</v>
      </c>
      <c r="J37" s="81">
        <f>SUM(J6:J36)</f>
        <v>0</v>
      </c>
      <c r="K37" s="81">
        <f>SUM(K6:K35)</f>
        <v>0</v>
      </c>
      <c r="L37" s="82" t="e">
        <f>J37/I37</f>
        <v>#DIV/0!</v>
      </c>
    </row>
  </sheetData>
  <sortState xmlns:xlrd2="http://schemas.microsoft.com/office/spreadsheetml/2017/richdata2" ref="C6:C21">
    <sortCondition ref="C6:C21"/>
  </sortState>
  <pageMargins left="0.7" right="0.7" top="0.75" bottom="0.75" header="0.3" footer="0.3"/>
  <pageSetup scale="14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DC93-934B-4BB3-9245-C5080D0E13F9}">
  <sheetPr>
    <pageSetUpPr fitToPage="1"/>
  </sheetPr>
  <dimension ref="A1:AB69"/>
  <sheetViews>
    <sheetView workbookViewId="0">
      <selection activeCell="M29" sqref="M29"/>
    </sheetView>
  </sheetViews>
  <sheetFormatPr defaultRowHeight="15" x14ac:dyDescent="0.25"/>
  <cols>
    <col min="1" max="1" width="10.7109375" customWidth="1"/>
    <col min="2" max="3" width="14.28515625" style="84" bestFit="1" customWidth="1"/>
    <col min="4" max="5" width="12.5703125" style="84" customWidth="1"/>
    <col min="6" max="7" width="14.28515625" style="84" customWidth="1"/>
    <col min="8" max="8" width="13.5703125" style="84" customWidth="1"/>
    <col min="9" max="9" width="12" style="84" customWidth="1"/>
    <col min="10" max="12" width="14.28515625" style="84" customWidth="1"/>
    <col min="13" max="13" width="12" style="84" customWidth="1"/>
    <col min="14" max="14" width="14" style="84" hidden="1" customWidth="1"/>
    <col min="15" max="16" width="10.42578125" style="84" hidden="1" customWidth="1"/>
    <col min="17" max="17" width="12" style="84" hidden="1" customWidth="1"/>
    <col min="18" max="18" width="14.28515625" style="84" customWidth="1"/>
    <col min="22" max="22" width="11.7109375" bestFit="1" customWidth="1"/>
    <col min="26" max="26" width="10.140625" bestFit="1" customWidth="1"/>
  </cols>
  <sheetData>
    <row r="1" spans="1:20" x14ac:dyDescent="0.25">
      <c r="A1" t="s">
        <v>968</v>
      </c>
      <c r="B1" s="98">
        <v>1</v>
      </c>
      <c r="C1" s="98">
        <v>2</v>
      </c>
      <c r="D1" s="98">
        <v>3</v>
      </c>
      <c r="E1" s="98"/>
      <c r="F1" s="98">
        <v>4</v>
      </c>
      <c r="G1" s="98">
        <v>5</v>
      </c>
      <c r="H1" s="98">
        <v>6</v>
      </c>
    </row>
    <row r="2" spans="1:20" x14ac:dyDescent="0.25">
      <c r="A2" t="s">
        <v>969</v>
      </c>
      <c r="B2" s="98">
        <v>5</v>
      </c>
      <c r="C2" s="98">
        <v>4</v>
      </c>
      <c r="D2" s="98">
        <v>4</v>
      </c>
      <c r="E2" s="98"/>
      <c r="F2" s="98">
        <v>5</v>
      </c>
      <c r="G2" s="98">
        <v>4</v>
      </c>
      <c r="H2" s="98">
        <v>4</v>
      </c>
    </row>
    <row r="3" spans="1:20" ht="15.75" thickBot="1" x14ac:dyDescent="0.3">
      <c r="A3" t="s">
        <v>970</v>
      </c>
      <c r="B3" s="98" t="s">
        <v>971</v>
      </c>
      <c r="C3" s="98" t="s">
        <v>972</v>
      </c>
      <c r="D3" s="98" t="s">
        <v>973</v>
      </c>
      <c r="E3" s="98" t="s">
        <v>974</v>
      </c>
      <c r="F3" s="98" t="s">
        <v>975</v>
      </c>
      <c r="G3" s="98" t="s">
        <v>976</v>
      </c>
      <c r="H3" s="98" t="s">
        <v>977</v>
      </c>
      <c r="I3" s="98" t="s">
        <v>978</v>
      </c>
      <c r="J3" s="98" t="s">
        <v>979</v>
      </c>
      <c r="K3" s="98" t="s">
        <v>980</v>
      </c>
      <c r="L3" s="98" t="s">
        <v>981</v>
      </c>
      <c r="M3" s="98" t="s">
        <v>982</v>
      </c>
      <c r="N3" s="98" t="s">
        <v>983</v>
      </c>
      <c r="O3" s="98" t="s">
        <v>984</v>
      </c>
      <c r="P3" s="98" t="s">
        <v>985</v>
      </c>
      <c r="Q3" s="98" t="s">
        <v>986</v>
      </c>
      <c r="R3" s="98" t="s">
        <v>987</v>
      </c>
      <c r="S3" s="98" t="s">
        <v>856</v>
      </c>
      <c r="T3">
        <v>2024</v>
      </c>
    </row>
    <row r="4" spans="1:20" x14ac:dyDescent="0.25">
      <c r="A4" s="86" t="s">
        <v>801</v>
      </c>
      <c r="B4" s="160">
        <v>0.39400000000000002</v>
      </c>
      <c r="C4" s="87">
        <v>0.1356</v>
      </c>
      <c r="D4" s="164">
        <v>4.9799999999999997E-2</v>
      </c>
      <c r="E4" s="168"/>
      <c r="F4" s="160">
        <v>4.9099999999999998E-2</v>
      </c>
      <c r="G4" s="87">
        <v>5.0099999999999999E-2</v>
      </c>
      <c r="H4" s="164">
        <v>7.4399999999999994E-2</v>
      </c>
      <c r="I4" s="168"/>
      <c r="J4" s="160">
        <v>5.4800000000000001E-2</v>
      </c>
      <c r="K4" s="87">
        <v>5.62E-2</v>
      </c>
      <c r="L4" s="164"/>
      <c r="M4" s="168"/>
      <c r="N4" s="160"/>
      <c r="O4" s="87"/>
      <c r="P4" s="88"/>
      <c r="Q4" s="168"/>
      <c r="R4" s="393"/>
      <c r="S4" s="88">
        <v>1.78E-2</v>
      </c>
      <c r="T4" s="88">
        <v>0.10390000000000001</v>
      </c>
    </row>
    <row r="5" spans="1:20" ht="15.75" thickBot="1" x14ac:dyDescent="0.3">
      <c r="A5" s="89" t="s">
        <v>988</v>
      </c>
      <c r="B5" s="161">
        <v>5.1200000000000002E-2</v>
      </c>
      <c r="C5" s="90">
        <v>5.5399999999999998E-2</v>
      </c>
      <c r="D5" s="165">
        <v>4.9799999999999997E-2</v>
      </c>
      <c r="E5" s="169"/>
      <c r="F5" s="161">
        <v>4.9099999999999998E-2</v>
      </c>
      <c r="G5" s="90">
        <v>0.05</v>
      </c>
      <c r="H5" s="165">
        <v>5.6899999999999999E-2</v>
      </c>
      <c r="I5" s="169"/>
      <c r="J5" s="161">
        <v>4.6800000000000001E-2</v>
      </c>
      <c r="K5" s="90">
        <v>5.5800000000000002E-2</v>
      </c>
      <c r="L5" s="165">
        <v>5.0299999999999997E-2</v>
      </c>
      <c r="M5" s="169"/>
      <c r="N5" s="161"/>
      <c r="O5" s="90"/>
      <c r="P5" s="91"/>
      <c r="Q5" s="169"/>
      <c r="R5" s="394">
        <v>5.1299999999999998E-2</v>
      </c>
      <c r="S5" s="91">
        <v>5.16E-2</v>
      </c>
      <c r="T5" s="91">
        <v>5.0999999999999997E-2</v>
      </c>
    </row>
    <row r="6" spans="1:20" x14ac:dyDescent="0.25">
      <c r="A6" s="92" t="s">
        <v>2</v>
      </c>
      <c r="B6" s="162">
        <v>0.16769999999999999</v>
      </c>
      <c r="C6" s="93">
        <v>0.13539999999999999</v>
      </c>
      <c r="D6" s="166">
        <v>0.1744</v>
      </c>
      <c r="E6" s="168"/>
      <c r="F6" s="162">
        <v>0.2198</v>
      </c>
      <c r="G6" s="93">
        <v>0.16669999999999999</v>
      </c>
      <c r="H6" s="166">
        <v>0.20200000000000001</v>
      </c>
      <c r="I6" s="168"/>
      <c r="J6" s="162">
        <v>0.17899999999999999</v>
      </c>
      <c r="K6" s="93">
        <v>0.31609999999999999</v>
      </c>
      <c r="L6" s="166"/>
      <c r="M6" s="168"/>
      <c r="N6" s="162"/>
      <c r="O6" s="93"/>
      <c r="P6" s="94"/>
      <c r="Q6" s="168"/>
      <c r="R6" s="393"/>
      <c r="S6" s="94">
        <v>0.1812</v>
      </c>
      <c r="T6" s="94">
        <v>0.19800000000000001</v>
      </c>
    </row>
    <row r="7" spans="1:20" ht="15.75" thickBot="1" x14ac:dyDescent="0.3">
      <c r="A7" s="95" t="s">
        <v>988</v>
      </c>
      <c r="B7" s="163">
        <v>0.20710000000000001</v>
      </c>
      <c r="C7" s="96">
        <v>0.1825</v>
      </c>
      <c r="D7" s="167">
        <v>0.21249999999999999</v>
      </c>
      <c r="E7" s="169"/>
      <c r="F7" s="163">
        <v>0.22189999999999999</v>
      </c>
      <c r="G7" s="96">
        <v>0.2276</v>
      </c>
      <c r="H7" s="167">
        <v>0.22439999999999999</v>
      </c>
      <c r="I7" s="169"/>
      <c r="J7" s="163">
        <v>0.1744</v>
      </c>
      <c r="K7" s="96">
        <v>0.18959999999999999</v>
      </c>
      <c r="L7" s="167">
        <v>0.21240000000000001</v>
      </c>
      <c r="M7" s="169"/>
      <c r="N7" s="163"/>
      <c r="O7" s="96"/>
      <c r="P7" s="97"/>
      <c r="Q7" s="169"/>
      <c r="R7" s="395">
        <v>0.20530000000000001</v>
      </c>
      <c r="S7" s="97">
        <v>0.19689999999999999</v>
      </c>
      <c r="T7" s="97">
        <v>0.21270634886584103</v>
      </c>
    </row>
    <row r="8" spans="1:20" x14ac:dyDescent="0.25">
      <c r="A8" s="86" t="s">
        <v>6</v>
      </c>
      <c r="B8" s="160">
        <v>0.17530000000000001</v>
      </c>
      <c r="C8" s="87">
        <v>0.13769999999999999</v>
      </c>
      <c r="D8" s="164">
        <v>0.1888</v>
      </c>
      <c r="E8" s="168"/>
      <c r="F8" s="160">
        <v>0.1313</v>
      </c>
      <c r="G8" s="87">
        <v>0.1673</v>
      </c>
      <c r="H8" s="164">
        <v>0.121</v>
      </c>
      <c r="I8" s="168"/>
      <c r="J8" s="160">
        <v>0.16120000000000001</v>
      </c>
      <c r="K8" s="87">
        <v>0.2344</v>
      </c>
      <c r="L8" s="164"/>
      <c r="M8" s="168"/>
      <c r="N8" s="160"/>
      <c r="O8" s="87"/>
      <c r="P8" s="88"/>
      <c r="Q8" s="168"/>
      <c r="R8" s="393"/>
      <c r="S8" s="88">
        <v>0.1951</v>
      </c>
      <c r="T8" s="88">
        <v>0.2177</v>
      </c>
    </row>
    <row r="9" spans="1:20" ht="15.75" thickBot="1" x14ac:dyDescent="0.3">
      <c r="A9" s="89" t="s">
        <v>988</v>
      </c>
      <c r="B9" s="161">
        <v>0.27400000000000002</v>
      </c>
      <c r="C9" s="90">
        <v>0.2349</v>
      </c>
      <c r="D9" s="165">
        <v>0.2069</v>
      </c>
      <c r="E9" s="169"/>
      <c r="F9" s="161">
        <v>0.223</v>
      </c>
      <c r="G9" s="90">
        <v>0.2424</v>
      </c>
      <c r="H9" s="165">
        <v>0.2737</v>
      </c>
      <c r="I9" s="169"/>
      <c r="J9" s="161">
        <v>0.2445</v>
      </c>
      <c r="K9" s="90">
        <v>0.2656</v>
      </c>
      <c r="L9" s="165">
        <v>0.31390000000000001</v>
      </c>
      <c r="M9" s="169"/>
      <c r="N9" s="161"/>
      <c r="O9" s="90"/>
      <c r="P9" s="91"/>
      <c r="Q9" s="169"/>
      <c r="R9" s="394">
        <v>0.25290000000000001</v>
      </c>
      <c r="S9" s="91">
        <v>0.27679999999999999</v>
      </c>
      <c r="T9" s="91">
        <v>0.21929999999999999</v>
      </c>
    </row>
    <row r="10" spans="1:20" ht="15.75" thickBot="1" x14ac:dyDescent="0.3">
      <c r="A10" s="317" t="s">
        <v>989</v>
      </c>
      <c r="B10" s="396">
        <v>0.15959999999999999</v>
      </c>
      <c r="C10" s="397">
        <v>0.1464</v>
      </c>
      <c r="D10" s="398">
        <v>0.12740000000000001</v>
      </c>
      <c r="E10" s="402">
        <v>0.1462</v>
      </c>
      <c r="F10" s="403">
        <v>0.1371</v>
      </c>
      <c r="G10" s="397">
        <v>0.1384</v>
      </c>
      <c r="H10" s="404">
        <v>0.12690000000000001</v>
      </c>
      <c r="I10" s="402">
        <v>0.13420000000000001</v>
      </c>
      <c r="J10" s="396">
        <v>0.13819999999999999</v>
      </c>
      <c r="K10" s="397">
        <v>0.1258</v>
      </c>
      <c r="L10" s="398">
        <v>0.113</v>
      </c>
      <c r="M10" s="402">
        <v>0.1268</v>
      </c>
      <c r="N10" s="396"/>
      <c r="O10" s="397"/>
      <c r="P10" s="398"/>
      <c r="Q10" s="399"/>
      <c r="R10" s="400">
        <v>0.1356</v>
      </c>
      <c r="S10" s="401">
        <v>0.1399</v>
      </c>
      <c r="T10" s="401">
        <v>0.159</v>
      </c>
    </row>
    <row r="11" spans="1:20" x14ac:dyDescent="0.25">
      <c r="A11" s="92" t="s">
        <v>1</v>
      </c>
      <c r="B11" s="162">
        <v>0.127</v>
      </c>
      <c r="C11" s="93">
        <v>0.127</v>
      </c>
      <c r="D11" s="166">
        <v>0.1532</v>
      </c>
      <c r="E11" s="170">
        <v>0.13389999999999999</v>
      </c>
      <c r="F11" s="162">
        <v>0.13389999999999999</v>
      </c>
      <c r="G11" s="93">
        <v>0.13389999999999999</v>
      </c>
      <c r="H11" s="162">
        <v>0.12479999999999999</v>
      </c>
      <c r="I11" s="170">
        <v>0.1313</v>
      </c>
      <c r="J11" s="162">
        <v>0.13289999999999999</v>
      </c>
      <c r="K11" s="93">
        <v>0.13289999999999999</v>
      </c>
      <c r="L11" s="166"/>
      <c r="M11" s="170"/>
      <c r="N11" s="162"/>
      <c r="O11" s="93"/>
      <c r="P11" s="93"/>
      <c r="Q11" s="170"/>
      <c r="R11" s="393"/>
      <c r="S11" s="94">
        <v>0.127</v>
      </c>
      <c r="T11" s="94">
        <v>0.1429</v>
      </c>
    </row>
    <row r="12" spans="1:20" ht="15.75" thickBot="1" x14ac:dyDescent="0.3">
      <c r="A12" s="95" t="s">
        <v>988</v>
      </c>
      <c r="B12" s="163">
        <v>0.14660000000000001</v>
      </c>
      <c r="C12" s="96">
        <v>0.16239999999999999</v>
      </c>
      <c r="D12" s="167">
        <v>0.10580000000000001</v>
      </c>
      <c r="E12" s="171">
        <v>0.14119999999999999</v>
      </c>
      <c r="F12" s="163">
        <v>0.13439999999999999</v>
      </c>
      <c r="G12" s="96">
        <v>0.1515</v>
      </c>
      <c r="H12" s="167">
        <v>0.1391</v>
      </c>
      <c r="I12" s="171">
        <v>0.1409</v>
      </c>
      <c r="J12" s="163">
        <v>0.14799999999999999</v>
      </c>
      <c r="K12" s="96">
        <v>0.1411</v>
      </c>
      <c r="L12" s="167">
        <v>0.1489</v>
      </c>
      <c r="M12" s="171">
        <v>0.1459</v>
      </c>
      <c r="N12" s="163"/>
      <c r="O12" s="96"/>
      <c r="P12" s="96"/>
      <c r="Q12" s="171"/>
      <c r="R12" s="395">
        <v>0.14269999999999999</v>
      </c>
      <c r="S12" s="97">
        <v>0.14710000000000001</v>
      </c>
      <c r="T12" s="97">
        <v>0.156</v>
      </c>
    </row>
    <row r="13" spans="1:20" x14ac:dyDescent="0.25">
      <c r="A13" s="86" t="s">
        <v>990</v>
      </c>
      <c r="B13" s="160">
        <v>0.1399</v>
      </c>
      <c r="C13" s="87">
        <v>0.1295</v>
      </c>
      <c r="D13" s="164">
        <v>0.1588</v>
      </c>
      <c r="E13" s="168"/>
      <c r="F13" s="160">
        <v>0.14599999999999999</v>
      </c>
      <c r="G13" s="87">
        <v>0.1431</v>
      </c>
      <c r="H13" s="164">
        <v>0.14269999999999999</v>
      </c>
      <c r="I13" s="168"/>
      <c r="J13" s="160">
        <v>0.14380000000000001</v>
      </c>
      <c r="K13" s="87">
        <v>0.17399999999999999</v>
      </c>
      <c r="L13" s="164"/>
      <c r="M13" s="168"/>
      <c r="N13" s="160"/>
      <c r="O13" s="87"/>
      <c r="P13" s="88"/>
      <c r="Q13" s="168"/>
      <c r="R13" s="393"/>
      <c r="S13" s="88">
        <v>0.14030000000000001</v>
      </c>
      <c r="T13" s="88">
        <v>0.15790000000000001</v>
      </c>
    </row>
    <row r="14" spans="1:20" ht="15.75" thickBot="1" x14ac:dyDescent="0.3">
      <c r="A14" s="89" t="s">
        <v>988</v>
      </c>
      <c r="B14" s="161">
        <v>0.16750000000000001</v>
      </c>
      <c r="C14" s="90">
        <v>0.1716</v>
      </c>
      <c r="D14" s="165">
        <v>0.13100000000000001</v>
      </c>
      <c r="E14" s="169"/>
      <c r="F14" s="161">
        <v>0.15759999999999999</v>
      </c>
      <c r="G14" s="90">
        <v>0.17469999999999999</v>
      </c>
      <c r="H14" s="165">
        <v>0.1701</v>
      </c>
      <c r="I14" s="169"/>
      <c r="J14" s="161">
        <v>0.16339999999999999</v>
      </c>
      <c r="K14" s="90">
        <v>0.16120000000000001</v>
      </c>
      <c r="L14" s="165">
        <v>0.17480000000000001</v>
      </c>
      <c r="M14" s="169"/>
      <c r="N14" s="161"/>
      <c r="O14" s="90"/>
      <c r="P14" s="91"/>
      <c r="Q14" s="169"/>
      <c r="R14" s="394">
        <v>0.1641</v>
      </c>
      <c r="S14" s="91">
        <v>0.16719999999999999</v>
      </c>
      <c r="T14" s="91">
        <v>0.17255178044551289</v>
      </c>
    </row>
    <row r="15" spans="1:20" x14ac:dyDescent="0.25"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20" x14ac:dyDescent="0.25"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</row>
    <row r="17" spans="1:28" x14ac:dyDescent="0.25">
      <c r="A17" t="s">
        <v>868</v>
      </c>
      <c r="B17" s="85"/>
      <c r="C17" s="85"/>
      <c r="D17" s="85"/>
      <c r="E17" s="136"/>
      <c r="F17" s="137"/>
      <c r="G17" s="46"/>
      <c r="H17" s="46"/>
      <c r="I17" s="46"/>
      <c r="J17" s="118"/>
      <c r="K17" s="111"/>
      <c r="L17" s="108"/>
      <c r="M17" s="46"/>
      <c r="Q17" s="46"/>
      <c r="R17" s="85"/>
    </row>
    <row r="18" spans="1:28" x14ac:dyDescent="0.25">
      <c r="A18" t="s">
        <v>801</v>
      </c>
      <c r="B18" s="484">
        <v>8149.45</v>
      </c>
      <c r="C18" s="484">
        <v>1812.06</v>
      </c>
      <c r="D18" s="484">
        <v>4401.91</v>
      </c>
      <c r="E18" s="485"/>
      <c r="F18" s="484">
        <v>2819.95</v>
      </c>
      <c r="G18" s="486">
        <v>1727.68</v>
      </c>
      <c r="H18" s="486">
        <v>3058.27</v>
      </c>
      <c r="I18" s="487"/>
      <c r="J18" s="486">
        <v>2068.14</v>
      </c>
      <c r="K18" s="486">
        <v>25.99</v>
      </c>
      <c r="L18" s="486">
        <v>214.37</v>
      </c>
      <c r="M18" s="486"/>
      <c r="N18" s="486"/>
      <c r="O18" s="486"/>
      <c r="P18" s="486"/>
      <c r="Q18" s="486"/>
      <c r="R18" s="488">
        <f>SUM(B18:Q18)</f>
        <v>24277.82</v>
      </c>
    </row>
    <row r="19" spans="1:28" x14ac:dyDescent="0.25">
      <c r="A19" t="s">
        <v>2</v>
      </c>
      <c r="B19" s="484">
        <v>217230.97</v>
      </c>
      <c r="C19" s="484">
        <v>183048.34</v>
      </c>
      <c r="D19" s="484">
        <v>122041.86000000002</v>
      </c>
      <c r="E19" s="484"/>
      <c r="F19" s="486">
        <v>191065.37</v>
      </c>
      <c r="G19" s="486">
        <v>152505.33000000002</v>
      </c>
      <c r="H19" s="486">
        <v>219772.08</v>
      </c>
      <c r="I19" s="487"/>
      <c r="J19" s="486">
        <v>198746.72</v>
      </c>
      <c r="K19" s="486">
        <v>184806.38</v>
      </c>
      <c r="L19" s="486">
        <v>158451.52000000002</v>
      </c>
      <c r="M19" s="486"/>
      <c r="N19" s="486"/>
      <c r="O19" s="486"/>
      <c r="P19" s="486"/>
      <c r="Q19" s="486"/>
      <c r="R19" s="488">
        <f t="shared" ref="R19:R21" si="0">SUM(B19:Q19)</f>
        <v>1627668.5700000003</v>
      </c>
    </row>
    <row r="20" spans="1:28" x14ac:dyDescent="0.25">
      <c r="A20" t="s">
        <v>6</v>
      </c>
      <c r="B20" s="484">
        <v>99998.77</v>
      </c>
      <c r="C20" s="484">
        <v>89632.52</v>
      </c>
      <c r="D20" s="484">
        <v>60249.49</v>
      </c>
      <c r="E20" s="484"/>
      <c r="F20" s="486">
        <v>115915.34</v>
      </c>
      <c r="G20" s="486">
        <v>107340.63</v>
      </c>
      <c r="H20" s="486">
        <v>72610.94</v>
      </c>
      <c r="I20" s="487"/>
      <c r="J20" s="486">
        <v>123015.27</v>
      </c>
      <c r="K20" s="486">
        <v>95937.49</v>
      </c>
      <c r="L20" s="486">
        <v>85041.98</v>
      </c>
      <c r="M20" s="486"/>
      <c r="N20" s="486"/>
      <c r="O20" s="486"/>
      <c r="P20" s="486"/>
      <c r="Q20" s="486"/>
      <c r="R20" s="488">
        <f t="shared" si="0"/>
        <v>849742.42999999993</v>
      </c>
    </row>
    <row r="21" spans="1:28" x14ac:dyDescent="0.25">
      <c r="A21" t="s">
        <v>1</v>
      </c>
      <c r="B21" s="484">
        <v>904367.23</v>
      </c>
      <c r="C21" s="484">
        <v>743011.35000000009</v>
      </c>
      <c r="D21" s="484">
        <v>583239.20000000007</v>
      </c>
      <c r="E21" s="484"/>
      <c r="F21" s="486">
        <v>905023.24</v>
      </c>
      <c r="G21" s="486">
        <v>656071.92999999993</v>
      </c>
      <c r="H21" s="486">
        <v>625332.14</v>
      </c>
      <c r="I21" s="487"/>
      <c r="J21" s="486">
        <v>826081.72</v>
      </c>
      <c r="K21" s="486">
        <v>780818.12</v>
      </c>
      <c r="L21" s="486">
        <v>700751.33999999985</v>
      </c>
      <c r="M21" s="486"/>
      <c r="N21" s="486"/>
      <c r="O21" s="486"/>
      <c r="P21" s="486"/>
      <c r="Q21" s="486"/>
      <c r="R21" s="488">
        <f t="shared" si="0"/>
        <v>6724696.2699999996</v>
      </c>
    </row>
    <row r="22" spans="1:28" x14ac:dyDescent="0.25">
      <c r="A22" t="s">
        <v>11</v>
      </c>
      <c r="B22" s="484">
        <f>SUM(B18:B21)</f>
        <v>1229746.42</v>
      </c>
      <c r="C22" s="484">
        <f t="shared" ref="C22:H22" si="1">SUM(C18:C21)</f>
        <v>1017504.27</v>
      </c>
      <c r="D22" s="484">
        <f t="shared" si="1"/>
        <v>769932.46000000008</v>
      </c>
      <c r="E22" s="484"/>
      <c r="F22" s="484">
        <f>SUM(F18:F21)</f>
        <v>1214823.8999999999</v>
      </c>
      <c r="G22" s="484">
        <f t="shared" si="1"/>
        <v>917645.57</v>
      </c>
      <c r="H22" s="484">
        <f t="shared" si="1"/>
        <v>920773.42999999993</v>
      </c>
      <c r="I22" s="487"/>
      <c r="J22" s="484">
        <f>SUM(J18:J21)</f>
        <v>1149911.8500000001</v>
      </c>
      <c r="K22" s="484">
        <f>SUM(K18:K21)</f>
        <v>1061587.98</v>
      </c>
      <c r="L22" s="484">
        <f>SUM(L18:L21)</f>
        <v>944459.20999999985</v>
      </c>
      <c r="M22" s="484"/>
      <c r="N22" s="484">
        <f t="shared" ref="N22:Q22" si="2">SUM(N18:N21)</f>
        <v>0</v>
      </c>
      <c r="O22" s="484">
        <f t="shared" si="2"/>
        <v>0</v>
      </c>
      <c r="P22" s="484">
        <f t="shared" si="2"/>
        <v>0</v>
      </c>
      <c r="Q22" s="484">
        <f t="shared" si="2"/>
        <v>0</v>
      </c>
      <c r="R22" s="488">
        <f t="shared" ref="R22" si="3">SUM(B22:L22)</f>
        <v>9226385.0899999999</v>
      </c>
    </row>
    <row r="23" spans="1:28" x14ac:dyDescent="0.25">
      <c r="D23" s="85"/>
      <c r="E23" s="136"/>
      <c r="F23" s="137"/>
      <c r="G23" s="46"/>
      <c r="H23" s="46"/>
      <c r="I23" s="46"/>
      <c r="J23" s="118"/>
      <c r="K23" s="111"/>
      <c r="L23" s="108"/>
      <c r="M23" s="46"/>
      <c r="N23" s="256"/>
      <c r="O23" s="257"/>
      <c r="Q23" s="46"/>
    </row>
    <row r="24" spans="1:28" x14ac:dyDescent="0.25">
      <c r="D24" s="85"/>
      <c r="E24" s="136"/>
      <c r="F24" s="137"/>
      <c r="G24" s="46"/>
      <c r="H24" s="46"/>
      <c r="I24" s="46"/>
      <c r="J24" s="118"/>
      <c r="K24" s="111"/>
      <c r="L24" s="108"/>
      <c r="M24" s="46"/>
      <c r="N24" s="256"/>
      <c r="O24" s="257"/>
      <c r="Q24" s="46"/>
    </row>
    <row r="25" spans="1:28" x14ac:dyDescent="0.25">
      <c r="D25" s="85"/>
      <c r="E25" s="136"/>
      <c r="F25" s="137"/>
      <c r="G25" s="46"/>
      <c r="H25" s="46"/>
      <c r="I25" s="46"/>
      <c r="J25" s="118"/>
      <c r="K25" s="111"/>
      <c r="L25" s="108"/>
      <c r="M25" s="46"/>
      <c r="N25" s="256"/>
      <c r="O25" s="257"/>
      <c r="Q25" s="46"/>
    </row>
    <row r="26" spans="1:28" x14ac:dyDescent="0.25">
      <c r="D26" s="85"/>
      <c r="E26" s="136"/>
      <c r="F26" s="137"/>
      <c r="G26" s="46"/>
      <c r="H26" s="46"/>
      <c r="I26" s="46"/>
      <c r="J26" s="118"/>
      <c r="K26" s="111"/>
      <c r="L26" s="108"/>
      <c r="M26" s="46"/>
      <c r="N26" s="256"/>
      <c r="O26" s="257"/>
      <c r="Q26" s="46"/>
    </row>
    <row r="27" spans="1:28" x14ac:dyDescent="0.25">
      <c r="D27" s="85"/>
      <c r="E27" s="136"/>
      <c r="F27" s="137"/>
      <c r="G27" s="46"/>
      <c r="H27" s="46"/>
      <c r="I27" s="46"/>
      <c r="J27" s="118"/>
      <c r="K27" s="111"/>
      <c r="L27" s="108"/>
      <c r="M27" s="46"/>
      <c r="N27" s="256"/>
      <c r="O27" s="257"/>
      <c r="Q27" s="46"/>
    </row>
    <row r="28" spans="1:28" x14ac:dyDescent="0.25">
      <c r="B28" s="104"/>
      <c r="D28" s="85"/>
      <c r="E28" s="136"/>
      <c r="F28" s="137"/>
      <c r="G28" s="46"/>
      <c r="H28" s="46"/>
      <c r="I28" s="46"/>
      <c r="J28" s="118"/>
      <c r="K28" s="111"/>
      <c r="L28" s="108"/>
      <c r="M28" s="46"/>
      <c r="Q28" s="46"/>
      <c r="R28" s="45"/>
      <c r="S28" s="46"/>
      <c r="T28" s="105"/>
      <c r="U28" s="46"/>
      <c r="V28" s="106"/>
      <c r="W28" s="46"/>
      <c r="X28" s="106"/>
      <c r="Y28" s="46"/>
      <c r="Z28" s="110"/>
      <c r="AA28" s="46"/>
      <c r="AB28" s="111"/>
    </row>
    <row r="29" spans="1:28" ht="15.75" x14ac:dyDescent="0.25">
      <c r="B29" s="112"/>
      <c r="D29" s="85"/>
      <c r="E29" s="136"/>
      <c r="F29" s="137"/>
      <c r="G29" s="46"/>
      <c r="H29" s="46"/>
      <c r="I29" s="46"/>
      <c r="J29" s="118"/>
      <c r="K29" s="111"/>
      <c r="L29" s="108"/>
      <c r="M29" s="46"/>
      <c r="Q29" s="46"/>
      <c r="R29" s="46"/>
      <c r="S29" s="46"/>
      <c r="T29" s="46"/>
      <c r="U29" s="113"/>
      <c r="V29" s="114"/>
      <c r="W29" s="46"/>
      <c r="X29" s="114"/>
      <c r="Y29" s="46"/>
      <c r="Z29" s="115"/>
      <c r="AA29" s="46"/>
      <c r="AB29" s="116"/>
    </row>
    <row r="30" spans="1:28" x14ac:dyDescent="0.25">
      <c r="B30" s="104"/>
      <c r="C30" s="45"/>
      <c r="D30" s="85"/>
      <c r="E30" s="136"/>
      <c r="F30" s="137"/>
      <c r="G30" s="46"/>
      <c r="H30" s="46"/>
      <c r="I30" s="46"/>
      <c r="J30" s="118"/>
      <c r="K30" s="111"/>
      <c r="L30" s="108"/>
      <c r="M30" s="46"/>
      <c r="Q30" s="46"/>
      <c r="R30" s="45"/>
      <c r="S30" s="46"/>
      <c r="T30" s="105"/>
      <c r="U30" s="46"/>
      <c r="V30" s="107"/>
      <c r="W30" s="46"/>
      <c r="X30" s="107"/>
      <c r="Y30" s="46"/>
      <c r="Z30" s="110"/>
      <c r="AA30" s="46"/>
      <c r="AB30" s="108"/>
    </row>
    <row r="31" spans="1:28" x14ac:dyDescent="0.25">
      <c r="B31" s="104"/>
      <c r="C31" s="46"/>
      <c r="D31" s="46"/>
      <c r="E31" s="46"/>
      <c r="F31" s="113"/>
      <c r="G31" s="114"/>
      <c r="H31" s="46"/>
      <c r="I31" s="114"/>
      <c r="J31" s="46"/>
      <c r="K31" s="115"/>
      <c r="L31" s="46"/>
      <c r="M31" s="114"/>
      <c r="Q31" s="114"/>
      <c r="R31" s="45"/>
      <c r="S31" s="46"/>
      <c r="T31" s="105"/>
      <c r="U31" s="46"/>
      <c r="V31" s="107"/>
      <c r="W31" s="46"/>
      <c r="X31" s="107"/>
      <c r="Y31" s="46"/>
      <c r="Z31" s="110"/>
      <c r="AA31" s="46"/>
      <c r="AB31" s="108"/>
    </row>
    <row r="32" spans="1:28" ht="15.75" x14ac:dyDescent="0.25">
      <c r="B32" s="112"/>
      <c r="C32" s="45"/>
      <c r="D32" s="46"/>
      <c r="E32" s="105"/>
      <c r="F32" s="46"/>
      <c r="G32" s="107"/>
      <c r="H32" s="46"/>
      <c r="I32" s="107"/>
      <c r="J32" s="46"/>
      <c r="K32" s="110"/>
      <c r="L32" s="46"/>
      <c r="M32" s="107"/>
      <c r="Q32" s="107"/>
      <c r="R32" s="46"/>
      <c r="S32" s="46"/>
      <c r="T32" s="46"/>
      <c r="U32" s="117"/>
      <c r="V32" s="114"/>
      <c r="W32" s="46"/>
      <c r="X32" s="115"/>
      <c r="Y32" s="46"/>
      <c r="Z32" s="115"/>
      <c r="AA32" s="46"/>
      <c r="AB32" s="116"/>
    </row>
    <row r="33" spans="2:28" x14ac:dyDescent="0.25">
      <c r="B33" s="104"/>
      <c r="C33" s="45"/>
      <c r="D33" s="46"/>
      <c r="E33" s="105"/>
      <c r="F33" s="46"/>
      <c r="G33" s="107"/>
      <c r="H33" s="46"/>
      <c r="I33" s="107"/>
      <c r="J33" s="46"/>
      <c r="K33" s="110"/>
      <c r="L33" s="46"/>
      <c r="M33" s="107"/>
      <c r="Q33" s="107"/>
      <c r="R33" s="45"/>
      <c r="S33" s="46"/>
      <c r="T33" s="109"/>
      <c r="U33" s="46"/>
      <c r="V33" s="106"/>
      <c r="W33" s="46"/>
      <c r="X33" s="107"/>
      <c r="Y33" s="46"/>
      <c r="Z33" s="107"/>
      <c r="AA33" s="46"/>
      <c r="AB33" s="108"/>
    </row>
    <row r="34" spans="2:28" x14ac:dyDescent="0.25">
      <c r="B34" s="104"/>
      <c r="C34" s="46"/>
      <c r="D34" s="46"/>
      <c r="E34" s="46"/>
      <c r="F34" s="117"/>
      <c r="G34" s="114"/>
      <c r="H34" s="46"/>
      <c r="I34" s="115"/>
      <c r="J34" s="46"/>
      <c r="K34" s="115"/>
      <c r="L34" s="46"/>
      <c r="M34" s="115"/>
      <c r="Q34" s="115"/>
      <c r="R34" s="45"/>
      <c r="S34" s="46"/>
      <c r="T34" s="118"/>
      <c r="U34" s="46"/>
      <c r="V34" s="110"/>
      <c r="W34" s="46"/>
      <c r="X34" s="110"/>
      <c r="Y34" s="46"/>
      <c r="Z34" s="110"/>
      <c r="AA34" s="46"/>
      <c r="AB34" s="108"/>
    </row>
    <row r="35" spans="2:28" ht="15.75" x14ac:dyDescent="0.25">
      <c r="B35" s="112"/>
      <c r="C35" s="45"/>
      <c r="D35" s="46"/>
      <c r="E35" s="109"/>
      <c r="F35" s="46"/>
      <c r="G35" s="110"/>
      <c r="H35" s="46"/>
      <c r="I35" s="110"/>
      <c r="J35" s="46"/>
      <c r="K35" s="110"/>
      <c r="L35" s="46"/>
      <c r="M35" s="110"/>
      <c r="Q35" s="110"/>
      <c r="R35" s="45"/>
      <c r="S35" s="46"/>
      <c r="T35" s="109"/>
      <c r="U35" s="46"/>
      <c r="V35" s="107"/>
      <c r="W35" s="46"/>
      <c r="X35" s="107"/>
      <c r="Y35" s="46"/>
      <c r="Z35" s="107"/>
      <c r="AA35" s="46"/>
      <c r="AB35" s="108"/>
    </row>
    <row r="36" spans="2:28" x14ac:dyDescent="0.25">
      <c r="B36" s="104"/>
      <c r="C36" s="45"/>
      <c r="D36" s="46"/>
      <c r="E36" s="118"/>
      <c r="F36" s="46"/>
      <c r="G36" s="110"/>
      <c r="H36" s="46"/>
      <c r="I36" s="110"/>
      <c r="J36" s="46"/>
      <c r="K36" s="110"/>
      <c r="L36" s="46"/>
      <c r="M36" s="110"/>
      <c r="Q36" s="110"/>
      <c r="R36" s="45"/>
      <c r="S36" s="46"/>
      <c r="T36" s="118"/>
      <c r="U36" s="46"/>
      <c r="V36" s="110"/>
      <c r="W36" s="46"/>
      <c r="X36" s="110"/>
      <c r="Y36" s="46"/>
      <c r="Z36" s="127"/>
      <c r="AA36" s="46"/>
      <c r="AB36" s="108"/>
    </row>
    <row r="37" spans="2:28" x14ac:dyDescent="0.25">
      <c r="B37" s="104"/>
      <c r="C37" s="46"/>
      <c r="D37" s="46"/>
      <c r="E37" s="46"/>
      <c r="F37" s="119"/>
      <c r="G37" s="115"/>
      <c r="H37" s="46"/>
      <c r="I37" s="115"/>
      <c r="J37" s="46"/>
      <c r="K37" s="120"/>
      <c r="L37" s="46"/>
      <c r="M37" s="115"/>
      <c r="Q37" s="115"/>
      <c r="R37" s="46"/>
      <c r="S37" s="46"/>
      <c r="T37" s="46"/>
      <c r="U37" s="117"/>
      <c r="V37" s="114"/>
      <c r="W37" s="46"/>
      <c r="X37" s="114"/>
      <c r="Y37" s="46"/>
      <c r="Z37" s="115"/>
      <c r="AA37" s="46"/>
      <c r="AB37" s="116"/>
    </row>
    <row r="38" spans="2:28" ht="15.75" x14ac:dyDescent="0.25">
      <c r="B38" s="112"/>
      <c r="C38" s="45"/>
      <c r="D38" s="46"/>
      <c r="E38" s="105"/>
      <c r="F38" s="46"/>
      <c r="G38" s="107"/>
      <c r="H38" s="46"/>
      <c r="I38" s="121"/>
      <c r="J38" s="46"/>
      <c r="K38" s="121"/>
      <c r="L38" s="46"/>
      <c r="M38" s="121"/>
      <c r="Q38" s="121"/>
      <c r="R38" s="45"/>
      <c r="S38" s="46"/>
      <c r="T38" s="109"/>
      <c r="U38" s="46"/>
      <c r="V38" s="110"/>
      <c r="W38" s="46"/>
      <c r="X38" s="110"/>
      <c r="Y38" s="46"/>
      <c r="Z38" s="110"/>
      <c r="AA38" s="46"/>
      <c r="AB38" s="108"/>
    </row>
    <row r="39" spans="2:28" x14ac:dyDescent="0.25">
      <c r="B39" s="104"/>
      <c r="C39" s="45"/>
      <c r="D39" s="46"/>
      <c r="E39" s="109"/>
      <c r="F39" s="46"/>
      <c r="G39" s="107"/>
      <c r="H39" s="46"/>
      <c r="I39" s="107"/>
      <c r="J39" s="46"/>
      <c r="K39" s="110"/>
      <c r="L39" s="46"/>
      <c r="M39" s="107"/>
      <c r="Q39" s="107"/>
      <c r="R39" s="45"/>
      <c r="S39" s="46"/>
      <c r="T39" s="118"/>
      <c r="U39" s="46"/>
      <c r="V39" s="110"/>
      <c r="W39" s="46"/>
      <c r="X39" s="110"/>
      <c r="Y39" s="46"/>
      <c r="Z39" s="110"/>
      <c r="AA39" s="46"/>
      <c r="AB39" s="108"/>
    </row>
    <row r="40" spans="2:28" x14ac:dyDescent="0.25">
      <c r="B40" s="104"/>
      <c r="C40" s="46"/>
      <c r="D40" s="46"/>
      <c r="E40" s="46"/>
      <c r="F40" s="117"/>
      <c r="G40" s="115"/>
      <c r="H40" s="123"/>
      <c r="I40" s="46"/>
      <c r="J40" s="46"/>
      <c r="K40" s="123"/>
      <c r="L40" s="124"/>
      <c r="M40" s="46"/>
      <c r="Q40" s="46"/>
      <c r="R40" s="46"/>
      <c r="S40" s="46"/>
      <c r="T40" s="46"/>
      <c r="U40" s="119"/>
      <c r="V40" s="115"/>
      <c r="W40" s="46"/>
      <c r="X40" s="115"/>
      <c r="Y40" s="46"/>
      <c r="Z40" s="120"/>
      <c r="AA40" s="46"/>
      <c r="AB40" s="116"/>
    </row>
    <row r="41" spans="2:28" x14ac:dyDescent="0.25">
      <c r="B41" s="104"/>
      <c r="C41" s="45"/>
      <c r="D41" s="46"/>
      <c r="E41" s="105"/>
      <c r="F41" s="46"/>
      <c r="G41" s="107"/>
      <c r="H41" s="46"/>
      <c r="I41" s="107"/>
      <c r="J41" s="46"/>
      <c r="K41" s="107"/>
      <c r="L41" s="46"/>
      <c r="M41" s="107"/>
      <c r="Q41" s="107"/>
      <c r="R41" s="45"/>
      <c r="S41" s="46"/>
      <c r="T41" s="118"/>
      <c r="U41" s="46"/>
      <c r="V41" s="46"/>
      <c r="W41" s="127"/>
      <c r="X41" s="46"/>
      <c r="Y41" s="127"/>
      <c r="Z41" s="46"/>
      <c r="AA41" s="108"/>
      <c r="AB41" s="111"/>
    </row>
    <row r="42" spans="2:28" ht="15.75" x14ac:dyDescent="0.25">
      <c r="B42" s="112"/>
      <c r="C42" s="45"/>
      <c r="D42" s="46"/>
      <c r="E42" s="118"/>
      <c r="F42" s="46"/>
      <c r="G42" s="110"/>
      <c r="H42" s="46"/>
      <c r="I42" s="110"/>
      <c r="J42" s="46"/>
      <c r="K42" s="110"/>
      <c r="L42" s="46"/>
      <c r="M42" s="110"/>
      <c r="Q42" s="110"/>
      <c r="R42" s="45"/>
      <c r="S42" s="46"/>
      <c r="T42" s="118"/>
      <c r="U42" s="46"/>
      <c r="V42" s="107"/>
      <c r="W42" s="46"/>
      <c r="X42" s="107"/>
      <c r="Y42" s="46"/>
      <c r="Z42" s="127"/>
      <c r="AA42" s="46"/>
      <c r="AB42" s="111"/>
    </row>
    <row r="43" spans="2:28" x14ac:dyDescent="0.25">
      <c r="B43" s="104"/>
      <c r="C43" s="45"/>
      <c r="D43" s="46"/>
      <c r="E43" s="118"/>
      <c r="F43" s="46"/>
      <c r="G43" s="110"/>
      <c r="H43" s="46"/>
      <c r="I43" s="110"/>
      <c r="J43" s="46"/>
      <c r="K43" s="110"/>
      <c r="L43" s="46"/>
      <c r="M43" s="110"/>
      <c r="Q43" s="110"/>
      <c r="R43" s="46"/>
      <c r="S43" s="46"/>
      <c r="T43" s="46"/>
      <c r="U43" s="125"/>
      <c r="V43" s="115"/>
      <c r="W43" s="46"/>
      <c r="X43" s="115"/>
      <c r="Y43" s="46"/>
      <c r="Z43" s="128"/>
      <c r="AA43" s="46"/>
      <c r="AB43" s="126"/>
    </row>
    <row r="44" spans="2:28" ht="15.75" x14ac:dyDescent="0.25">
      <c r="B44" s="112"/>
      <c r="C44" s="46"/>
      <c r="D44" s="46"/>
      <c r="E44" s="46"/>
      <c r="F44" s="117"/>
      <c r="G44" s="115"/>
      <c r="H44" s="46"/>
      <c r="I44" s="115"/>
      <c r="J44" s="46"/>
      <c r="K44" s="115"/>
      <c r="L44" s="46"/>
      <c r="M44" s="115"/>
      <c r="Q44" s="115"/>
      <c r="R44" s="45"/>
      <c r="S44" s="46"/>
      <c r="T44" s="105"/>
      <c r="U44" s="46"/>
      <c r="V44" s="107"/>
      <c r="W44" s="46"/>
      <c r="X44" s="121"/>
      <c r="Y44" s="46"/>
      <c r="Z44" s="121"/>
      <c r="AA44" s="46"/>
      <c r="AB44" s="122"/>
    </row>
    <row r="45" spans="2:28" x14ac:dyDescent="0.25">
      <c r="B45" s="104"/>
      <c r="C45" s="45"/>
      <c r="D45" s="46"/>
      <c r="E45" s="118"/>
      <c r="F45" s="46"/>
      <c r="G45" s="46"/>
      <c r="H45" s="108"/>
      <c r="I45" s="46"/>
      <c r="J45" s="108"/>
      <c r="K45" s="46"/>
      <c r="L45" s="111"/>
      <c r="M45" s="46"/>
      <c r="Q45" s="46"/>
      <c r="R45" s="45"/>
      <c r="S45" s="46"/>
      <c r="T45" s="109"/>
      <c r="U45" s="46"/>
      <c r="V45" s="107"/>
      <c r="W45" s="46"/>
      <c r="X45" s="107"/>
      <c r="Y45" s="46"/>
      <c r="Z45" s="110"/>
      <c r="AA45" s="46"/>
      <c r="AB45" s="108"/>
    </row>
    <row r="46" spans="2:28" ht="15.75" x14ac:dyDescent="0.25">
      <c r="B46" s="112"/>
      <c r="C46" s="46"/>
      <c r="D46" s="46"/>
      <c r="E46" s="46"/>
      <c r="F46" s="125"/>
      <c r="G46" s="46"/>
      <c r="H46" s="116"/>
      <c r="I46" s="46"/>
      <c r="J46" s="116"/>
      <c r="K46" s="126"/>
      <c r="L46" s="46"/>
      <c r="M46" s="46"/>
      <c r="Q46" s="46"/>
      <c r="R46" s="46"/>
      <c r="S46" s="46"/>
      <c r="T46" s="46"/>
      <c r="U46" s="117"/>
      <c r="V46" s="115"/>
      <c r="W46" s="123"/>
      <c r="X46" s="46"/>
      <c r="Y46" s="46"/>
      <c r="Z46" s="123"/>
      <c r="AA46" s="124"/>
      <c r="AB46" s="46"/>
    </row>
    <row r="47" spans="2:28" x14ac:dyDescent="0.25">
      <c r="B47" s="104"/>
      <c r="C47" s="45"/>
      <c r="D47" s="46"/>
      <c r="E47" s="118"/>
      <c r="F47" s="46"/>
      <c r="G47" s="46"/>
      <c r="H47" s="127"/>
      <c r="I47" s="46"/>
      <c r="J47" s="108"/>
      <c r="K47" s="127"/>
      <c r="L47" s="46"/>
      <c r="M47" s="46"/>
      <c r="Q47" s="46"/>
      <c r="R47" s="45"/>
      <c r="S47" s="46"/>
      <c r="T47" s="105"/>
      <c r="U47" s="46"/>
      <c r="V47" s="107"/>
      <c r="W47" s="46"/>
      <c r="X47" s="107"/>
      <c r="Y47" s="46"/>
      <c r="Z47" s="107"/>
      <c r="AA47" s="46"/>
      <c r="AB47" s="108"/>
    </row>
    <row r="48" spans="2:28" ht="15.75" x14ac:dyDescent="0.25">
      <c r="B48" s="112"/>
      <c r="C48" s="46"/>
      <c r="D48" s="46"/>
      <c r="E48" s="46"/>
      <c r="F48" s="125"/>
      <c r="G48" s="128"/>
      <c r="H48" s="46"/>
      <c r="I48" s="46"/>
      <c r="J48" s="116"/>
      <c r="K48" s="128"/>
      <c r="L48" s="46"/>
      <c r="M48" s="46"/>
      <c r="Q48" s="46"/>
      <c r="R48" s="45"/>
      <c r="S48" s="46"/>
      <c r="T48" s="118"/>
      <c r="U48" s="46"/>
      <c r="V48" s="110"/>
      <c r="W48" s="46"/>
      <c r="X48" s="110"/>
      <c r="Y48" s="46"/>
      <c r="Z48" s="110"/>
      <c r="AA48" s="46"/>
      <c r="AB48" s="108"/>
    </row>
    <row r="49" spans="2:28" x14ac:dyDescent="0.25">
      <c r="B49" s="46"/>
      <c r="C49" s="45"/>
      <c r="D49" s="46"/>
      <c r="E49" s="105"/>
      <c r="F49" s="46"/>
      <c r="G49" s="107"/>
      <c r="H49" s="46"/>
      <c r="I49" s="107"/>
      <c r="J49" s="46"/>
      <c r="K49" s="107"/>
      <c r="L49" s="46"/>
      <c r="M49" s="107"/>
      <c r="Q49" s="107"/>
      <c r="R49" s="45"/>
      <c r="S49" s="46"/>
      <c r="T49" s="118"/>
      <c r="U49" s="46"/>
      <c r="V49" s="110"/>
      <c r="W49" s="46"/>
      <c r="X49" s="110"/>
      <c r="Y49" s="46"/>
      <c r="Z49" s="110"/>
      <c r="AA49" s="46"/>
      <c r="AB49" s="108"/>
    </row>
    <row r="50" spans="2:28" x14ac:dyDescent="0.25">
      <c r="B50" s="134"/>
      <c r="C50" s="46"/>
      <c r="D50" s="46"/>
      <c r="E50" s="46"/>
      <c r="F50" s="117"/>
      <c r="G50" s="115"/>
      <c r="H50" s="46"/>
      <c r="I50" s="115"/>
      <c r="J50" s="46"/>
      <c r="K50" s="115"/>
      <c r="L50" s="46"/>
      <c r="M50" s="115"/>
      <c r="Q50" s="115"/>
      <c r="R50" s="46"/>
      <c r="S50" s="46"/>
      <c r="T50" s="46"/>
      <c r="U50" s="117"/>
      <c r="V50" s="115"/>
      <c r="W50" s="46"/>
      <c r="X50" s="115"/>
      <c r="Y50" s="46"/>
      <c r="Z50" s="115"/>
      <c r="AA50" s="46"/>
      <c r="AB50" s="116"/>
    </row>
    <row r="51" spans="2:28" ht="15.75" x14ac:dyDescent="0.25">
      <c r="C51" s="46"/>
      <c r="D51" s="129"/>
      <c r="E51" s="46"/>
      <c r="F51" s="130"/>
      <c r="G51" s="131"/>
      <c r="H51" s="132"/>
      <c r="I51" s="46"/>
      <c r="J51" s="46"/>
      <c r="K51" s="132"/>
      <c r="L51" s="133"/>
      <c r="M51" s="46"/>
      <c r="Q51" s="46"/>
      <c r="R51" s="45"/>
      <c r="S51" s="46"/>
      <c r="T51" s="105"/>
      <c r="U51" s="46"/>
      <c r="V51" s="107"/>
      <c r="W51" s="46"/>
      <c r="X51" s="107"/>
      <c r="Y51" s="46"/>
      <c r="Z51" s="107"/>
      <c r="AA51" s="46"/>
      <c r="AB51" s="108"/>
    </row>
    <row r="52" spans="2:28" x14ac:dyDescent="0.25">
      <c r="C52" s="46"/>
      <c r="D52" s="46"/>
      <c r="E52" s="46"/>
      <c r="F52" s="46"/>
      <c r="G52" s="46"/>
      <c r="H52" s="46"/>
      <c r="I52" s="134"/>
      <c r="J52" s="134"/>
      <c r="K52" s="46"/>
      <c r="L52" s="46"/>
      <c r="M52" s="134"/>
      <c r="Q52" s="134"/>
      <c r="R52" s="45"/>
      <c r="S52" s="46"/>
      <c r="T52" s="109"/>
      <c r="U52" s="46"/>
      <c r="V52" s="110"/>
      <c r="W52" s="46"/>
      <c r="X52" s="110"/>
      <c r="Y52" s="46"/>
      <c r="Z52" s="110"/>
      <c r="AA52" s="46"/>
      <c r="AB52" s="108"/>
    </row>
    <row r="53" spans="2:28" x14ac:dyDescent="0.25">
      <c r="G53" s="99"/>
      <c r="K53" s="99"/>
      <c r="L53" s="138"/>
      <c r="R53" s="46"/>
      <c r="S53" s="46"/>
      <c r="T53" s="46"/>
      <c r="U53" s="117"/>
      <c r="V53" s="115"/>
      <c r="W53" s="46"/>
      <c r="X53" s="115"/>
      <c r="Y53" s="46"/>
      <c r="Z53" s="115"/>
      <c r="AA53" s="46"/>
      <c r="AB53" s="116"/>
    </row>
    <row r="54" spans="2:28" x14ac:dyDescent="0.25">
      <c r="R54" s="45"/>
      <c r="S54" s="46"/>
      <c r="T54" s="118"/>
      <c r="U54" s="46"/>
      <c r="V54" s="107"/>
      <c r="W54" s="46"/>
      <c r="X54" s="110"/>
      <c r="Y54" s="46"/>
      <c r="Z54" s="110"/>
      <c r="AA54" s="46"/>
      <c r="AB54" s="108"/>
    </row>
    <row r="55" spans="2:28" x14ac:dyDescent="0.25">
      <c r="R55" s="46"/>
      <c r="S55" s="46"/>
      <c r="T55" s="46"/>
      <c r="U55" s="125"/>
      <c r="V55" s="115"/>
      <c r="W55" s="46"/>
      <c r="X55" s="120"/>
      <c r="Y55" s="46"/>
      <c r="Z55" s="120"/>
      <c r="AA55" s="46"/>
      <c r="AB55" s="116"/>
    </row>
    <row r="56" spans="2:28" x14ac:dyDescent="0.25">
      <c r="R56" s="45"/>
      <c r="S56" s="46"/>
      <c r="T56" s="118"/>
      <c r="U56" s="46"/>
      <c r="V56" s="46"/>
      <c r="W56" s="108"/>
      <c r="X56" s="46"/>
      <c r="Y56" s="108"/>
      <c r="Z56" s="46"/>
      <c r="AA56" s="111"/>
      <c r="AB56" s="108"/>
    </row>
    <row r="57" spans="2:28" x14ac:dyDescent="0.25">
      <c r="R57" s="46"/>
      <c r="S57" s="46"/>
      <c r="T57" s="46"/>
      <c r="U57" s="125"/>
      <c r="V57" s="46"/>
      <c r="W57" s="116"/>
      <c r="X57" s="46"/>
      <c r="Y57" s="116"/>
      <c r="Z57" s="126"/>
      <c r="AA57" s="46"/>
      <c r="AB57" s="116"/>
    </row>
    <row r="58" spans="2:28" x14ac:dyDescent="0.25">
      <c r="R58" s="45"/>
      <c r="S58" s="46"/>
      <c r="T58" s="118"/>
      <c r="U58" s="46"/>
      <c r="V58" s="46"/>
      <c r="W58" s="127"/>
      <c r="X58" s="46"/>
      <c r="Y58" s="108"/>
      <c r="Z58" s="127"/>
      <c r="AA58" s="46"/>
      <c r="AB58" s="108"/>
    </row>
    <row r="59" spans="2:28" x14ac:dyDescent="0.25">
      <c r="R59" s="46"/>
      <c r="S59" s="46"/>
      <c r="T59" s="46"/>
      <c r="U59" s="125"/>
      <c r="V59" s="128"/>
      <c r="W59" s="46"/>
      <c r="X59" s="46"/>
      <c r="Y59" s="116"/>
      <c r="Z59" s="128"/>
      <c r="AA59" s="46"/>
      <c r="AB59" s="116"/>
    </row>
    <row r="60" spans="2:28" x14ac:dyDescent="0.25">
      <c r="R60" s="45"/>
      <c r="S60" s="46"/>
      <c r="T60" s="105"/>
      <c r="U60" s="46"/>
      <c r="V60" s="107"/>
      <c r="W60" s="46"/>
      <c r="X60" s="107"/>
      <c r="Y60" s="46"/>
      <c r="Z60" s="107"/>
      <c r="AA60" s="46"/>
      <c r="AB60" s="108"/>
    </row>
    <row r="61" spans="2:28" x14ac:dyDescent="0.25">
      <c r="R61" s="46"/>
      <c r="S61" s="46"/>
      <c r="T61" s="46"/>
      <c r="U61" s="117"/>
      <c r="V61" s="115"/>
      <c r="W61" s="46"/>
      <c r="X61" s="115"/>
      <c r="Y61" s="46"/>
      <c r="Z61" s="115"/>
      <c r="AA61" s="46"/>
      <c r="AB61" s="116"/>
    </row>
    <row r="62" spans="2:28" x14ac:dyDescent="0.25">
      <c r="R62" s="46"/>
      <c r="S62" s="46"/>
      <c r="T62" s="46"/>
      <c r="U62" s="46"/>
      <c r="V62" s="46"/>
      <c r="W62" s="46"/>
      <c r="X62" s="134"/>
      <c r="Y62" s="134"/>
      <c r="Z62" s="46"/>
      <c r="AA62" s="46"/>
      <c r="AB62" s="134"/>
    </row>
    <row r="63" spans="2:28" x14ac:dyDescent="0.25">
      <c r="R63" s="46"/>
      <c r="S63" s="46"/>
      <c r="T63" s="46"/>
      <c r="U63" s="46"/>
      <c r="V63" s="139"/>
      <c r="W63" s="46"/>
      <c r="X63" s="46"/>
      <c r="Y63" s="46"/>
      <c r="Z63" s="139"/>
      <c r="AA63" s="138"/>
      <c r="AB63" s="46"/>
    </row>
    <row r="64" spans="2:28" x14ac:dyDescent="0.25">
      <c r="R64" s="100"/>
      <c r="S64" s="45"/>
      <c r="T64" s="100"/>
      <c r="U64" s="46"/>
      <c r="V64" s="46"/>
      <c r="W64" s="46"/>
      <c r="X64" s="46"/>
      <c r="Y64" s="46"/>
      <c r="Z64" s="46"/>
      <c r="AA64" s="46"/>
      <c r="AB64" s="46"/>
    </row>
    <row r="65" spans="18:28" x14ac:dyDescent="0.25">
      <c r="R65" s="101"/>
      <c r="S65" s="45"/>
      <c r="T65" s="101"/>
      <c r="U65" s="46"/>
      <c r="V65" s="46"/>
      <c r="W65" s="46"/>
      <c r="X65" s="46"/>
      <c r="Y65" s="46"/>
      <c r="Z65" s="46"/>
      <c r="AA65" s="46"/>
      <c r="AB65" s="46"/>
    </row>
    <row r="66" spans="18:28" x14ac:dyDescent="0.25">
      <c r="R66" s="102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 spans="18:28" x14ac:dyDescent="0.25">
      <c r="R67" s="46"/>
      <c r="S67" s="46"/>
      <c r="T67" s="46"/>
      <c r="U67" s="103"/>
      <c r="V67" s="46"/>
      <c r="W67" s="103"/>
      <c r="X67" s="46"/>
      <c r="Y67" s="103"/>
      <c r="Z67" s="46"/>
      <c r="AA67" s="103"/>
      <c r="AB67" s="103"/>
    </row>
    <row r="68" spans="18:28" ht="15.75" x14ac:dyDescent="0.25">
      <c r="R68" s="46"/>
      <c r="S68" s="129"/>
      <c r="T68" s="46"/>
      <c r="U68" s="130"/>
      <c r="V68" s="135"/>
      <c r="W68" s="132"/>
      <c r="X68" s="46"/>
      <c r="Y68" s="46"/>
      <c r="Z68" s="132"/>
      <c r="AA68" s="133"/>
      <c r="AB68" s="46"/>
    </row>
    <row r="69" spans="18:28" x14ac:dyDescent="0.25">
      <c r="R69" s="46"/>
      <c r="S69" s="46"/>
      <c r="T69" s="46"/>
      <c r="U69" s="46"/>
      <c r="V69" s="46"/>
      <c r="W69" s="46"/>
      <c r="X69" s="134"/>
      <c r="Y69" s="134"/>
      <c r="Z69" s="46"/>
      <c r="AA69" s="46"/>
      <c r="AB69" s="134"/>
    </row>
  </sheetData>
  <phoneticPr fontId="11" type="noConversion"/>
  <pageMargins left="0.7" right="0.7" top="0.75" bottom="0.75" header="0.3" footer="0.3"/>
  <pageSetup scale="93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3cd9daa-7018-484b-8a9b-7ea600b8784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3570828C4F2945994FA12ABB91C874" ma:contentTypeVersion="18" ma:contentTypeDescription="Create a new document." ma:contentTypeScope="" ma:versionID="e6f308a8b58be1966790965f6474a89a">
  <xsd:schema xmlns:xsd="http://www.w3.org/2001/XMLSchema" xmlns:xs="http://www.w3.org/2001/XMLSchema" xmlns:p="http://schemas.microsoft.com/office/2006/metadata/properties" xmlns:ns3="33cd9daa-7018-484b-8a9b-7ea600b87843" xmlns:ns4="6c563bbb-cb94-4636-be28-bab605ea0308" targetNamespace="http://schemas.microsoft.com/office/2006/metadata/properties" ma:root="true" ma:fieldsID="3976f2ffa7199301b12fc627b6a005c3" ns3:_="" ns4:_="">
    <xsd:import namespace="33cd9daa-7018-484b-8a9b-7ea600b87843"/>
    <xsd:import namespace="6c563bbb-cb94-4636-be28-bab605ea03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cd9daa-7018-484b-8a9b-7ea600b87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63bbb-cb94-4636-be28-bab605ea03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25D369-A6B5-44BE-93AD-B2806D430AC9}">
  <ds:schemaRefs>
    <ds:schemaRef ds:uri="http://schemas.microsoft.com/office/2006/metadata/properties"/>
    <ds:schemaRef ds:uri="http://schemas.microsoft.com/office/infopath/2007/PartnerControls"/>
    <ds:schemaRef ds:uri="33cd9daa-7018-484b-8a9b-7ea600b87843"/>
  </ds:schemaRefs>
</ds:datastoreItem>
</file>

<file path=customXml/itemProps2.xml><?xml version="1.0" encoding="utf-8"?>
<ds:datastoreItem xmlns:ds="http://schemas.openxmlformats.org/officeDocument/2006/customXml" ds:itemID="{CF0B64ED-E780-4370-958C-0596A9FE84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cd9daa-7018-484b-8a9b-7ea600b87843"/>
    <ds:schemaRef ds:uri="6c563bbb-cb94-4636-be28-bab605ea03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FE4B6E-429F-48F7-BE60-E2BD18DCE9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35</vt:i4>
      </vt:variant>
    </vt:vector>
  </HeadingPairs>
  <TitlesOfParts>
    <vt:vector size="83" baseType="lpstr">
      <vt:lpstr>Sunday WK1 (1)</vt:lpstr>
      <vt:lpstr>Monday WK1 (2)</vt:lpstr>
      <vt:lpstr>Tuesday WK1 (3)</vt:lpstr>
      <vt:lpstr>Wednesday WK1 (4)</vt:lpstr>
      <vt:lpstr>Thursday WK1 (5)</vt:lpstr>
      <vt:lpstr>Friday WK1 (6)</vt:lpstr>
      <vt:lpstr>Saturday WK1 (7)</vt:lpstr>
      <vt:lpstr>Sunday WK2 (8)</vt:lpstr>
      <vt:lpstr>Monday WK2 (9)</vt:lpstr>
      <vt:lpstr>Tuesday WK2 (10)</vt:lpstr>
      <vt:lpstr>Wednesday WK2 (11)</vt:lpstr>
      <vt:lpstr>Thursday WK2 (12)</vt:lpstr>
      <vt:lpstr>Friday WK2 (13)</vt:lpstr>
      <vt:lpstr>Saturday WK2 (14)</vt:lpstr>
      <vt:lpstr>Sunday WK3 (15)</vt:lpstr>
      <vt:lpstr>Monday WK3 (16)</vt:lpstr>
      <vt:lpstr>Tuesday WK3 (17)</vt:lpstr>
      <vt:lpstr>Wednesday WK3 (18)</vt:lpstr>
      <vt:lpstr>Thursday WK3 (19)</vt:lpstr>
      <vt:lpstr>Friday WK3 (20)</vt:lpstr>
      <vt:lpstr>Saturday WK3 (21)</vt:lpstr>
      <vt:lpstr>Sunday WK4 (22)</vt:lpstr>
      <vt:lpstr>Monday WK4 (23)</vt:lpstr>
      <vt:lpstr>Tuesday WK4 (24)</vt:lpstr>
      <vt:lpstr>Wednesday WK4 (25)</vt:lpstr>
      <vt:lpstr>Thursday WK4 (26)</vt:lpstr>
      <vt:lpstr>Friday WK4 (27)</vt:lpstr>
      <vt:lpstr>Saturday WK4 (28)</vt:lpstr>
      <vt:lpstr>Sunday WK5 (29)</vt:lpstr>
      <vt:lpstr>Monday WK5 (30)</vt:lpstr>
      <vt:lpstr>Tuesday WK5 (31)</vt:lpstr>
      <vt:lpstr>Wednesday WK5 (32)</vt:lpstr>
      <vt:lpstr>Thursday WK5 (33)</vt:lpstr>
      <vt:lpstr>Friday WK5 (34)</vt:lpstr>
      <vt:lpstr>Saturday WK5 (35)</vt:lpstr>
      <vt:lpstr>Rebates</vt:lpstr>
      <vt:lpstr>Sales Numbers</vt:lpstr>
      <vt:lpstr>Sales Data</vt:lpstr>
      <vt:lpstr>Receiving Totals</vt:lpstr>
      <vt:lpstr>Tobacco</vt:lpstr>
      <vt:lpstr>Meat</vt:lpstr>
      <vt:lpstr>Produce</vt:lpstr>
      <vt:lpstr>Dairy</vt:lpstr>
      <vt:lpstr>Centre Store</vt:lpstr>
      <vt:lpstr>Total Grocery</vt:lpstr>
      <vt:lpstr>Total Report</vt:lpstr>
      <vt:lpstr>Recounts</vt:lpstr>
      <vt:lpstr>Margin YTD</vt:lpstr>
      <vt:lpstr>'Friday WK1 (6)'!Print_Area</vt:lpstr>
      <vt:lpstr>'Friday WK2 (13)'!Print_Area</vt:lpstr>
      <vt:lpstr>'Friday WK3 (20)'!Print_Area</vt:lpstr>
      <vt:lpstr>'Friday WK4 (27)'!Print_Area</vt:lpstr>
      <vt:lpstr>'Friday WK5 (34)'!Print_Area</vt:lpstr>
      <vt:lpstr>'Monday WK1 (2)'!Print_Area</vt:lpstr>
      <vt:lpstr>'Monday WK2 (9)'!Print_Area</vt:lpstr>
      <vt:lpstr>'Monday WK3 (16)'!Print_Area</vt:lpstr>
      <vt:lpstr>'Monday WK4 (23)'!Print_Area</vt:lpstr>
      <vt:lpstr>'Monday WK5 (30)'!Print_Area</vt:lpstr>
      <vt:lpstr>'Saturday WK1 (7)'!Print_Area</vt:lpstr>
      <vt:lpstr>'Saturday WK2 (14)'!Print_Area</vt:lpstr>
      <vt:lpstr>'Saturday WK3 (21)'!Print_Area</vt:lpstr>
      <vt:lpstr>'Saturday WK4 (28)'!Print_Area</vt:lpstr>
      <vt:lpstr>'Saturday WK5 (35)'!Print_Area</vt:lpstr>
      <vt:lpstr>'Sunday WK1 (1)'!Print_Area</vt:lpstr>
      <vt:lpstr>'Sunday WK2 (8)'!Print_Area</vt:lpstr>
      <vt:lpstr>'Sunday WK3 (15)'!Print_Area</vt:lpstr>
      <vt:lpstr>'Sunday WK4 (22)'!Print_Area</vt:lpstr>
      <vt:lpstr>'Sunday WK5 (29)'!Print_Area</vt:lpstr>
      <vt:lpstr>'Thursday WK1 (5)'!Print_Area</vt:lpstr>
      <vt:lpstr>'Thursday WK2 (12)'!Print_Area</vt:lpstr>
      <vt:lpstr>'Thursday WK3 (19)'!Print_Area</vt:lpstr>
      <vt:lpstr>'Thursday WK4 (26)'!Print_Area</vt:lpstr>
      <vt:lpstr>'Thursday WK5 (33)'!Print_Area</vt:lpstr>
      <vt:lpstr>'Tuesday WK1 (3)'!Print_Area</vt:lpstr>
      <vt:lpstr>'Tuesday WK2 (10)'!Print_Area</vt:lpstr>
      <vt:lpstr>'Tuesday WK3 (17)'!Print_Area</vt:lpstr>
      <vt:lpstr>'Tuesday WK4 (24)'!Print_Area</vt:lpstr>
      <vt:lpstr>'Tuesday WK5 (31)'!Print_Area</vt:lpstr>
      <vt:lpstr>'Wednesday WK1 (4)'!Print_Area</vt:lpstr>
      <vt:lpstr>'Wednesday WK2 (11)'!Print_Area</vt:lpstr>
      <vt:lpstr>'Wednesday WK3 (18)'!Print_Area</vt:lpstr>
      <vt:lpstr>'Wednesday WK4 (25)'!Print_Area</vt:lpstr>
      <vt:lpstr>'Wednesday WK5 (32)'!Print_Area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 Farrell</dc:creator>
  <cp:keywords/>
  <dc:description/>
  <cp:lastModifiedBy>Rob Farrell</cp:lastModifiedBy>
  <cp:revision/>
  <dcterms:created xsi:type="dcterms:W3CDTF">2022-12-16T20:02:26Z</dcterms:created>
  <dcterms:modified xsi:type="dcterms:W3CDTF">2026-07-23T19:51:35Z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0x010100743570828C4F2945994FA12ABB91C874</vt:lpwstr>
  </property>
</Properties>
</file>