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ive\TGPV5\TGP_V5\resources\app\store-templates\default\"/>
    </mc:Choice>
  </mc:AlternateContent>
  <xr:revisionPtr revIDLastSave="0" documentId="8_{F8F309C9-F332-4D46-817F-1E1AC498A382}" xr6:coauthVersionLast="47" xr6:coauthVersionMax="47" xr10:uidLastSave="{00000000-0000-0000-0000-000000000000}"/>
  <bookViews>
    <workbookView xWindow="-120" yWindow="-120" windowWidth="29040" windowHeight="15720" xr2:uid="{4EAF57CB-1B27-452E-96D4-32BADD337670}"/>
  </bookViews>
  <sheets>
    <sheet name="Edmonton " sheetId="5" r:id="rId1"/>
  </sheets>
  <definedNames>
    <definedName name="_xlnm._FilterDatabase" localSheetId="0" hidden="1">'Edmonton '!$M$1:$N$113</definedName>
    <definedName name="_xlnm.Print_Area" localSheetId="0">'Edmonton '!$A$1:$H$47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5" l="1"/>
  <c r="D41" i="5"/>
  <c r="F41" i="5"/>
  <c r="A42" i="5"/>
  <c r="D42" i="5"/>
  <c r="F42" i="5"/>
  <c r="A43" i="5"/>
  <c r="D43" i="5"/>
  <c r="F43" i="5"/>
  <c r="A44" i="5"/>
  <c r="D44" i="5"/>
  <c r="F44" i="5"/>
  <c r="A45" i="5"/>
  <c r="A46" i="5"/>
  <c r="A47" i="5"/>
  <c r="D47" i="5"/>
  <c r="F47" i="5"/>
</calcChain>
</file>

<file path=xl/sharedStrings.xml><?xml version="1.0" encoding="utf-8"?>
<sst xmlns="http://schemas.openxmlformats.org/spreadsheetml/2006/main" count="211" uniqueCount="209">
  <si>
    <t>Vendor name:</t>
  </si>
  <si>
    <t>Vendor number:</t>
  </si>
  <si>
    <t>Date product to be delivered to TGP Distribution Center:</t>
  </si>
  <si>
    <t>Carrier delivering product:</t>
  </si>
  <si>
    <t>Vendor contact person and their contact info in case it is needed:</t>
  </si>
  <si>
    <t>TGP Warehouse Admin fax number:</t>
  </si>
  <si>
    <t>TGP Shipping department contact number</t>
  </si>
  <si>
    <t>FCL/TGP ACCT. #</t>
  </si>
  <si>
    <t>Invoice #</t>
  </si>
  <si>
    <t>Customer Name</t>
  </si>
  <si>
    <t>Cooler, Dry or Frozen</t>
  </si>
  <si>
    <t>Pieces/Pallets</t>
  </si>
  <si>
    <t>Pallets</t>
  </si>
  <si>
    <t>****      Notice for cross-dock delivery should be sent at least 24 hours in advance of actual delivery day to TGP warehouse     ****</t>
  </si>
  <si>
    <t>*****    TGP exchanges CPC pallets at time of delivery only!!    ****</t>
  </si>
  <si>
    <r>
      <t xml:space="preserve">Phone number:  </t>
    </r>
    <r>
      <rPr>
        <b/>
        <sz val="12"/>
        <rFont val="Times New Roman"/>
        <family val="1"/>
      </rPr>
      <t/>
    </r>
  </si>
  <si>
    <r>
      <t xml:space="preserve">email address:  </t>
    </r>
    <r>
      <rPr>
        <b/>
        <sz val="12"/>
        <rFont val="Times New Roman"/>
        <family val="1"/>
      </rPr>
      <t/>
    </r>
  </si>
  <si>
    <t>780 447 1645</t>
  </si>
  <si>
    <t>780 447 8574 or 780 447 8565</t>
  </si>
  <si>
    <t>TGP Cross- Dock Shipping Manifest</t>
  </si>
  <si>
    <t>Time @ TGP</t>
  </si>
  <si>
    <t>Weight (kgs)</t>
  </si>
  <si>
    <t>Edmonton</t>
  </si>
  <si>
    <t>Atlin Trading Post</t>
  </si>
  <si>
    <t>Beaverlodge Bigway</t>
  </si>
  <si>
    <t>Berwyn Bigway</t>
  </si>
  <si>
    <t>0015500100</t>
  </si>
  <si>
    <t>2543-01</t>
  </si>
  <si>
    <t>Bruderheim Bigway</t>
  </si>
  <si>
    <t>Buffalo Head Prairie Coop</t>
  </si>
  <si>
    <t>4176-01</t>
  </si>
  <si>
    <t>CNH Goodies Food Mart 16321.001</t>
  </si>
  <si>
    <t>0519</t>
  </si>
  <si>
    <t>Consort Foods Enterprises LTD  507</t>
  </si>
  <si>
    <t xml:space="preserve">Copper Ridge Bigway </t>
  </si>
  <si>
    <t xml:space="preserve">Dawson City General  </t>
  </si>
  <si>
    <t>034100100</t>
  </si>
  <si>
    <t>Dease Lake Super A</t>
  </si>
  <si>
    <t>Discovery Store</t>
  </si>
  <si>
    <t>0186000100</t>
  </si>
  <si>
    <t>15782-01</t>
  </si>
  <si>
    <t>0120-01</t>
  </si>
  <si>
    <t>Eldorado Market</t>
  </si>
  <si>
    <t xml:space="preserve">Fairview Super A Foods </t>
  </si>
  <si>
    <t xml:space="preserve">Grimshaw Super A Foods </t>
  </si>
  <si>
    <t xml:space="preserve">Hanna Super A Foods </t>
  </si>
  <si>
    <t>High Level Super A Foods</t>
  </si>
  <si>
    <t>High Prairie Super A Foods</t>
  </si>
  <si>
    <t>2499-01</t>
  </si>
  <si>
    <t>Mayo Bigway</t>
  </si>
  <si>
    <t>Miller's General Store</t>
  </si>
  <si>
    <t>0368800100</t>
  </si>
  <si>
    <t>Nic-Nax &amp; More</t>
  </si>
  <si>
    <t>Nisutlin Trading Post</t>
  </si>
  <si>
    <t>2258-001</t>
  </si>
  <si>
    <t>060000100</t>
  </si>
  <si>
    <t>Rainbow Lake Bigway</t>
  </si>
  <si>
    <t>0264600100</t>
  </si>
  <si>
    <t>Riverside Grocery</t>
  </si>
  <si>
    <t>Silverton Bigway</t>
  </si>
  <si>
    <t>0147900100</t>
  </si>
  <si>
    <t>15334-01</t>
  </si>
  <si>
    <t>Smokey Lake Bigway</t>
  </si>
  <si>
    <t>15875-01</t>
  </si>
  <si>
    <t>0201100100</t>
  </si>
  <si>
    <t>1348-01</t>
  </si>
  <si>
    <t>15031-01</t>
  </si>
  <si>
    <t>0766-01</t>
  </si>
  <si>
    <t>Tatchun Centre</t>
  </si>
  <si>
    <t>0171100100</t>
  </si>
  <si>
    <t>0146800100</t>
  </si>
  <si>
    <t>1550-01</t>
  </si>
  <si>
    <t>The Grocery People</t>
  </si>
  <si>
    <t>Tipple Park Super A</t>
  </si>
  <si>
    <t>Town &amp; Country Market</t>
  </si>
  <si>
    <t>15026-01</t>
  </si>
  <si>
    <t>0716700100</t>
  </si>
  <si>
    <t>Wembley Corner Store</t>
  </si>
  <si>
    <t>0212600100</t>
  </si>
  <si>
    <t>Wildwood Bigway</t>
  </si>
  <si>
    <t xml:space="preserve">Boisvert's Super A Supermarket </t>
  </si>
  <si>
    <t xml:space="preserve">Boyle Co-op </t>
  </si>
  <si>
    <t xml:space="preserve">Cadogan General </t>
  </si>
  <si>
    <t xml:space="preserve">Camrose Co-op </t>
  </si>
  <si>
    <t xml:space="preserve">Grande Prairie Co-op </t>
  </si>
  <si>
    <t xml:space="preserve">Hay River Super A </t>
  </si>
  <si>
    <t xml:space="preserve">Andrew Co-op </t>
  </si>
  <si>
    <t xml:space="preserve">Barrhead Co-op </t>
  </si>
  <si>
    <t>Bella Coola  Co-op</t>
  </si>
  <si>
    <t xml:space="preserve">Comox Co-op </t>
  </si>
  <si>
    <t xml:space="preserve">Crossfield Bigway Foods </t>
  </si>
  <si>
    <t xml:space="preserve">Dawson Creek Co-op </t>
  </si>
  <si>
    <t xml:space="preserve">Delmas Co-op </t>
  </si>
  <si>
    <t xml:space="preserve">Dewberry Co-op </t>
  </si>
  <si>
    <t>Dockside Food Market</t>
  </si>
  <si>
    <t>Doug's Super A Foods</t>
  </si>
  <si>
    <t xml:space="preserve">Eckville Co-op </t>
  </si>
  <si>
    <t xml:space="preserve">Falher Co-op </t>
  </si>
  <si>
    <t xml:space="preserve">Falun Co-op </t>
  </si>
  <si>
    <t xml:space="preserve">Fort  St. John Co-op </t>
  </si>
  <si>
    <t xml:space="preserve">Glendon Bigway </t>
  </si>
  <si>
    <t xml:space="preserve">Warehouse Market - </t>
  </si>
  <si>
    <t xml:space="preserve">Wainwright Co-op </t>
  </si>
  <si>
    <t xml:space="preserve">Viking Co-op </t>
  </si>
  <si>
    <t xml:space="preserve">Vermillion Co-op </t>
  </si>
  <si>
    <t xml:space="preserve">Vegreville Co-op  </t>
  </si>
  <si>
    <t xml:space="preserve">Vanderhoof Co-op </t>
  </si>
  <si>
    <t xml:space="preserve">Valu-Plus Foods </t>
  </si>
  <si>
    <t xml:space="preserve">Valleyview Co-op </t>
  </si>
  <si>
    <t xml:space="preserve">Thorhild Co-op </t>
  </si>
  <si>
    <t xml:space="preserve">TGP Cash &amp; Carry </t>
  </si>
  <si>
    <t xml:space="preserve">Tags Elk Point </t>
  </si>
  <si>
    <t xml:space="preserve">Swan Hills Super A Foods </t>
  </si>
  <si>
    <t xml:space="preserve">Super A Foods </t>
  </si>
  <si>
    <t xml:space="preserve">Strome Co-op </t>
  </si>
  <si>
    <t xml:space="preserve">Stony Plain Co-op </t>
  </si>
  <si>
    <t xml:space="preserve">St. Paul Co-op </t>
  </si>
  <si>
    <t xml:space="preserve">St. Isidore Co-op </t>
  </si>
  <si>
    <t xml:space="preserve">Spruce View Co-op </t>
  </si>
  <si>
    <t>Spiritwood Super A Foods</t>
  </si>
  <si>
    <t>Smoky Lake Super A Foods</t>
  </si>
  <si>
    <t xml:space="preserve">Slocan Valley Co-op </t>
  </si>
  <si>
    <t xml:space="preserve">Skidgate Co-op </t>
  </si>
  <si>
    <t xml:space="preserve">Sedgewick Co-op </t>
  </si>
  <si>
    <t>Sedalia Co -op</t>
  </si>
  <si>
    <t xml:space="preserve">Sangudo Bigway </t>
  </si>
  <si>
    <t xml:space="preserve">Rycroft Co-op </t>
  </si>
  <si>
    <t xml:space="preserve">Rocky Mountain House Co-op </t>
  </si>
  <si>
    <t xml:space="preserve">Rimby Co-op </t>
  </si>
  <si>
    <t xml:space="preserve">Ponoka Co-op </t>
  </si>
  <si>
    <t xml:space="preserve">Plamondon Co-op </t>
  </si>
  <si>
    <t xml:space="preserve">Petanea Co-op  </t>
  </si>
  <si>
    <t xml:space="preserve">Peers Family Mart </t>
  </si>
  <si>
    <t xml:space="preserve">Peace River Co-op </t>
  </si>
  <si>
    <t xml:space="preserve">Neerlandia Co-op </t>
  </si>
  <si>
    <t xml:space="preserve">McBride Bigway </t>
  </si>
  <si>
    <t xml:space="preserve">Mayerthorpe Super A Foods </t>
  </si>
  <si>
    <t xml:space="preserve">Elk Point Co-op </t>
  </si>
  <si>
    <t>Fairmont Bigway</t>
  </si>
  <si>
    <t>Radium Mntn Market</t>
  </si>
  <si>
    <t xml:space="preserve">Specht's Bigway </t>
  </si>
  <si>
    <t>Watson Lake Super A</t>
  </si>
  <si>
    <t>DRIVER SIGNATURE:_____________________________________   TIME:_____________________________</t>
  </si>
  <si>
    <t>WAREHOUSE SIGNATURE:________________________________  TIME:_________________________________</t>
  </si>
  <si>
    <t>Onoway Bigway</t>
  </si>
  <si>
    <t>Yellowknife Coop</t>
  </si>
  <si>
    <t xml:space="preserve">Riverdale Super A </t>
  </si>
  <si>
    <t>Porter Creek Super A</t>
  </si>
  <si>
    <t xml:space="preserve">Michel's Super A </t>
  </si>
  <si>
    <t>Ternoway Super A</t>
  </si>
  <si>
    <t xml:space="preserve"> </t>
  </si>
  <si>
    <t>TGP</t>
  </si>
  <si>
    <t>780-451-0882</t>
  </si>
  <si>
    <t>Kitscoty Bigway</t>
  </si>
  <si>
    <t>00131-01</t>
  </si>
  <si>
    <t>15119-01</t>
  </si>
  <si>
    <t>Hometown Grocer</t>
  </si>
  <si>
    <t>15766-01</t>
  </si>
  <si>
    <t>Tags Grimshaw</t>
  </si>
  <si>
    <t>Kamloops C + C</t>
  </si>
  <si>
    <t>0067-01</t>
  </si>
  <si>
    <t>Camrose C + C</t>
  </si>
  <si>
    <t>0074-01</t>
  </si>
  <si>
    <t>Herb Jamieson Center</t>
  </si>
  <si>
    <t>2854-01</t>
  </si>
  <si>
    <t>Derose Bros.</t>
  </si>
  <si>
    <t>01229-01</t>
  </si>
  <si>
    <t>The Byemoor Store</t>
  </si>
  <si>
    <t>16498-01</t>
  </si>
  <si>
    <t>St Paul Cash and Carry</t>
  </si>
  <si>
    <t>7757-01</t>
  </si>
  <si>
    <t>872-01</t>
  </si>
  <si>
    <t>Llyodminster Cash &amp; Carry</t>
  </si>
  <si>
    <t>Hythe Bigway</t>
  </si>
  <si>
    <t>819-01</t>
  </si>
  <si>
    <t>Tags Jasper</t>
  </si>
  <si>
    <t>1142-01</t>
  </si>
  <si>
    <t>403-01</t>
  </si>
  <si>
    <t>Eric Auger Camps</t>
  </si>
  <si>
    <t>country boyz</t>
  </si>
  <si>
    <t>15138-01</t>
  </si>
  <si>
    <t>16087-01</t>
  </si>
  <si>
    <t>LoCol Groceries</t>
  </si>
  <si>
    <t>10253-01</t>
  </si>
  <si>
    <t>2602-01</t>
  </si>
  <si>
    <t>Rockyford Grocery</t>
  </si>
  <si>
    <t>10231-01</t>
  </si>
  <si>
    <t>Pegasus</t>
  </si>
  <si>
    <t>16143-01</t>
  </si>
  <si>
    <t>GP Distributing</t>
  </si>
  <si>
    <t>1788-01</t>
  </si>
  <si>
    <t>Jasper Fire and Ice</t>
  </si>
  <si>
    <t>16188-01</t>
  </si>
  <si>
    <t>Calahoo Meats</t>
  </si>
  <si>
    <t>420-01</t>
  </si>
  <si>
    <t>16279-01</t>
  </si>
  <si>
    <t>Tiger Calcium</t>
  </si>
  <si>
    <t>16423-01</t>
  </si>
  <si>
    <t>Northbest</t>
  </si>
  <si>
    <t>1473-01</t>
  </si>
  <si>
    <t>Okeymowkisik Grocery</t>
  </si>
  <si>
    <t xml:space="preserve">Matrix </t>
  </si>
  <si>
    <t>Jasper Super A</t>
  </si>
  <si>
    <t>Tags Watson Lake</t>
  </si>
  <si>
    <t>AISLE 10 LTD.</t>
  </si>
  <si>
    <t>10462-01</t>
  </si>
  <si>
    <t>Courtyard by Marriott  10850</t>
  </si>
  <si>
    <t>Wholesale Market TGP</t>
  </si>
  <si>
    <t>Whoelsalemarket@tgp.crs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</si>
</sst>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4"/>
      <name val="Arial"/>
      <family val="2"/>
    </font>
    <font>
      <b/>
      <sz val="12"/>
      <name val="Times New Roman"/>
      <family val="1"/>
    </font>
    <font>
      <b/>
      <sz val="12"/>
      <name val="Calibri"/>
      <family val="2"/>
    </font>
    <font>
      <sz val="14"/>
      <name val="Calibri"/>
      <family val="2"/>
    </font>
    <font>
      <sz val="10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u/>
      <sz val="14"/>
      <name val="Calibri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u/>
      <sz val="18"/>
      <name val="Arial"/>
      <family val="2"/>
    </font>
    <font>
      <sz val="18"/>
      <name val="Arial"/>
      <family val="2"/>
    </font>
    <font>
      <b/>
      <sz val="10"/>
      <name val="Calibri"/>
      <family val="2"/>
    </font>
    <font>
      <b/>
      <sz val="22"/>
      <name val="Arial Black"/>
      <family val="2"/>
    </font>
    <font>
      <sz val="22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1" fillId="0" borderId="0" xfId="0" applyFont="1"/>
    <xf numFmtId="0" fontId="3" fillId="0" borderId="1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3" fillId="0" borderId="2" xfId="0" applyFont="1" applyFill="1" applyBorder="1" applyAlignment="1">
      <alignment horizontal="left"/>
    </xf>
    <xf numFmtId="0" fontId="6" fillId="0" borderId="3" xfId="0" applyFont="1" applyFill="1" applyBorder="1"/>
    <xf numFmtId="15" fontId="3" fillId="0" borderId="4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1" fontId="7" fillId="0" borderId="3" xfId="0" applyNumberFormat="1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4" fillId="0" borderId="3" xfId="0" applyFont="1" applyBorder="1"/>
    <xf numFmtId="0" fontId="5" fillId="0" borderId="1" xfId="0" applyFont="1" applyBorder="1"/>
    <xf numFmtId="0" fontId="7" fillId="0" borderId="5" xfId="0" applyFont="1" applyFill="1" applyBorder="1"/>
    <xf numFmtId="0" fontId="3" fillId="0" borderId="6" xfId="0" applyFont="1" applyFill="1" applyBorder="1" applyAlignment="1">
      <alignment horizontal="left"/>
    </xf>
    <xf numFmtId="0" fontId="0" fillId="0" borderId="4" xfId="0" applyBorder="1"/>
    <xf numFmtId="0" fontId="7" fillId="0" borderId="6" xfId="0" applyFont="1" applyFill="1" applyBorder="1" applyAlignment="1">
      <alignment horizontal="left"/>
    </xf>
    <xf numFmtId="1" fontId="7" fillId="0" borderId="2" xfId="0" applyNumberFormat="1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2" xfId="0" applyFont="1" applyBorder="1"/>
    <xf numFmtId="0" fontId="0" fillId="0" borderId="5" xfId="0" applyBorder="1"/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9" fillId="0" borderId="2" xfId="1" applyNumberFormat="1" applyFill="1" applyBorder="1" applyAlignment="1" applyProtection="1">
      <alignment horizontal="left"/>
    </xf>
    <xf numFmtId="0" fontId="9" fillId="0" borderId="2" xfId="1" applyFill="1" applyBorder="1" applyAlignment="1" applyProtection="1">
      <alignment horizontal="left"/>
    </xf>
    <xf numFmtId="0" fontId="8" fillId="2" borderId="5" xfId="0" applyFont="1" applyFill="1" applyBorder="1" applyAlignment="1">
      <alignment horizontal="left"/>
    </xf>
    <xf numFmtId="1" fontId="8" fillId="2" borderId="5" xfId="0" applyNumberFormat="1" applyFont="1" applyFill="1" applyBorder="1" applyAlignment="1">
      <alignment horizontal="left"/>
    </xf>
    <xf numFmtId="0" fontId="8" fillId="2" borderId="5" xfId="0" applyFont="1" applyFill="1" applyBorder="1" applyAlignment="1">
      <alignment horizontal="left" wrapText="1"/>
    </xf>
    <xf numFmtId="1" fontId="8" fillId="2" borderId="5" xfId="0" applyNumberFormat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/>
    </xf>
    <xf numFmtId="0" fontId="7" fillId="2" borderId="5" xfId="0" applyFont="1" applyFill="1" applyBorder="1"/>
    <xf numFmtId="15" fontId="7" fillId="0" borderId="0" xfId="0" applyNumberFormat="1" applyFont="1" applyFill="1" applyBorder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4" fillId="0" borderId="5" xfId="0" applyFont="1" applyBorder="1"/>
    <xf numFmtId="0" fontId="7" fillId="0" borderId="5" xfId="0" applyFont="1" applyFill="1" applyBorder="1" applyAlignment="1">
      <alignment horizontal="left"/>
    </xf>
    <xf numFmtId="0" fontId="5" fillId="0" borderId="5" xfId="0" applyFont="1" applyBorder="1"/>
    <xf numFmtId="0" fontId="9" fillId="0" borderId="5" xfId="1" applyBorder="1" applyAlignment="1" applyProtection="1"/>
    <xf numFmtId="0" fontId="10" fillId="0" borderId="5" xfId="0" applyFont="1" applyBorder="1"/>
    <xf numFmtId="0" fontId="11" fillId="0" borderId="0" xfId="0" applyFont="1"/>
    <xf numFmtId="0" fontId="12" fillId="0" borderId="0" xfId="0" applyFont="1"/>
    <xf numFmtId="0" fontId="4" fillId="0" borderId="3" xfId="0" applyFont="1" applyFill="1" applyBorder="1" applyAlignment="1">
      <alignment horizontal="left"/>
    </xf>
    <xf numFmtId="1" fontId="13" fillId="0" borderId="3" xfId="0" applyNumberFormat="1" applyFont="1" applyFill="1" applyBorder="1" applyAlignment="1">
      <alignment horizontal="left"/>
    </xf>
    <xf numFmtId="1" fontId="7" fillId="0" borderId="5" xfId="0" applyNumberFormat="1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center"/>
    </xf>
    <xf numFmtId="18" fontId="7" fillId="0" borderId="5" xfId="0" applyNumberFormat="1" applyFont="1" applyFill="1" applyBorder="1" applyAlignment="1">
      <alignment horizontal="center"/>
    </xf>
    <xf numFmtId="0" fontId="17" fillId="0" borderId="0" xfId="0" applyFont="1"/>
    <xf numFmtId="0" fontId="17" fillId="0" borderId="0" xfId="0" quotePrefix="1" applyFont="1"/>
    <xf numFmtId="0" fontId="7" fillId="0" borderId="5" xfId="0" applyFont="1" applyFill="1" applyBorder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17" fillId="0" borderId="0" xfId="0" applyFont="1" applyProtection="1">
      <protection locked="0"/>
    </xf>
    <xf numFmtId="0" fontId="7" fillId="0" borderId="5" xfId="0" applyNumberFormat="1" applyFont="1" applyFill="1" applyBorder="1" applyAlignment="1" applyProtection="1">
      <alignment horizontal="left"/>
      <protection locked="0"/>
    </xf>
    <xf numFmtId="0" fontId="7" fillId="0" borderId="8" xfId="0" applyNumberFormat="1" applyFont="1" applyFill="1" applyBorder="1" applyAlignment="1" applyProtection="1">
      <alignment horizontal="left"/>
      <protection locked="0"/>
    </xf>
    <xf numFmtId="0" fontId="7" fillId="0" borderId="8" xfId="0" applyFont="1" applyFill="1" applyBorder="1" applyAlignment="1" applyProtection="1">
      <alignment horizontal="left" wrapText="1"/>
      <protection locked="0"/>
    </xf>
    <xf numFmtId="1" fontId="7" fillId="0" borderId="8" xfId="0" applyNumberFormat="1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/>
    </xf>
    <xf numFmtId="18" fontId="7" fillId="0" borderId="8" xfId="0" applyNumberFormat="1" applyFont="1" applyFill="1" applyBorder="1" applyAlignment="1">
      <alignment horizontal="center"/>
    </xf>
    <xf numFmtId="0" fontId="0" fillId="0" borderId="8" xfId="0" applyBorder="1"/>
    <xf numFmtId="0" fontId="7" fillId="0" borderId="0" xfId="0" applyNumberFormat="1" applyFont="1" applyFill="1" applyBorder="1" applyAlignment="1" applyProtection="1">
      <alignment horizontal="left"/>
      <protection locked="0"/>
    </xf>
    <xf numFmtId="0" fontId="7" fillId="0" borderId="0" xfId="0" applyFont="1" applyFill="1" applyBorder="1" applyAlignment="1" applyProtection="1">
      <alignment horizontal="left" wrapText="1"/>
      <protection locked="0"/>
    </xf>
    <xf numFmtId="1" fontId="7" fillId="0" borderId="0" xfId="0" applyNumberFormat="1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/>
    </xf>
    <xf numFmtId="18" fontId="7" fillId="0" borderId="0" xfId="0" applyNumberFormat="1" applyFont="1" applyFill="1" applyBorder="1" applyAlignment="1">
      <alignment horizontal="center"/>
    </xf>
    <xf numFmtId="0" fontId="1" fillId="0" borderId="5" xfId="0" applyFont="1" applyBorder="1"/>
    <xf numFmtId="0" fontId="9" fillId="0" borderId="5" xfId="1" applyFill="1" applyBorder="1" applyAlignment="1" applyProtection="1">
      <alignment horizontal="left"/>
    </xf>
    <xf numFmtId="0" fontId="7" fillId="0" borderId="5" xfId="0" applyNumberFormat="1" applyFont="1" applyFill="1" applyBorder="1" applyAlignment="1" applyProtection="1">
      <alignment horizontal="center"/>
      <protection locked="0"/>
    </xf>
    <xf numFmtId="0" fontId="0" fillId="3" borderId="5" xfId="0" applyFill="1" applyBorder="1"/>
    <xf numFmtId="15" fontId="7" fillId="3" borderId="5" xfId="0" applyNumberFormat="1" applyFont="1" applyFill="1" applyBorder="1" applyAlignment="1">
      <alignment horizontal="left"/>
    </xf>
    <xf numFmtId="15" fontId="14" fillId="0" borderId="0" xfId="0" applyNumberFormat="1" applyFont="1" applyFill="1" applyAlignment="1" applyProtection="1">
      <alignment horizontal="center"/>
      <protection locked="0"/>
    </xf>
    <xf numFmtId="15" fontId="15" fillId="0" borderId="0" xfId="0" applyNumberFormat="1" applyFont="1" applyFill="1" applyAlignment="1" applyProtection="1">
      <protection locked="0"/>
    </xf>
    <xf numFmtId="0" fontId="16" fillId="0" borderId="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7" fillId="0" borderId="0" xfId="0" applyNumberFormat="1" applyFont="1" applyFill="1" applyBorder="1" applyAlignment="1" applyProtection="1">
      <alignment horizontal="left"/>
      <protection locked="0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hoelsalemarket@tgp.crs" TargetMode="External"/><Relationship Id="rId1" Type="http://schemas.openxmlformats.org/officeDocument/2006/relationships/hyperlink" Target="mailto:Jerome.Slugoski@tgp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B33F-20BE-4BB2-A410-97F8F8EB28D8}">
  <sheetPr>
    <pageSetUpPr fitToPage="1"/>
  </sheetPr>
  <dimension ref="A1:N128"/>
  <sheetViews>
    <sheetView tabSelected="1" view="pageBreakPreview" zoomScaleNormal="100" zoomScaleSheetLayoutView="100" workbookViewId="0">
      <selection activeCell="H23" sqref="H23"/>
    </sheetView>
  </sheetViews>
  <sheetFormatPr defaultRowHeight="12.75" x14ac:dyDescent="0.2"/>
  <cols>
    <col min="1" max="1" width="21.7109375" customWidth="1"/>
    <col min="2" max="2" width="24.5703125" customWidth="1"/>
    <col min="3" max="3" width="26.7109375" customWidth="1"/>
    <col min="4" max="4" width="15.7109375" customWidth="1"/>
    <col min="5" max="5" width="25.7109375" customWidth="1"/>
    <col min="6" max="6" width="22.28515625" customWidth="1"/>
    <col min="7" max="7" width="8.5703125" hidden="1" customWidth="1"/>
    <col min="8" max="8" width="34.85546875" customWidth="1"/>
    <col min="13" max="13" width="35.28515625" bestFit="1" customWidth="1"/>
  </cols>
  <sheetData>
    <row r="1" spans="1:14" x14ac:dyDescent="0.2">
      <c r="E1" s="72"/>
      <c r="F1" s="73"/>
      <c r="M1" s="54" t="s">
        <v>86</v>
      </c>
      <c r="N1">
        <v>2643</v>
      </c>
    </row>
    <row r="2" spans="1:14" ht="23.25" x14ac:dyDescent="0.35">
      <c r="B2" s="43" t="s">
        <v>19</v>
      </c>
      <c r="C2" s="43"/>
      <c r="D2" s="44"/>
      <c r="E2" s="73"/>
      <c r="F2" s="73"/>
      <c r="M2" s="54" t="s">
        <v>204</v>
      </c>
      <c r="N2" s="51" t="s">
        <v>205</v>
      </c>
    </row>
    <row r="3" spans="1:14" x14ac:dyDescent="0.2">
      <c r="M3" s="53" t="s">
        <v>23</v>
      </c>
      <c r="N3" s="50">
        <v>2309</v>
      </c>
    </row>
    <row r="4" spans="1:14" ht="18.75" x14ac:dyDescent="0.3">
      <c r="A4" s="8" t="s">
        <v>0</v>
      </c>
      <c r="B4" s="11" t="s">
        <v>207</v>
      </c>
      <c r="C4" s="11"/>
      <c r="D4" s="38"/>
      <c r="E4" s="74" t="s">
        <v>22</v>
      </c>
      <c r="F4" s="75"/>
      <c r="G4" s="34"/>
      <c r="H4" s="35"/>
      <c r="M4" s="54" t="s">
        <v>87</v>
      </c>
      <c r="N4">
        <v>1575500100</v>
      </c>
    </row>
    <row r="5" spans="1:14" ht="18.75" x14ac:dyDescent="0.3">
      <c r="A5" s="8" t="s">
        <v>1</v>
      </c>
      <c r="B5" s="3">
        <v>53155805</v>
      </c>
      <c r="C5" s="3"/>
      <c r="D5" s="38"/>
      <c r="E5" s="21"/>
      <c r="F5" s="21"/>
      <c r="G5" s="34"/>
      <c r="H5" s="35"/>
      <c r="M5" s="53" t="s">
        <v>24</v>
      </c>
      <c r="N5">
        <v>2625</v>
      </c>
    </row>
    <row r="6" spans="1:14" ht="18.75" customHeight="1" x14ac:dyDescent="0.3">
      <c r="A6" s="8" t="s">
        <v>2</v>
      </c>
      <c r="B6" s="9"/>
      <c r="C6" s="10"/>
      <c r="D6" s="71"/>
      <c r="E6" s="70"/>
      <c r="F6" s="21"/>
      <c r="G6" s="34"/>
      <c r="H6" s="35"/>
      <c r="M6" s="54" t="s">
        <v>88</v>
      </c>
      <c r="N6" s="51" t="s">
        <v>26</v>
      </c>
    </row>
    <row r="7" spans="1:14" ht="18.75" customHeight="1" x14ac:dyDescent="0.3">
      <c r="A7" s="8" t="s">
        <v>3</v>
      </c>
      <c r="B7" s="9"/>
      <c r="C7" s="45" t="s">
        <v>150</v>
      </c>
      <c r="D7" s="39" t="s">
        <v>151</v>
      </c>
      <c r="E7" s="21"/>
      <c r="F7" s="21"/>
      <c r="G7" s="34"/>
      <c r="H7" s="35"/>
      <c r="M7" s="53" t="s">
        <v>25</v>
      </c>
      <c r="N7" s="50" t="s">
        <v>27</v>
      </c>
    </row>
    <row r="8" spans="1:14" ht="18.75" x14ac:dyDescent="0.3">
      <c r="A8" s="8" t="s">
        <v>4</v>
      </c>
      <c r="B8" s="9"/>
      <c r="C8" s="10"/>
      <c r="D8" s="39"/>
      <c r="E8" s="67" t="s">
        <v>150</v>
      </c>
      <c r="F8" s="21"/>
      <c r="G8" s="34"/>
      <c r="H8" s="35"/>
      <c r="M8" s="54" t="s">
        <v>80</v>
      </c>
      <c r="N8" s="50">
        <v>1356</v>
      </c>
    </row>
    <row r="9" spans="1:14" ht="18.75" x14ac:dyDescent="0.3">
      <c r="A9" s="8" t="s">
        <v>15</v>
      </c>
      <c r="B9" s="46" t="s">
        <v>152</v>
      </c>
      <c r="C9" s="10" t="s">
        <v>16</v>
      </c>
      <c r="D9" s="68" t="s">
        <v>208</v>
      </c>
      <c r="E9" s="21"/>
      <c r="F9" s="21"/>
      <c r="G9" s="36"/>
      <c r="H9" s="35"/>
      <c r="M9" s="54" t="s">
        <v>81</v>
      </c>
      <c r="N9" s="50">
        <v>1639300100</v>
      </c>
    </row>
    <row r="10" spans="1:14" ht="4.5" customHeight="1" x14ac:dyDescent="0.3">
      <c r="A10" s="12"/>
      <c r="B10" s="4"/>
      <c r="C10" s="4"/>
      <c r="D10" s="40"/>
      <c r="E10" s="21"/>
      <c r="F10" s="21"/>
      <c r="G10" s="34"/>
      <c r="H10" s="35"/>
      <c r="M10" s="54" t="s">
        <v>28</v>
      </c>
      <c r="N10" s="50">
        <v>1628600100</v>
      </c>
    </row>
    <row r="11" spans="1:14" ht="18.75" x14ac:dyDescent="0.3">
      <c r="A11" s="8" t="s">
        <v>5</v>
      </c>
      <c r="B11" s="9"/>
      <c r="C11" s="10"/>
      <c r="D11" s="42" t="s">
        <v>17</v>
      </c>
      <c r="E11" s="21"/>
      <c r="F11" s="21"/>
      <c r="G11" s="34"/>
      <c r="H11" s="35"/>
      <c r="M11" s="54" t="s">
        <v>29</v>
      </c>
      <c r="N11" s="50" t="s">
        <v>30</v>
      </c>
    </row>
    <row r="12" spans="1:14" ht="18.75" x14ac:dyDescent="0.3">
      <c r="A12" s="8" t="s">
        <v>6</v>
      </c>
      <c r="B12" s="9"/>
      <c r="C12" s="10"/>
      <c r="D12" s="42" t="s">
        <v>18</v>
      </c>
      <c r="E12" s="21"/>
      <c r="F12" s="21"/>
      <c r="G12" s="34"/>
      <c r="H12" s="37"/>
      <c r="M12" s="54" t="s">
        <v>82</v>
      </c>
      <c r="N12" t="s">
        <v>194</v>
      </c>
    </row>
    <row r="13" spans="1:14" ht="7.5" customHeight="1" x14ac:dyDescent="0.3">
      <c r="A13" s="16"/>
      <c r="B13" s="17"/>
      <c r="C13" s="10"/>
      <c r="D13" s="21"/>
      <c r="E13" s="21"/>
      <c r="F13" s="21"/>
      <c r="H13" s="1"/>
      <c r="M13" s="54" t="s">
        <v>193</v>
      </c>
      <c r="N13" s="50" t="s">
        <v>162</v>
      </c>
    </row>
    <row r="14" spans="1:14" ht="18.75" x14ac:dyDescent="0.3">
      <c r="A14" s="16"/>
      <c r="B14" s="26"/>
      <c r="C14" s="27"/>
      <c r="D14" s="26"/>
      <c r="E14" s="41"/>
      <c r="F14" s="21"/>
      <c r="H14" s="1"/>
      <c r="M14" s="54" t="s">
        <v>161</v>
      </c>
      <c r="N14" s="50">
        <v>1662</v>
      </c>
    </row>
    <row r="15" spans="1:14" ht="18" x14ac:dyDescent="0.25">
      <c r="A15" s="14"/>
      <c r="B15" s="26"/>
      <c r="C15" s="27"/>
      <c r="D15" s="41"/>
      <c r="E15" s="41"/>
      <c r="F15" s="21"/>
      <c r="H15" s="1"/>
      <c r="M15" s="54" t="s">
        <v>83</v>
      </c>
      <c r="N15" s="50">
        <v>16321.001</v>
      </c>
    </row>
    <row r="16" spans="1:14" ht="18" x14ac:dyDescent="0.25">
      <c r="A16" s="2"/>
      <c r="B16" s="26" t="s">
        <v>150</v>
      </c>
      <c r="C16" s="5"/>
      <c r="D16" s="21"/>
      <c r="E16" s="21"/>
      <c r="F16" s="21"/>
      <c r="H16" s="1"/>
      <c r="M16" s="54" t="s">
        <v>31</v>
      </c>
      <c r="N16" s="51" t="s">
        <v>32</v>
      </c>
    </row>
    <row r="17" spans="1:14" ht="9.75" customHeight="1" x14ac:dyDescent="0.25">
      <c r="A17" s="1"/>
      <c r="B17" s="1"/>
      <c r="C17" s="1"/>
      <c r="D17" s="20"/>
      <c r="E17" s="1"/>
      <c r="F17" s="1"/>
      <c r="M17" s="54" t="s">
        <v>89</v>
      </c>
      <c r="N17">
        <v>507</v>
      </c>
    </row>
    <row r="18" spans="1:14" ht="18.75" x14ac:dyDescent="0.3">
      <c r="A18" s="8" t="s">
        <v>13</v>
      </c>
      <c r="B18" s="9"/>
      <c r="C18" s="10"/>
      <c r="D18" s="18"/>
      <c r="E18" s="10"/>
      <c r="F18" s="19"/>
      <c r="G18" s="6"/>
      <c r="H18" s="7"/>
      <c r="M18" s="53" t="s">
        <v>33</v>
      </c>
      <c r="N18" s="50">
        <v>1609200100</v>
      </c>
    </row>
    <row r="19" spans="1:14" ht="18.75" x14ac:dyDescent="0.3">
      <c r="A19" s="8" t="s">
        <v>14</v>
      </c>
      <c r="B19" s="9"/>
      <c r="C19" s="10"/>
      <c r="D19" s="18"/>
      <c r="E19" s="10"/>
      <c r="F19" s="19"/>
      <c r="G19" s="6"/>
      <c r="H19" s="7"/>
      <c r="M19" s="53" t="s">
        <v>34</v>
      </c>
      <c r="N19" t="s">
        <v>180</v>
      </c>
    </row>
    <row r="20" spans="1:14" ht="3" customHeight="1" x14ac:dyDescent="0.2">
      <c r="M20" s="54" t="s">
        <v>179</v>
      </c>
      <c r="N20" s="50">
        <v>15783</v>
      </c>
    </row>
    <row r="21" spans="1:14" ht="6.75" customHeight="1" x14ac:dyDescent="0.2">
      <c r="M21" s="54" t="s">
        <v>90</v>
      </c>
      <c r="N21" s="51" t="s">
        <v>36</v>
      </c>
    </row>
    <row r="22" spans="1:14" ht="39.950000000000003" customHeight="1" x14ac:dyDescent="0.3">
      <c r="A22" s="28" t="s">
        <v>7</v>
      </c>
      <c r="B22" s="29" t="s">
        <v>8</v>
      </c>
      <c r="C22" s="30" t="s">
        <v>9</v>
      </c>
      <c r="D22" s="31" t="s">
        <v>10</v>
      </c>
      <c r="E22" s="32" t="s">
        <v>11</v>
      </c>
      <c r="F22" s="32" t="s">
        <v>20</v>
      </c>
      <c r="G22" s="33" t="s">
        <v>12</v>
      </c>
      <c r="H22" s="32" t="s">
        <v>21</v>
      </c>
      <c r="M22" s="53" t="s">
        <v>35</v>
      </c>
      <c r="N22" s="50">
        <v>2359</v>
      </c>
    </row>
    <row r="23" spans="1:14" ht="39.75" customHeight="1" x14ac:dyDescent="0.3">
      <c r="A23" s="39"/>
      <c r="B23" s="69"/>
      <c r="C23" s="54"/>
      <c r="D23" s="47"/>
      <c r="E23" s="48"/>
      <c r="F23" s="49"/>
      <c r="G23" s="13"/>
      <c r="H23" s="48"/>
      <c r="M23" s="54" t="s">
        <v>91</v>
      </c>
      <c r="N23" s="50">
        <v>1629100100</v>
      </c>
    </row>
    <row r="24" spans="1:14" ht="37.5" customHeight="1" x14ac:dyDescent="0.3">
      <c r="A24" s="39"/>
      <c r="B24" s="69"/>
      <c r="C24" s="52"/>
      <c r="D24" s="47"/>
      <c r="E24" s="48"/>
      <c r="F24" s="49"/>
      <c r="G24" s="23"/>
      <c r="H24" s="48"/>
      <c r="M24" s="53" t="s">
        <v>37</v>
      </c>
      <c r="N24">
        <v>901</v>
      </c>
    </row>
    <row r="25" spans="1:14" ht="38.25" customHeight="1" x14ac:dyDescent="0.3">
      <c r="A25" s="39"/>
      <c r="B25" s="69"/>
      <c r="C25" s="52"/>
      <c r="D25" s="47"/>
      <c r="E25" s="48"/>
      <c r="F25" s="49"/>
      <c r="G25" s="23"/>
      <c r="H25" s="48"/>
      <c r="M25" s="54" t="s">
        <v>92</v>
      </c>
      <c r="N25" t="s">
        <v>166</v>
      </c>
    </row>
    <row r="26" spans="1:14" ht="39.75" customHeight="1" x14ac:dyDescent="0.3">
      <c r="A26" s="39"/>
      <c r="B26" s="69"/>
      <c r="C26" s="52"/>
      <c r="D26" s="47"/>
      <c r="E26" s="48"/>
      <c r="F26" s="49"/>
      <c r="G26" s="23"/>
      <c r="H26" s="22"/>
      <c r="M26" s="53" t="s">
        <v>165</v>
      </c>
      <c r="N26" s="50">
        <v>2016</v>
      </c>
    </row>
    <row r="27" spans="1:14" ht="57.75" customHeight="1" x14ac:dyDescent="0.3">
      <c r="A27" s="39"/>
      <c r="B27" s="69"/>
      <c r="C27" s="52"/>
      <c r="D27" s="47"/>
      <c r="E27" s="48"/>
      <c r="F27" s="49"/>
      <c r="G27" s="25"/>
      <c r="H27" s="24"/>
      <c r="M27" s="54" t="s">
        <v>93</v>
      </c>
      <c r="N27" s="51" t="s">
        <v>39</v>
      </c>
    </row>
    <row r="28" spans="1:14" ht="40.5" customHeight="1" x14ac:dyDescent="0.3">
      <c r="A28" s="39"/>
      <c r="B28" s="55"/>
      <c r="C28" s="52"/>
      <c r="D28" s="47"/>
      <c r="E28" s="48"/>
      <c r="F28" s="49"/>
      <c r="G28" s="23"/>
      <c r="H28" s="22"/>
      <c r="M28" s="53" t="s">
        <v>38</v>
      </c>
      <c r="N28" s="50" t="s">
        <v>40</v>
      </c>
    </row>
    <row r="29" spans="1:14" ht="39.75" customHeight="1" x14ac:dyDescent="0.3">
      <c r="A29" s="39"/>
      <c r="B29" s="55"/>
      <c r="C29" s="52"/>
      <c r="D29" s="47"/>
      <c r="E29" s="48"/>
      <c r="F29" s="49"/>
      <c r="G29" s="23"/>
      <c r="H29" s="22"/>
      <c r="M29" s="54" t="s">
        <v>94</v>
      </c>
      <c r="N29" s="51" t="s">
        <v>41</v>
      </c>
    </row>
    <row r="30" spans="1:14" ht="38.25" customHeight="1" x14ac:dyDescent="0.3">
      <c r="A30" s="39"/>
      <c r="B30" s="55"/>
      <c r="C30" s="52"/>
      <c r="D30" s="47"/>
      <c r="E30" s="48"/>
      <c r="F30" s="49"/>
      <c r="G30" s="23"/>
      <c r="H30" s="22"/>
      <c r="M30" s="54" t="s">
        <v>95</v>
      </c>
      <c r="N30">
        <v>15544</v>
      </c>
    </row>
    <row r="31" spans="1:14" ht="40.5" customHeight="1" x14ac:dyDescent="0.3">
      <c r="A31" s="39"/>
      <c r="B31" s="55"/>
      <c r="C31" s="52"/>
      <c r="D31" s="47"/>
      <c r="E31" s="48"/>
      <c r="F31" s="49"/>
      <c r="G31" s="21"/>
      <c r="H31" s="22"/>
      <c r="M31" s="54" t="s">
        <v>96</v>
      </c>
      <c r="N31" s="50">
        <v>1508200100</v>
      </c>
    </row>
    <row r="32" spans="1:14" ht="39.75" customHeight="1" x14ac:dyDescent="0.3">
      <c r="A32" s="39"/>
      <c r="B32" s="55"/>
      <c r="C32" s="52"/>
      <c r="D32" s="47"/>
      <c r="E32" s="48"/>
      <c r="F32" s="49"/>
      <c r="G32" s="15"/>
      <c r="H32" s="22"/>
      <c r="M32" s="53" t="s">
        <v>42</v>
      </c>
      <c r="N32" s="50">
        <v>1872</v>
      </c>
    </row>
    <row r="33" spans="1:14" ht="39" customHeight="1" x14ac:dyDescent="0.3">
      <c r="A33" s="39"/>
      <c r="B33" s="55"/>
      <c r="C33" s="52"/>
      <c r="D33" s="47"/>
      <c r="E33" s="48"/>
      <c r="F33" s="49"/>
      <c r="G33" s="15"/>
      <c r="H33" s="22"/>
      <c r="M33" s="54" t="s">
        <v>137</v>
      </c>
      <c r="N33" t="s">
        <v>177</v>
      </c>
    </row>
    <row r="34" spans="1:14" ht="39.75" customHeight="1" x14ac:dyDescent="0.3">
      <c r="A34" s="39"/>
      <c r="B34" s="55"/>
      <c r="C34" s="52"/>
      <c r="D34" s="47"/>
      <c r="E34" s="48"/>
      <c r="F34" s="49"/>
      <c r="G34" s="21"/>
      <c r="H34" s="22"/>
      <c r="M34" s="53" t="s">
        <v>178</v>
      </c>
      <c r="N34" s="50">
        <v>1503700100</v>
      </c>
    </row>
    <row r="35" spans="1:14" ht="38.25" customHeight="1" x14ac:dyDescent="0.3">
      <c r="A35" s="39"/>
      <c r="B35" s="55"/>
      <c r="C35" s="52"/>
      <c r="D35" s="47"/>
      <c r="E35" s="48"/>
      <c r="F35" s="49"/>
      <c r="G35" s="13"/>
      <c r="H35" s="22"/>
      <c r="M35" s="54" t="s">
        <v>138</v>
      </c>
      <c r="N35">
        <v>110900100</v>
      </c>
    </row>
    <row r="36" spans="1:14" ht="38.25" customHeight="1" x14ac:dyDescent="0.3">
      <c r="A36" s="39"/>
      <c r="B36" s="55"/>
      <c r="C36" s="52"/>
      <c r="D36" s="47"/>
      <c r="E36" s="48"/>
      <c r="F36" s="49"/>
      <c r="G36" s="23"/>
      <c r="H36" s="22"/>
      <c r="M36" s="53" t="s">
        <v>43</v>
      </c>
      <c r="N36" s="50">
        <v>2346</v>
      </c>
    </row>
    <row r="37" spans="1:14" ht="39" customHeight="1" x14ac:dyDescent="0.3">
      <c r="A37" s="39"/>
      <c r="B37" s="55"/>
      <c r="C37" s="52"/>
      <c r="D37" s="47"/>
      <c r="E37" s="48"/>
      <c r="F37" s="49"/>
      <c r="G37" s="23"/>
      <c r="H37" s="22"/>
      <c r="M37" s="54" t="s">
        <v>97</v>
      </c>
      <c r="N37">
        <v>284</v>
      </c>
    </row>
    <row r="38" spans="1:14" ht="39.75" customHeight="1" x14ac:dyDescent="0.3">
      <c r="A38" s="39"/>
      <c r="B38" s="55"/>
      <c r="C38" s="52"/>
      <c r="D38" s="47"/>
      <c r="E38" s="48"/>
      <c r="F38" s="49"/>
      <c r="G38" s="23"/>
      <c r="H38" s="22"/>
      <c r="M38" s="54" t="s">
        <v>98</v>
      </c>
      <c r="N38" s="50">
        <v>2151</v>
      </c>
    </row>
    <row r="39" spans="1:14" ht="39.75" customHeight="1" x14ac:dyDescent="0.3">
      <c r="A39" s="39"/>
      <c r="B39" s="55"/>
      <c r="C39" s="52"/>
      <c r="D39" s="47"/>
      <c r="E39" s="48"/>
      <c r="F39" s="49"/>
      <c r="G39" s="25"/>
      <c r="H39" s="24"/>
      <c r="M39" s="54" t="s">
        <v>99</v>
      </c>
      <c r="N39" s="50">
        <v>15820</v>
      </c>
    </row>
    <row r="40" spans="1:14" ht="39.75" customHeight="1" x14ac:dyDescent="0.3">
      <c r="A40" s="39"/>
      <c r="B40" s="55"/>
      <c r="C40" s="52"/>
      <c r="D40" s="47"/>
      <c r="E40" s="48"/>
      <c r="F40" s="49"/>
      <c r="G40" s="23"/>
      <c r="H40" s="22"/>
      <c r="M40" s="54" t="s">
        <v>100</v>
      </c>
      <c r="N40" t="s">
        <v>190</v>
      </c>
    </row>
    <row r="41" spans="1:14" ht="39" customHeight="1" x14ac:dyDescent="0.3">
      <c r="A41" s="39" t="str">
        <f t="shared" ref="A41:A47" si="0">IF(C41="","",VLOOKUP(C41,$M$1:$N$118,2,FALSE))</f>
        <v/>
      </c>
      <c r="B41" s="55"/>
      <c r="C41" s="52"/>
      <c r="D41" s="47" t="str">
        <f>IF(C41="","","C")</f>
        <v/>
      </c>
      <c r="E41" s="48"/>
      <c r="F41" s="49" t="str">
        <f>IF(C41="","", "7:00 AM")</f>
        <v/>
      </c>
      <c r="G41" s="21"/>
      <c r="H41" s="21"/>
      <c r="M41" s="54" t="s">
        <v>189</v>
      </c>
      <c r="N41" s="50">
        <v>2474</v>
      </c>
    </row>
    <row r="42" spans="1:14" ht="39.75" customHeight="1" x14ac:dyDescent="0.3">
      <c r="A42" s="39" t="str">
        <f t="shared" si="0"/>
        <v/>
      </c>
      <c r="B42" s="55"/>
      <c r="C42" s="52"/>
      <c r="D42" s="47" t="str">
        <f>IF(C42="","","C")</f>
        <v/>
      </c>
      <c r="E42" s="48"/>
      <c r="F42" s="49" t="str">
        <f>IF(C42="","", "7:00 AM")</f>
        <v/>
      </c>
      <c r="G42" s="21"/>
      <c r="H42" s="21"/>
      <c r="M42" s="54" t="s">
        <v>84</v>
      </c>
      <c r="N42">
        <v>731900100</v>
      </c>
    </row>
    <row r="43" spans="1:14" ht="19.5" customHeight="1" x14ac:dyDescent="0.3">
      <c r="A43" s="39" t="str">
        <f t="shared" si="0"/>
        <v/>
      </c>
      <c r="B43" s="55"/>
      <c r="C43" s="52"/>
      <c r="D43" s="47" t="str">
        <f>IF(C43="","","C")</f>
        <v/>
      </c>
      <c r="E43" s="48"/>
      <c r="F43" s="49" t="str">
        <f>IF(C43="","", "7:00 AM")</f>
        <v/>
      </c>
      <c r="G43" s="21"/>
      <c r="H43" s="21"/>
      <c r="M43" s="53" t="s">
        <v>44</v>
      </c>
      <c r="N43" t="s">
        <v>184</v>
      </c>
    </row>
    <row r="44" spans="1:14" ht="19.5" customHeight="1" x14ac:dyDescent="0.3">
      <c r="A44" s="8" t="str">
        <f t="shared" si="0"/>
        <v/>
      </c>
      <c r="B44" s="56"/>
      <c r="C44" s="57"/>
      <c r="D44" s="58" t="str">
        <f>IF(C44="","","C")</f>
        <v/>
      </c>
      <c r="E44" s="59"/>
      <c r="F44" s="60" t="str">
        <f>IF(C44="","", "7:00 AM")</f>
        <v/>
      </c>
      <c r="G44" s="61"/>
      <c r="H44" s="61"/>
      <c r="M44" s="53" t="s">
        <v>45</v>
      </c>
      <c r="N44" s="50">
        <v>1647300200</v>
      </c>
    </row>
    <row r="45" spans="1:14" ht="19.5" customHeight="1" x14ac:dyDescent="0.3">
      <c r="A45" s="8" t="str">
        <f t="shared" si="0"/>
        <v/>
      </c>
      <c r="B45" s="76" t="s">
        <v>142</v>
      </c>
      <c r="C45" s="77"/>
      <c r="D45" s="77"/>
      <c r="E45" s="77"/>
      <c r="F45" s="77"/>
      <c r="G45" s="77"/>
      <c r="H45" s="77"/>
      <c r="M45" s="54" t="s">
        <v>85</v>
      </c>
      <c r="N45" s="50" t="s">
        <v>164</v>
      </c>
    </row>
    <row r="46" spans="1:14" ht="19.5" customHeight="1" x14ac:dyDescent="0.3">
      <c r="A46" s="8" t="str">
        <f t="shared" si="0"/>
        <v/>
      </c>
      <c r="B46" s="76" t="s">
        <v>143</v>
      </c>
      <c r="C46" s="77"/>
      <c r="D46" s="77"/>
      <c r="E46" s="77"/>
      <c r="F46" s="77"/>
      <c r="G46" s="35"/>
      <c r="H46" s="35"/>
      <c r="M46" s="53" t="s">
        <v>163</v>
      </c>
      <c r="N46">
        <v>279100100</v>
      </c>
    </row>
    <row r="47" spans="1:14" ht="19.5" customHeight="1" x14ac:dyDescent="0.3">
      <c r="A47" s="8" t="str">
        <f t="shared" si="0"/>
        <v/>
      </c>
      <c r="B47" s="62"/>
      <c r="C47" s="63"/>
      <c r="D47" s="64" t="str">
        <f>IF(C47="","","C")</f>
        <v/>
      </c>
      <c r="E47" s="65"/>
      <c r="F47" s="66" t="str">
        <f>IF(C47="","", "7:00 AM")</f>
        <v/>
      </c>
      <c r="G47" s="35"/>
      <c r="H47" s="35"/>
      <c r="M47" s="53" t="s">
        <v>46</v>
      </c>
      <c r="N47" s="50">
        <v>1625800100</v>
      </c>
    </row>
    <row r="48" spans="1:14" ht="19.5" customHeight="1" x14ac:dyDescent="0.2">
      <c r="A48" s="35"/>
      <c r="B48" s="35"/>
      <c r="C48" s="35"/>
      <c r="D48" s="35"/>
      <c r="E48" s="35"/>
      <c r="F48" s="35"/>
      <c r="G48" s="35"/>
      <c r="H48" s="35"/>
      <c r="M48" s="53" t="s">
        <v>47</v>
      </c>
      <c r="N48" t="s">
        <v>155</v>
      </c>
    </row>
    <row r="49" spans="13:14" x14ac:dyDescent="0.2">
      <c r="M49" s="53" t="s">
        <v>156</v>
      </c>
      <c r="N49" s="50" t="s">
        <v>174</v>
      </c>
    </row>
    <row r="50" spans="13:14" x14ac:dyDescent="0.2">
      <c r="M50" s="54" t="s">
        <v>173</v>
      </c>
      <c r="N50" t="s">
        <v>192</v>
      </c>
    </row>
    <row r="51" spans="13:14" x14ac:dyDescent="0.2">
      <c r="M51" s="54" t="s">
        <v>191</v>
      </c>
      <c r="N51" s="50" t="s">
        <v>160</v>
      </c>
    </row>
    <row r="52" spans="13:14" x14ac:dyDescent="0.2">
      <c r="M52" s="54" t="s">
        <v>159</v>
      </c>
      <c r="N52" t="s">
        <v>154</v>
      </c>
    </row>
    <row r="53" spans="13:14" x14ac:dyDescent="0.2">
      <c r="M53" s="53" t="s">
        <v>153</v>
      </c>
      <c r="N53" t="s">
        <v>171</v>
      </c>
    </row>
    <row r="54" spans="13:14" x14ac:dyDescent="0.2">
      <c r="M54" s="53" t="s">
        <v>172</v>
      </c>
      <c r="N54" t="s">
        <v>183</v>
      </c>
    </row>
    <row r="55" spans="13:14" x14ac:dyDescent="0.2">
      <c r="M55" s="54" t="s">
        <v>182</v>
      </c>
      <c r="N55">
        <v>10463</v>
      </c>
    </row>
    <row r="56" spans="13:14" x14ac:dyDescent="0.2">
      <c r="M56" s="54" t="s">
        <v>201</v>
      </c>
      <c r="N56" s="50" t="s">
        <v>48</v>
      </c>
    </row>
    <row r="57" spans="13:14" x14ac:dyDescent="0.2">
      <c r="M57" s="54" t="s">
        <v>136</v>
      </c>
      <c r="N57" s="50">
        <v>1530000100</v>
      </c>
    </row>
    <row r="58" spans="13:14" x14ac:dyDescent="0.2">
      <c r="M58" s="53" t="s">
        <v>49</v>
      </c>
      <c r="N58" s="50">
        <v>15976</v>
      </c>
    </row>
    <row r="59" spans="13:14" x14ac:dyDescent="0.2">
      <c r="M59" s="54" t="s">
        <v>135</v>
      </c>
      <c r="N59" s="50">
        <v>1519800100</v>
      </c>
    </row>
    <row r="60" spans="13:14" x14ac:dyDescent="0.2">
      <c r="M60" s="53" t="s">
        <v>148</v>
      </c>
      <c r="N60" s="51" t="s">
        <v>51</v>
      </c>
    </row>
    <row r="61" spans="13:14" x14ac:dyDescent="0.2">
      <c r="M61" s="53" t="s">
        <v>50</v>
      </c>
      <c r="N61" s="50">
        <v>1752</v>
      </c>
    </row>
    <row r="62" spans="13:14" x14ac:dyDescent="0.2">
      <c r="M62" s="54" t="s">
        <v>134</v>
      </c>
      <c r="N62" s="50"/>
    </row>
    <row r="63" spans="13:14" x14ac:dyDescent="0.2">
      <c r="M63" s="53" t="s">
        <v>52</v>
      </c>
      <c r="N63">
        <v>1500300100</v>
      </c>
    </row>
    <row r="64" spans="13:14" x14ac:dyDescent="0.2">
      <c r="M64" s="53" t="s">
        <v>53</v>
      </c>
      <c r="N64" s="50" t="s">
        <v>199</v>
      </c>
    </row>
    <row r="65" spans="13:14" x14ac:dyDescent="0.2">
      <c r="M65" s="54" t="s">
        <v>198</v>
      </c>
      <c r="N65">
        <v>10460</v>
      </c>
    </row>
    <row r="66" spans="13:14" x14ac:dyDescent="0.2">
      <c r="M66" s="54" t="s">
        <v>200</v>
      </c>
      <c r="N66" s="50">
        <v>1519000100</v>
      </c>
    </row>
    <row r="67" spans="13:14" x14ac:dyDescent="0.2">
      <c r="M67" s="54" t="s">
        <v>144</v>
      </c>
      <c r="N67" s="50">
        <v>1627</v>
      </c>
    </row>
    <row r="68" spans="13:14" x14ac:dyDescent="0.2">
      <c r="M68" s="54" t="s">
        <v>133</v>
      </c>
      <c r="N68" s="50">
        <v>15848</v>
      </c>
    </row>
    <row r="69" spans="13:14" x14ac:dyDescent="0.2">
      <c r="M69" s="54" t="s">
        <v>132</v>
      </c>
      <c r="N69" t="s">
        <v>188</v>
      </c>
    </row>
    <row r="70" spans="13:14" x14ac:dyDescent="0.2">
      <c r="M70" s="54" t="s">
        <v>187</v>
      </c>
      <c r="N70" s="50" t="s">
        <v>54</v>
      </c>
    </row>
    <row r="71" spans="13:14" x14ac:dyDescent="0.2">
      <c r="M71" s="54" t="s">
        <v>131</v>
      </c>
      <c r="N71">
        <v>2585</v>
      </c>
    </row>
    <row r="72" spans="13:14" x14ac:dyDescent="0.2">
      <c r="M72" s="54" t="s">
        <v>130</v>
      </c>
      <c r="N72" s="50">
        <v>2550</v>
      </c>
    </row>
    <row r="73" spans="13:14" x14ac:dyDescent="0.2">
      <c r="M73" s="54" t="s">
        <v>129</v>
      </c>
      <c r="N73" s="51" t="s">
        <v>55</v>
      </c>
    </row>
    <row r="74" spans="13:14" x14ac:dyDescent="0.2">
      <c r="M74" s="53" t="s">
        <v>147</v>
      </c>
      <c r="N74" s="50">
        <v>1622100100</v>
      </c>
    </row>
    <row r="75" spans="13:14" x14ac:dyDescent="0.2">
      <c r="M75" s="54" t="s">
        <v>139</v>
      </c>
      <c r="N75" s="51" t="s">
        <v>57</v>
      </c>
    </row>
    <row r="76" spans="13:14" x14ac:dyDescent="0.2">
      <c r="M76" s="53" t="s">
        <v>56</v>
      </c>
      <c r="N76" s="50">
        <v>2082</v>
      </c>
    </row>
    <row r="77" spans="13:14" x14ac:dyDescent="0.2">
      <c r="M77" s="54" t="s">
        <v>128</v>
      </c>
      <c r="N77">
        <v>546500100</v>
      </c>
    </row>
    <row r="78" spans="13:14" x14ac:dyDescent="0.2">
      <c r="M78" s="53" t="s">
        <v>146</v>
      </c>
      <c r="N78">
        <v>1557100100</v>
      </c>
    </row>
    <row r="79" spans="13:14" x14ac:dyDescent="0.2">
      <c r="M79" s="53" t="s">
        <v>58</v>
      </c>
      <c r="N79">
        <v>3592</v>
      </c>
    </row>
    <row r="80" spans="13:14" x14ac:dyDescent="0.2">
      <c r="M80" s="54" t="s">
        <v>127</v>
      </c>
      <c r="N80" t="s">
        <v>186</v>
      </c>
    </row>
    <row r="81" spans="13:14" x14ac:dyDescent="0.2">
      <c r="M81" s="54" t="s">
        <v>185</v>
      </c>
      <c r="N81" s="50">
        <v>1828</v>
      </c>
    </row>
    <row r="82" spans="13:14" x14ac:dyDescent="0.2">
      <c r="M82" s="54" t="s">
        <v>126</v>
      </c>
      <c r="N82" s="50">
        <v>16103</v>
      </c>
    </row>
    <row r="83" spans="13:14" x14ac:dyDescent="0.2">
      <c r="M83" s="54" t="s">
        <v>125</v>
      </c>
      <c r="N83">
        <v>15549</v>
      </c>
    </row>
    <row r="84" spans="13:14" x14ac:dyDescent="0.2">
      <c r="M84" s="54" t="s">
        <v>124</v>
      </c>
      <c r="N84">
        <v>325</v>
      </c>
    </row>
    <row r="85" spans="13:14" x14ac:dyDescent="0.2">
      <c r="M85" s="54" t="s">
        <v>123</v>
      </c>
      <c r="N85" s="51" t="s">
        <v>60</v>
      </c>
    </row>
    <row r="86" spans="13:14" x14ac:dyDescent="0.2">
      <c r="M86" s="53" t="s">
        <v>59</v>
      </c>
      <c r="N86">
        <v>3680</v>
      </c>
    </row>
    <row r="87" spans="13:14" x14ac:dyDescent="0.2">
      <c r="M87" s="54" t="s">
        <v>122</v>
      </c>
      <c r="N87" s="50" t="s">
        <v>61</v>
      </c>
    </row>
    <row r="88" spans="13:14" x14ac:dyDescent="0.2">
      <c r="M88" s="54" t="s">
        <v>121</v>
      </c>
      <c r="N88" s="50" t="s">
        <v>181</v>
      </c>
    </row>
    <row r="89" spans="13:14" x14ac:dyDescent="0.2">
      <c r="M89" s="53" t="s">
        <v>62</v>
      </c>
      <c r="N89" s="50" t="s">
        <v>63</v>
      </c>
    </row>
    <row r="90" spans="13:14" x14ac:dyDescent="0.2">
      <c r="M90" s="54" t="s">
        <v>120</v>
      </c>
      <c r="N90" s="51" t="s">
        <v>64</v>
      </c>
    </row>
    <row r="91" spans="13:14" x14ac:dyDescent="0.2">
      <c r="M91" s="54" t="s">
        <v>140</v>
      </c>
      <c r="N91" s="50" t="s">
        <v>65</v>
      </c>
    </row>
    <row r="92" spans="13:14" x14ac:dyDescent="0.2">
      <c r="M92" s="54" t="s">
        <v>119</v>
      </c>
      <c r="N92">
        <v>15547</v>
      </c>
    </row>
    <row r="93" spans="13:14" x14ac:dyDescent="0.2">
      <c r="M93" s="54" t="s">
        <v>118</v>
      </c>
      <c r="N93" t="s">
        <v>170</v>
      </c>
    </row>
    <row r="94" spans="13:14" x14ac:dyDescent="0.2">
      <c r="M94" s="53" t="s">
        <v>169</v>
      </c>
      <c r="N94">
        <v>531</v>
      </c>
    </row>
    <row r="95" spans="13:14" x14ac:dyDescent="0.2">
      <c r="M95" s="54" t="s">
        <v>117</v>
      </c>
      <c r="N95">
        <v>694</v>
      </c>
    </row>
    <row r="96" spans="13:14" x14ac:dyDescent="0.2">
      <c r="M96" s="54" t="s">
        <v>116</v>
      </c>
      <c r="N96">
        <v>88</v>
      </c>
    </row>
    <row r="97" spans="13:14" x14ac:dyDescent="0.2">
      <c r="M97" s="54" t="s">
        <v>115</v>
      </c>
      <c r="N97">
        <v>1278</v>
      </c>
    </row>
    <row r="98" spans="13:14" x14ac:dyDescent="0.2">
      <c r="M98" s="54" t="s">
        <v>114</v>
      </c>
      <c r="N98" s="50" t="s">
        <v>66</v>
      </c>
    </row>
    <row r="99" spans="13:14" x14ac:dyDescent="0.2">
      <c r="M99" s="54" t="s">
        <v>113</v>
      </c>
      <c r="N99" s="51" t="s">
        <v>67</v>
      </c>
    </row>
    <row r="100" spans="13:14" x14ac:dyDescent="0.2">
      <c r="M100" s="54" t="s">
        <v>112</v>
      </c>
      <c r="N100" s="50">
        <v>2354</v>
      </c>
    </row>
    <row r="101" spans="13:14" x14ac:dyDescent="0.2">
      <c r="M101" s="54" t="s">
        <v>111</v>
      </c>
      <c r="N101" t="s">
        <v>157</v>
      </c>
    </row>
    <row r="102" spans="13:14" x14ac:dyDescent="0.2">
      <c r="M102" s="53" t="s">
        <v>158</v>
      </c>
      <c r="N102" t="s">
        <v>176</v>
      </c>
    </row>
    <row r="103" spans="13:14" x14ac:dyDescent="0.2">
      <c r="M103" s="53" t="s">
        <v>175</v>
      </c>
      <c r="N103" s="51" t="s">
        <v>69</v>
      </c>
    </row>
    <row r="104" spans="13:14" x14ac:dyDescent="0.2">
      <c r="M104" s="53" t="s">
        <v>68</v>
      </c>
      <c r="N104" s="51" t="s">
        <v>70</v>
      </c>
    </row>
    <row r="105" spans="13:14" x14ac:dyDescent="0.2">
      <c r="M105" s="53" t="s">
        <v>149</v>
      </c>
      <c r="N105" s="50" t="s">
        <v>71</v>
      </c>
    </row>
    <row r="106" spans="13:14" x14ac:dyDescent="0.2">
      <c r="M106" s="54" t="s">
        <v>110</v>
      </c>
      <c r="N106" t="s">
        <v>168</v>
      </c>
    </row>
    <row r="107" spans="13:14" x14ac:dyDescent="0.2">
      <c r="M107" s="53" t="s">
        <v>167</v>
      </c>
      <c r="N107">
        <v>1050</v>
      </c>
    </row>
    <row r="108" spans="13:14" x14ac:dyDescent="0.2">
      <c r="M108" s="53" t="s">
        <v>72</v>
      </c>
      <c r="N108">
        <v>918</v>
      </c>
    </row>
    <row r="109" spans="13:14" x14ac:dyDescent="0.2">
      <c r="M109" s="54" t="s">
        <v>109</v>
      </c>
      <c r="N109" s="50" t="s">
        <v>197</v>
      </c>
    </row>
    <row r="110" spans="13:14" x14ac:dyDescent="0.2">
      <c r="M110" s="54" t="s">
        <v>196</v>
      </c>
      <c r="N110" s="50">
        <v>1509400100</v>
      </c>
    </row>
    <row r="111" spans="13:14" x14ac:dyDescent="0.2">
      <c r="M111" s="53" t="s">
        <v>73</v>
      </c>
      <c r="N111">
        <v>1636900100</v>
      </c>
    </row>
    <row r="112" spans="13:14" x14ac:dyDescent="0.2">
      <c r="M112" s="53" t="s">
        <v>74</v>
      </c>
      <c r="N112">
        <v>1196</v>
      </c>
    </row>
    <row r="113" spans="13:14" x14ac:dyDescent="0.2">
      <c r="M113" s="54" t="s">
        <v>108</v>
      </c>
      <c r="N113" s="50" t="s">
        <v>75</v>
      </c>
    </row>
    <row r="114" spans="13:14" x14ac:dyDescent="0.2">
      <c r="M114" s="54" t="s">
        <v>107</v>
      </c>
      <c r="N114">
        <v>84</v>
      </c>
    </row>
    <row r="115" spans="13:14" x14ac:dyDescent="0.2">
      <c r="M115" s="54" t="s">
        <v>106</v>
      </c>
      <c r="N115" s="50">
        <v>2174</v>
      </c>
    </row>
    <row r="116" spans="13:14" x14ac:dyDescent="0.2">
      <c r="M116" s="54" t="s">
        <v>105</v>
      </c>
      <c r="N116">
        <v>1283</v>
      </c>
    </row>
    <row r="117" spans="13:14" x14ac:dyDescent="0.2">
      <c r="M117" s="54" t="s">
        <v>104</v>
      </c>
      <c r="N117">
        <v>150</v>
      </c>
    </row>
    <row r="118" spans="13:14" x14ac:dyDescent="0.2">
      <c r="M118" s="54" t="s">
        <v>103</v>
      </c>
      <c r="N118">
        <v>563</v>
      </c>
    </row>
    <row r="119" spans="13:14" x14ac:dyDescent="0.2">
      <c r="M119" s="54" t="s">
        <v>102</v>
      </c>
      <c r="N119" s="50">
        <v>1984</v>
      </c>
    </row>
    <row r="120" spans="13:14" x14ac:dyDescent="0.2">
      <c r="M120" s="54" t="s">
        <v>101</v>
      </c>
      <c r="N120" s="51" t="s">
        <v>76</v>
      </c>
    </row>
    <row r="121" spans="13:14" x14ac:dyDescent="0.2">
      <c r="M121" s="54" t="s">
        <v>141</v>
      </c>
      <c r="N121" s="51" t="s">
        <v>78</v>
      </c>
    </row>
    <row r="122" spans="13:14" x14ac:dyDescent="0.2">
      <c r="M122" s="53" t="s">
        <v>77</v>
      </c>
      <c r="N122" s="50">
        <v>1646800100</v>
      </c>
    </row>
    <row r="123" spans="13:14" x14ac:dyDescent="0.2">
      <c r="M123" s="53" t="s">
        <v>79</v>
      </c>
      <c r="N123" t="s">
        <v>195</v>
      </c>
    </row>
    <row r="124" spans="13:14" x14ac:dyDescent="0.2">
      <c r="M124" s="54" t="s">
        <v>145</v>
      </c>
      <c r="N124" s="50">
        <v>2472</v>
      </c>
    </row>
    <row r="125" spans="13:14" x14ac:dyDescent="0.2">
      <c r="N125">
        <v>2194</v>
      </c>
    </row>
    <row r="126" spans="13:14" x14ac:dyDescent="0.2">
      <c r="M126" s="54" t="s">
        <v>202</v>
      </c>
      <c r="N126">
        <v>15454</v>
      </c>
    </row>
    <row r="127" spans="13:14" x14ac:dyDescent="0.2">
      <c r="M127" s="54" t="s">
        <v>203</v>
      </c>
    </row>
    <row r="128" spans="13:14" x14ac:dyDescent="0.2">
      <c r="M128" s="54" t="s">
        <v>206</v>
      </c>
    </row>
  </sheetData>
  <mergeCells count="4">
    <mergeCell ref="E1:F2"/>
    <mergeCell ref="E4:F4"/>
    <mergeCell ref="B45:H45"/>
    <mergeCell ref="B46:F46"/>
  </mergeCells>
  <phoneticPr fontId="0" type="noConversion"/>
  <dataValidations count="1">
    <dataValidation type="list" allowBlank="1" showInputMessage="1" showErrorMessage="1" sqref="C47 C24:C44" xr:uid="{5D075B4B-AD95-40C9-9B20-2187BCE3D0B6}">
      <formula1>$M$1:$M$132</formula1>
    </dataValidation>
  </dataValidations>
  <hyperlinks>
    <hyperlink ref="B16" r:id="rId1" display="Jerome.Slugoski@tgp.ca" xr:uid="{272F9130-7E29-4C2C-B135-098650EB6FBC}"/>
    <hyperlink ref="D9" r:id="rId2" xr:uid="{B07D1FDD-BFEA-4245-8307-1C5F1919FF9A}"/>
  </hyperlinks>
  <pageMargins left="0.25" right="0.25" top="0.25" bottom="0.25" header="0.5" footer="0.5"/>
  <pageSetup scale="60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Edmonton </vt:lpstr>
      <vt:lpstr>'Edmonton '!Print_Area</vt:lpstr>
    </vt:vector>
  </TitlesOfParts>
  <Company>TGP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</dc:creator>
  <cp:lastModifiedBy>Chris Bieniek</cp:lastModifiedBy>
  <cp:lastPrinted>2025-05-22T17:55:57Z</cp:lastPrinted>
  <dcterms:created xsi:type="dcterms:W3CDTF">2009-04-17T17:09:57Z</dcterms:created>
  <dcterms:modified xsi:type="dcterms:W3CDTF">2026-07-21T23:56:52Z</dcterms:modified>
</cp:coreProperties>
</file>